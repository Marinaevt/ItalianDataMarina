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435" yWindow="3015" windowWidth="14895" windowHeight="5715" activeTab="1"/>
  </bookViews>
  <sheets>
    <sheet name="calculator" sheetId="10" r:id="rId1"/>
    <sheet name="data" sheetId="13" r:id="rId2"/>
  </sheets>
  <externalReferences>
    <externalReference r:id="rId3"/>
  </externalReferences>
  <calcPr calcId="145621"/>
</workbook>
</file>

<file path=xl/calcChain.xml><?xml version="1.0" encoding="utf-8"?>
<calcChain xmlns="http://schemas.openxmlformats.org/spreadsheetml/2006/main">
  <c r="Z3" i="13" l="1"/>
  <c r="Z4" i="13"/>
  <c r="Z5" i="13"/>
  <c r="Z6" i="13"/>
  <c r="Z7" i="13"/>
  <c r="Z8" i="13"/>
  <c r="Z9" i="13"/>
  <c r="Z10" i="13"/>
  <c r="Z11" i="13"/>
  <c r="Z12" i="13"/>
  <c r="Z13" i="13"/>
  <c r="Z14" i="13"/>
  <c r="Z15" i="13"/>
  <c r="Z16" i="13"/>
  <c r="Z17" i="13"/>
  <c r="Z18" i="13"/>
  <c r="Z19" i="13"/>
  <c r="Z20" i="13"/>
  <c r="Z21" i="13"/>
  <c r="Z22" i="13"/>
  <c r="Z23" i="13"/>
  <c r="Z24" i="13"/>
  <c r="Z25" i="13"/>
  <c r="Z26" i="13"/>
  <c r="Z27" i="13"/>
  <c r="Z28" i="13"/>
  <c r="Z29" i="13"/>
  <c r="Z30" i="13"/>
  <c r="Z31" i="13"/>
  <c r="Z32" i="13"/>
  <c r="Z33" i="13"/>
  <c r="Z34" i="13"/>
  <c r="Z35" i="13"/>
  <c r="Z36" i="13"/>
  <c r="Z37" i="13"/>
  <c r="Z38" i="13"/>
  <c r="Z39" i="13"/>
  <c r="Z40" i="13"/>
  <c r="Z41" i="13"/>
  <c r="Z42" i="13"/>
  <c r="Z43" i="13"/>
  <c r="Z44" i="13"/>
  <c r="Z45" i="13"/>
  <c r="Z46" i="13"/>
  <c r="Z47" i="13"/>
  <c r="Z48" i="13"/>
  <c r="Z49" i="13"/>
  <c r="Z50" i="13"/>
  <c r="Z51" i="13"/>
  <c r="Z52" i="13"/>
  <c r="Z53" i="13"/>
  <c r="Z54" i="13"/>
  <c r="Z55" i="13"/>
  <c r="Z56" i="13"/>
  <c r="Z57" i="13"/>
  <c r="Z58" i="13"/>
  <c r="Z59" i="13"/>
  <c r="Z60" i="13"/>
  <c r="Z61" i="13"/>
  <c r="Z62" i="13"/>
  <c r="Z63" i="13"/>
  <c r="Z64" i="13"/>
  <c r="Z65" i="13"/>
  <c r="Z66" i="13"/>
  <c r="Z67" i="13"/>
  <c r="Z68" i="13"/>
  <c r="Z69" i="13"/>
  <c r="Z70" i="13"/>
  <c r="Z71" i="13"/>
  <c r="Z72" i="13"/>
  <c r="Z73" i="13"/>
  <c r="Z74" i="13"/>
  <c r="Z75" i="13"/>
  <c r="Z76" i="13"/>
  <c r="Z77" i="13"/>
  <c r="Z78" i="13"/>
  <c r="Z79" i="13"/>
  <c r="Z80" i="13"/>
  <c r="Z81" i="13"/>
  <c r="Z82" i="13"/>
  <c r="Z83" i="13"/>
  <c r="Z84" i="13"/>
  <c r="Z85" i="13"/>
  <c r="Z86" i="13"/>
  <c r="Z87" i="13"/>
  <c r="Z88" i="13"/>
  <c r="Z89" i="13"/>
  <c r="Z90" i="13"/>
  <c r="Z91" i="13"/>
  <c r="Z92" i="13"/>
  <c r="Z93" i="13"/>
  <c r="Z94" i="13"/>
  <c r="Z95" i="13"/>
  <c r="Z96" i="13"/>
  <c r="Z97" i="13"/>
  <c r="Z98" i="13"/>
  <c r="Z99" i="13"/>
  <c r="Z100" i="13"/>
  <c r="Z101" i="13"/>
  <c r="Z102" i="13"/>
  <c r="Z103" i="13"/>
  <c r="Z104" i="13"/>
  <c r="Z105" i="13"/>
  <c r="Z106" i="13"/>
  <c r="Z107" i="13"/>
  <c r="Z108" i="13"/>
  <c r="Z109" i="13"/>
  <c r="Z110" i="13"/>
  <c r="Z111" i="13"/>
  <c r="Z112" i="13"/>
  <c r="Z113" i="13"/>
  <c r="Z114" i="13"/>
  <c r="Z115" i="13"/>
  <c r="Z116" i="13"/>
  <c r="Z117" i="13"/>
  <c r="Z118" i="13"/>
  <c r="Z119" i="13"/>
  <c r="Z120" i="13"/>
  <c r="Z121" i="13"/>
  <c r="Z122" i="13"/>
  <c r="Z123" i="13"/>
  <c r="Z124" i="13"/>
  <c r="Z126" i="13"/>
  <c r="Z127" i="13"/>
  <c r="Z128" i="13"/>
  <c r="Z129" i="13"/>
  <c r="Z130" i="13"/>
  <c r="Z131" i="13"/>
  <c r="Z132" i="13"/>
  <c r="Z133" i="13"/>
  <c r="Z134" i="13"/>
  <c r="Z135" i="13"/>
  <c r="Z136" i="13"/>
  <c r="Z137" i="13"/>
  <c r="Z138" i="13"/>
  <c r="Z139" i="13"/>
  <c r="Z140" i="13"/>
  <c r="Z141" i="13"/>
  <c r="Z142" i="13"/>
  <c r="Z143" i="13"/>
  <c r="Z144" i="13"/>
  <c r="Z145" i="13"/>
  <c r="Z146" i="13"/>
  <c r="Z147" i="13"/>
  <c r="Z148" i="13"/>
  <c r="Z149" i="13"/>
  <c r="Z150" i="13"/>
  <c r="Z151" i="13"/>
  <c r="Z152" i="13"/>
  <c r="Z153" i="13"/>
  <c r="Z154" i="13"/>
  <c r="Z155" i="13"/>
  <c r="Z156" i="13"/>
  <c r="Z157" i="13"/>
  <c r="Z158" i="13"/>
  <c r="Z159" i="13"/>
  <c r="Z160" i="13"/>
  <c r="Z161" i="13"/>
  <c r="Z162" i="13"/>
  <c r="Z163" i="13"/>
  <c r="Z164" i="13"/>
  <c r="Z165" i="13"/>
  <c r="Z166" i="13"/>
  <c r="Z167" i="13"/>
  <c r="Z168" i="13"/>
  <c r="Z169" i="13"/>
  <c r="Z170" i="13"/>
  <c r="Z171" i="13"/>
  <c r="Z172" i="13"/>
  <c r="Z173" i="13"/>
  <c r="Z174" i="13"/>
  <c r="Z175" i="13"/>
  <c r="Z176" i="13"/>
  <c r="Z177" i="13"/>
  <c r="Z178" i="13"/>
  <c r="Z179" i="13"/>
  <c r="Z180" i="13"/>
  <c r="Z181" i="13"/>
  <c r="Z182" i="13"/>
  <c r="Z183" i="13"/>
  <c r="Z184" i="13"/>
  <c r="Z185" i="13"/>
  <c r="Z186" i="13"/>
  <c r="Z187" i="13"/>
  <c r="Z188" i="13"/>
  <c r="Z189" i="13"/>
  <c r="Z190" i="13"/>
  <c r="Z191" i="13"/>
  <c r="Z192" i="13"/>
  <c r="Z193" i="13"/>
  <c r="Z194" i="13"/>
  <c r="Z195" i="13"/>
  <c r="Z196" i="13"/>
  <c r="Z197" i="13"/>
  <c r="Z198" i="13"/>
  <c r="Z199" i="13"/>
  <c r="Z200" i="13"/>
  <c r="Z201" i="13"/>
  <c r="Z202" i="13"/>
  <c r="Z203" i="13"/>
  <c r="Z204" i="13"/>
  <c r="Z205" i="13"/>
  <c r="Z206" i="13"/>
  <c r="Z207" i="13"/>
  <c r="Z208" i="13"/>
  <c r="Z209" i="13"/>
  <c r="Z210" i="13"/>
  <c r="Z211" i="13"/>
  <c r="Z212" i="13"/>
  <c r="Z213" i="13"/>
  <c r="Z214" i="13"/>
  <c r="Z215" i="13"/>
  <c r="Z216" i="13"/>
  <c r="Z217" i="13"/>
  <c r="Z218" i="13"/>
  <c r="Z219" i="13"/>
  <c r="Z220" i="13"/>
  <c r="Z221" i="13"/>
  <c r="Z222" i="13"/>
  <c r="Z223" i="13"/>
  <c r="Z224" i="13"/>
  <c r="Z225" i="13"/>
  <c r="Z226" i="13"/>
  <c r="Z227" i="13"/>
  <c r="Z228" i="13"/>
  <c r="Z229" i="13"/>
  <c r="Z230" i="13"/>
  <c r="Z231" i="13"/>
  <c r="Z232" i="13"/>
  <c r="Z233" i="13"/>
  <c r="Z234" i="13"/>
  <c r="Z235" i="13"/>
  <c r="Z236" i="13"/>
  <c r="Z237" i="13"/>
  <c r="Z238" i="13"/>
  <c r="Z239" i="13"/>
  <c r="Z240" i="13"/>
  <c r="Z241" i="13"/>
  <c r="Z242" i="13"/>
  <c r="Z243" i="13"/>
  <c r="Z244" i="13"/>
  <c r="Z245" i="13"/>
  <c r="Z246" i="13"/>
  <c r="Z247" i="13"/>
  <c r="Z248" i="13"/>
  <c r="Z249" i="13"/>
  <c r="Z250" i="13"/>
  <c r="Z251" i="13"/>
  <c r="Z252" i="13"/>
  <c r="Z253" i="13"/>
  <c r="Z254" i="13"/>
  <c r="Z255" i="13"/>
  <c r="Z256" i="13"/>
  <c r="Z257" i="13"/>
  <c r="Z258" i="13"/>
  <c r="Z259" i="13"/>
  <c r="Z260" i="13"/>
  <c r="Z261" i="13"/>
  <c r="Z262" i="13"/>
  <c r="Z263" i="13"/>
  <c r="Z264" i="13"/>
  <c r="Z265" i="13"/>
  <c r="Z266" i="13"/>
  <c r="Z267" i="13"/>
  <c r="Z268" i="13"/>
  <c r="Z269" i="13"/>
  <c r="Z270" i="13"/>
  <c r="Z271" i="13"/>
  <c r="Z272" i="13"/>
  <c r="Z273" i="13"/>
  <c r="Z274" i="13"/>
  <c r="Z275" i="13"/>
  <c r="Z276" i="13"/>
  <c r="Z277" i="13"/>
  <c r="Z278" i="13"/>
  <c r="Z279" i="13"/>
  <c r="Z280" i="13"/>
  <c r="Z281" i="13"/>
  <c r="Z282" i="13"/>
  <c r="Z283" i="13"/>
  <c r="Z284" i="13"/>
  <c r="Z285" i="13"/>
  <c r="Z286" i="13"/>
  <c r="Z287" i="13"/>
  <c r="Z288" i="13"/>
  <c r="Z289" i="13"/>
  <c r="Z290" i="13"/>
  <c r="Z291" i="13"/>
  <c r="Z292" i="13"/>
  <c r="Z293" i="13"/>
  <c r="Z294" i="13"/>
  <c r="Z295" i="13"/>
  <c r="Z296" i="13"/>
  <c r="Z297" i="13"/>
  <c r="Z298" i="13"/>
  <c r="Z299" i="13"/>
  <c r="Z300" i="13"/>
  <c r="Z301" i="13"/>
  <c r="Z302" i="13"/>
  <c r="Z303" i="13"/>
  <c r="Z304" i="13"/>
  <c r="Z305" i="13"/>
  <c r="Z306" i="13"/>
  <c r="Z307" i="13"/>
  <c r="Z308" i="13"/>
  <c r="Z309" i="13"/>
  <c r="Z310" i="13"/>
  <c r="Z311" i="13"/>
  <c r="Z312" i="13"/>
  <c r="Z313" i="13"/>
  <c r="Z314" i="13"/>
  <c r="Z315" i="13"/>
  <c r="Z316" i="13"/>
  <c r="Z317" i="13"/>
  <c r="Z318" i="13"/>
  <c r="Z319" i="13"/>
  <c r="Z320" i="13"/>
  <c r="Z321" i="13"/>
  <c r="Z322" i="13"/>
  <c r="Z323" i="13"/>
  <c r="Z324" i="13"/>
  <c r="Z325" i="13"/>
  <c r="Z326" i="13"/>
  <c r="Z327" i="13"/>
  <c r="Z328" i="13"/>
  <c r="Z329" i="13"/>
  <c r="Z330" i="13"/>
  <c r="Z331" i="13"/>
  <c r="Z332" i="13"/>
  <c r="Z333" i="13"/>
  <c r="Z334" i="13"/>
  <c r="Z335" i="13"/>
  <c r="Z336" i="13"/>
  <c r="Z337" i="13"/>
  <c r="Z338" i="13"/>
  <c r="Z339" i="13"/>
  <c r="Z340" i="13"/>
  <c r="Z341" i="13"/>
  <c r="Z342" i="13"/>
  <c r="Z343" i="13"/>
  <c r="Z344" i="13"/>
  <c r="Z345" i="13"/>
  <c r="Z346" i="13"/>
  <c r="Z347" i="13"/>
  <c r="Z348" i="13"/>
  <c r="Z349" i="13"/>
  <c r="Z350" i="13"/>
  <c r="Z351" i="13"/>
  <c r="Z352" i="13"/>
  <c r="Z353" i="13"/>
  <c r="Z354" i="13"/>
  <c r="Z355" i="13"/>
  <c r="Z356" i="13"/>
  <c r="Z357" i="13"/>
  <c r="Z358" i="13"/>
  <c r="Z359" i="13"/>
  <c r="Z360" i="13"/>
  <c r="Z361" i="13"/>
  <c r="Z362" i="13"/>
  <c r="Z363" i="13"/>
  <c r="Z364" i="13"/>
  <c r="Z365" i="13"/>
  <c r="Z366" i="13"/>
  <c r="Z367" i="13"/>
  <c r="Z368" i="13"/>
  <c r="Z369" i="13"/>
  <c r="Z370" i="13"/>
  <c r="Z371" i="13"/>
  <c r="Z372" i="13"/>
  <c r="Z373" i="13"/>
  <c r="Z374" i="13"/>
  <c r="Z375" i="13"/>
  <c r="Z376" i="13"/>
  <c r="Z377" i="13"/>
  <c r="Z378" i="13"/>
  <c r="Z379" i="13"/>
  <c r="Z380" i="13"/>
  <c r="Z381" i="13"/>
  <c r="Z382" i="13"/>
  <c r="Z383" i="13"/>
  <c r="Z384" i="13"/>
  <c r="Z385" i="13"/>
  <c r="Z386" i="13"/>
  <c r="Z387" i="13"/>
  <c r="Z388" i="13"/>
  <c r="Z389" i="13"/>
  <c r="Z390" i="13"/>
  <c r="Z391" i="13"/>
  <c r="Z392" i="13"/>
  <c r="Z393" i="13"/>
  <c r="Z394" i="13"/>
  <c r="Z395" i="13"/>
  <c r="Z396" i="13"/>
  <c r="Z397" i="13"/>
  <c r="Z398" i="13"/>
  <c r="Z399" i="13"/>
  <c r="Z400" i="13"/>
  <c r="Z401" i="13"/>
  <c r="Z402" i="13"/>
  <c r="Z403" i="13"/>
  <c r="Z404" i="13"/>
  <c r="Z405" i="13"/>
  <c r="Z406" i="13"/>
  <c r="Z407" i="13"/>
  <c r="Z408" i="13"/>
  <c r="Z409" i="13"/>
  <c r="Z410" i="13"/>
  <c r="Z411" i="13"/>
  <c r="Z412" i="13"/>
  <c r="Z413" i="13"/>
  <c r="Z414" i="13"/>
  <c r="Z415" i="13"/>
  <c r="Z416" i="13"/>
  <c r="Z417" i="13"/>
  <c r="Z418" i="13"/>
  <c r="Z419" i="13"/>
  <c r="Z420" i="13"/>
  <c r="Z421" i="13"/>
  <c r="Z422" i="13"/>
  <c r="Z423" i="13"/>
  <c r="Z424" i="13"/>
  <c r="Z425" i="13"/>
  <c r="Z426" i="13"/>
  <c r="Z427" i="13"/>
  <c r="Z428" i="13"/>
  <c r="Z429" i="13"/>
  <c r="Z430" i="13"/>
  <c r="Z431" i="13"/>
  <c r="Z432" i="13"/>
  <c r="Z433" i="13"/>
  <c r="Z434" i="13"/>
  <c r="Z435" i="13"/>
  <c r="Z436" i="13"/>
  <c r="Z437" i="13"/>
  <c r="Z438" i="13"/>
  <c r="Z439" i="13"/>
  <c r="Z440" i="13"/>
  <c r="Z441" i="13"/>
  <c r="Z442" i="13"/>
  <c r="Z443" i="13"/>
  <c r="Z444" i="13"/>
  <c r="Z445" i="13"/>
  <c r="Z446" i="13"/>
  <c r="Z447" i="13"/>
  <c r="Z448" i="13"/>
  <c r="Z449" i="13"/>
  <c r="Z450" i="13"/>
  <c r="Z451" i="13"/>
  <c r="Z452" i="13"/>
  <c r="Z453" i="13"/>
  <c r="Z454" i="13"/>
  <c r="Z455" i="13"/>
  <c r="Z456" i="13"/>
  <c r="Z457" i="13"/>
  <c r="Z458" i="13"/>
  <c r="Z459" i="13"/>
  <c r="Z460" i="13"/>
  <c r="Z461" i="13"/>
  <c r="Z462" i="13"/>
  <c r="Z463" i="13"/>
  <c r="Z464" i="13"/>
  <c r="Z465" i="13"/>
  <c r="Z466" i="13"/>
  <c r="Z467" i="13"/>
  <c r="Z468" i="13"/>
  <c r="Z469" i="13"/>
  <c r="Z470" i="13"/>
  <c r="Z471" i="13"/>
  <c r="Z472" i="13"/>
  <c r="Z473" i="13"/>
  <c r="Z474" i="13"/>
  <c r="Z475" i="13"/>
  <c r="Z476" i="13"/>
  <c r="Z477" i="13"/>
  <c r="Z478" i="13"/>
  <c r="Z479" i="13"/>
  <c r="Z480" i="13"/>
  <c r="Z481" i="13"/>
  <c r="Z482" i="13"/>
  <c r="Z483" i="13"/>
  <c r="Z484" i="13"/>
  <c r="Z485" i="13"/>
  <c r="Z486" i="13"/>
  <c r="Z487" i="13"/>
  <c r="Z488" i="13"/>
  <c r="Z489" i="13"/>
  <c r="Z490" i="13"/>
  <c r="Z491" i="13"/>
  <c r="Z492" i="13"/>
  <c r="Z493" i="13"/>
  <c r="Z494" i="13"/>
  <c r="Z495" i="13"/>
  <c r="Z496" i="13"/>
  <c r="Z497" i="13"/>
  <c r="Z498" i="13"/>
  <c r="Z499" i="13"/>
  <c r="Z500" i="13"/>
  <c r="Z501" i="13"/>
  <c r="Z502" i="13"/>
  <c r="Z503" i="13"/>
  <c r="Z504" i="13"/>
  <c r="Z505" i="13"/>
  <c r="Z506" i="13"/>
  <c r="Z507" i="13"/>
  <c r="Z508" i="13"/>
  <c r="Z509" i="13"/>
  <c r="Z510" i="13"/>
  <c r="Z511" i="13"/>
  <c r="Z512" i="13"/>
  <c r="Z513" i="13"/>
  <c r="Z514" i="13"/>
  <c r="Z515" i="13"/>
  <c r="Z516" i="13"/>
  <c r="Z517" i="13"/>
  <c r="Z518" i="13"/>
  <c r="Z519" i="13"/>
  <c r="Z520" i="13"/>
  <c r="Z521" i="13"/>
  <c r="Z522" i="13"/>
  <c r="Z523" i="13"/>
  <c r="Z524" i="13"/>
  <c r="Z525" i="13"/>
  <c r="Z526" i="13"/>
  <c r="Z527" i="13"/>
  <c r="Z528" i="13"/>
  <c r="Z529" i="13"/>
  <c r="Z530" i="13"/>
  <c r="Z531" i="13"/>
  <c r="Z532" i="13"/>
  <c r="Z533" i="13"/>
  <c r="Z534" i="13"/>
  <c r="Z535" i="13"/>
  <c r="Z536" i="13"/>
  <c r="Z537" i="13"/>
  <c r="Z538" i="13"/>
  <c r="Z539" i="13"/>
  <c r="Z540" i="13"/>
  <c r="Z541" i="13"/>
  <c r="Z542" i="13"/>
  <c r="Z543" i="13"/>
  <c r="Z544" i="13"/>
  <c r="Z545" i="13"/>
  <c r="Z546" i="13"/>
  <c r="Z547" i="13"/>
  <c r="Z548" i="13"/>
  <c r="Z549" i="13"/>
  <c r="Z550" i="13"/>
  <c r="Z551" i="13"/>
  <c r="Z552" i="13"/>
  <c r="Z553" i="13"/>
  <c r="Z554" i="13"/>
  <c r="Z555" i="13"/>
  <c r="Z556" i="13"/>
  <c r="Z557" i="13"/>
  <c r="Z558" i="13"/>
  <c r="Z559" i="13"/>
  <c r="Z560" i="13"/>
  <c r="Z561" i="13"/>
  <c r="Z562" i="13"/>
  <c r="Z563" i="13"/>
  <c r="Z564" i="13"/>
  <c r="Z565" i="13"/>
  <c r="Z566" i="13"/>
  <c r="Z567" i="13"/>
  <c r="Z568" i="13"/>
  <c r="Z569" i="13"/>
  <c r="Z570" i="13"/>
  <c r="Z571" i="13"/>
  <c r="Z572" i="13"/>
  <c r="Z573" i="13"/>
  <c r="Z574" i="13"/>
  <c r="Z575" i="13"/>
  <c r="Z576" i="13"/>
  <c r="Z577" i="13"/>
  <c r="Z578" i="13"/>
  <c r="Z579" i="13"/>
  <c r="Z580" i="13"/>
  <c r="Z581" i="13"/>
  <c r="Z582" i="13"/>
  <c r="Z583" i="13"/>
  <c r="Z584" i="13"/>
  <c r="Z585" i="13"/>
  <c r="Z586" i="13"/>
  <c r="Z587" i="13"/>
  <c r="Z588" i="13"/>
  <c r="Z589" i="13"/>
  <c r="Z590" i="13"/>
  <c r="Z591" i="13"/>
  <c r="Z592" i="13"/>
  <c r="Z593" i="13"/>
  <c r="Z594" i="13"/>
  <c r="Z595" i="13"/>
  <c r="Z596" i="13"/>
  <c r="Z597" i="13"/>
  <c r="Z598" i="13"/>
  <c r="Z599" i="13"/>
  <c r="Z600" i="13"/>
  <c r="Z601" i="13"/>
  <c r="Z602" i="13"/>
  <c r="Z603" i="13"/>
  <c r="Z604" i="13"/>
  <c r="Z605" i="13"/>
  <c r="Z606" i="13"/>
  <c r="Z607" i="13"/>
  <c r="Z608" i="13"/>
  <c r="Z609" i="13"/>
  <c r="Z610" i="13"/>
  <c r="Z611" i="13"/>
  <c r="Z612" i="13"/>
  <c r="Z613" i="13"/>
  <c r="Z614" i="13"/>
  <c r="Z615" i="13"/>
  <c r="Z616" i="13"/>
  <c r="Z617" i="13"/>
  <c r="Z618" i="13"/>
  <c r="Z619" i="13"/>
  <c r="Z620" i="13"/>
  <c r="Z621" i="13"/>
  <c r="Z622" i="13"/>
  <c r="Z623" i="13"/>
  <c r="Z624" i="13"/>
  <c r="Z625" i="13"/>
  <c r="Z626" i="13"/>
  <c r="Z627" i="13"/>
  <c r="Z628" i="13"/>
  <c r="Z629" i="13"/>
  <c r="Z630" i="13"/>
  <c r="Z631" i="13"/>
  <c r="Z632" i="13"/>
  <c r="Z633" i="13"/>
  <c r="Z634" i="13"/>
  <c r="Z635" i="13"/>
  <c r="Z636" i="13"/>
  <c r="Z637" i="13"/>
  <c r="Z638" i="13"/>
  <c r="Z639" i="13"/>
  <c r="Z640" i="13"/>
  <c r="Z641" i="13"/>
  <c r="Z642" i="13"/>
  <c r="Z643" i="13"/>
  <c r="Z644" i="13"/>
  <c r="Z645" i="13"/>
  <c r="Z646" i="13"/>
  <c r="Z647" i="13"/>
  <c r="Z648" i="13"/>
  <c r="Z649" i="13"/>
  <c r="Z650" i="13"/>
  <c r="Z651" i="13"/>
  <c r="Z652" i="13"/>
  <c r="Z653" i="13"/>
  <c r="Z654" i="13"/>
  <c r="Z655" i="13"/>
  <c r="Z656" i="13"/>
  <c r="Z657" i="13"/>
  <c r="Z658" i="13"/>
  <c r="Z659" i="13"/>
  <c r="Z660" i="13"/>
  <c r="Z661" i="13"/>
  <c r="Z662" i="13"/>
  <c r="Z663" i="13"/>
  <c r="Z664" i="13"/>
  <c r="Z665" i="13"/>
  <c r="Z666" i="13"/>
  <c r="Z667" i="13"/>
  <c r="Z668" i="13"/>
  <c r="Z669" i="13"/>
  <c r="Z670" i="13"/>
  <c r="Z671" i="13"/>
  <c r="Z672" i="13"/>
  <c r="Z673" i="13"/>
  <c r="Z674" i="13"/>
  <c r="Z675" i="13"/>
  <c r="Z676" i="13"/>
  <c r="Z677" i="13"/>
  <c r="Z678" i="13"/>
  <c r="Z679" i="13"/>
  <c r="Z680" i="13"/>
  <c r="Z681" i="13"/>
  <c r="Z682" i="13"/>
  <c r="Z683" i="13"/>
  <c r="Z684" i="13"/>
  <c r="Z685" i="13"/>
  <c r="Z686" i="13"/>
  <c r="Z687" i="13"/>
  <c r="Z688" i="13"/>
  <c r="Z689" i="13"/>
  <c r="Z690" i="13"/>
  <c r="Z691" i="13"/>
  <c r="Z692" i="13"/>
  <c r="Z693" i="13"/>
  <c r="Z694" i="13"/>
  <c r="Z695" i="13"/>
  <c r="Z696" i="13"/>
  <c r="Z697" i="13"/>
  <c r="Z698" i="13"/>
  <c r="Z699" i="13"/>
  <c r="Z700" i="13"/>
  <c r="Z701" i="13"/>
  <c r="Z702" i="13"/>
  <c r="Z703" i="13"/>
  <c r="Z704" i="13"/>
  <c r="Z705" i="13"/>
  <c r="Z706" i="13"/>
  <c r="Z707" i="13"/>
  <c r="Z708" i="13"/>
  <c r="Z709" i="13"/>
  <c r="Z710" i="13"/>
  <c r="Z711" i="13"/>
  <c r="Z712" i="13"/>
  <c r="Z713" i="13"/>
  <c r="Z714" i="13"/>
  <c r="Z715" i="13"/>
  <c r="Z716" i="13"/>
  <c r="Z717" i="13"/>
  <c r="Z718" i="13"/>
  <c r="Z719" i="13"/>
  <c r="Z720" i="13"/>
  <c r="Z721" i="13"/>
  <c r="Z722" i="13"/>
  <c r="Z723" i="13"/>
  <c r="Z724" i="13"/>
  <c r="Z725" i="13"/>
  <c r="Z726" i="13"/>
  <c r="Z727" i="13"/>
  <c r="Z728" i="13"/>
  <c r="Z729" i="13"/>
  <c r="Z730" i="13"/>
  <c r="Z731" i="13"/>
  <c r="Z732" i="13"/>
  <c r="Z733" i="13"/>
  <c r="Z734" i="13"/>
  <c r="Z735" i="13"/>
  <c r="Z736" i="13"/>
  <c r="Z737" i="13"/>
  <c r="Z738" i="13"/>
  <c r="Z739" i="13"/>
  <c r="Z740" i="13"/>
  <c r="Z741" i="13"/>
  <c r="Z742" i="13"/>
  <c r="Z743" i="13"/>
  <c r="Z744" i="13"/>
  <c r="Z745" i="13"/>
  <c r="Z746" i="13"/>
  <c r="Z747" i="13"/>
  <c r="Z748" i="13"/>
  <c r="Z749" i="13"/>
  <c r="Z750" i="13"/>
  <c r="Z751" i="13"/>
  <c r="Z752" i="13"/>
  <c r="Z753" i="13"/>
  <c r="Z754" i="13"/>
  <c r="Z755" i="13"/>
  <c r="Z756" i="13"/>
  <c r="Z757" i="13"/>
  <c r="Z758" i="13"/>
  <c r="Z759" i="13"/>
  <c r="Z760" i="13"/>
  <c r="Z761" i="13"/>
  <c r="Z762" i="13"/>
  <c r="Z763" i="13"/>
  <c r="Z764" i="13"/>
  <c r="Z765" i="13"/>
  <c r="Z766" i="13"/>
  <c r="Z767" i="13"/>
  <c r="Z768" i="13"/>
  <c r="Z769" i="13"/>
  <c r="Z770" i="13"/>
  <c r="Z771" i="13"/>
  <c r="Z772" i="13"/>
  <c r="Z773" i="13"/>
  <c r="Z774" i="13"/>
  <c r="Z775" i="13"/>
  <c r="Z776" i="13"/>
  <c r="Z777" i="13"/>
  <c r="Z778" i="13"/>
  <c r="Z779" i="13"/>
  <c r="Z780" i="13"/>
  <c r="Z781" i="13"/>
  <c r="Z782" i="13"/>
  <c r="Z783" i="13"/>
  <c r="Z784" i="13"/>
  <c r="Z785" i="13"/>
  <c r="Z786" i="13"/>
  <c r="Z787" i="13"/>
  <c r="Z788" i="13"/>
  <c r="Z789" i="13"/>
  <c r="Z790" i="13"/>
  <c r="Z791" i="13"/>
  <c r="Z792" i="13"/>
  <c r="Z793" i="13"/>
  <c r="Z794" i="13"/>
  <c r="Z795" i="13"/>
  <c r="Z796" i="13"/>
  <c r="Z797" i="13"/>
  <c r="Z798" i="13"/>
  <c r="Z799" i="13"/>
  <c r="Z800" i="13"/>
  <c r="Z801" i="13"/>
  <c r="Z802" i="13"/>
  <c r="Z803" i="13"/>
  <c r="Z804" i="13"/>
  <c r="Z805" i="13"/>
  <c r="Z806" i="13"/>
  <c r="Z807" i="13"/>
  <c r="Z808" i="13"/>
  <c r="Z809" i="13"/>
  <c r="Z810" i="13"/>
  <c r="Z811" i="13"/>
  <c r="Z812" i="13"/>
  <c r="Z813" i="13"/>
  <c r="Z814" i="13"/>
  <c r="Z815" i="13"/>
  <c r="Z816" i="13"/>
  <c r="Z817" i="13"/>
  <c r="Z818" i="13"/>
  <c r="Z819" i="13"/>
  <c r="Z820" i="13"/>
  <c r="Z821" i="13"/>
  <c r="Z822" i="13"/>
  <c r="Z823" i="13"/>
  <c r="Z824" i="13"/>
  <c r="Z825" i="13"/>
  <c r="Z826" i="13"/>
  <c r="Z827" i="13"/>
  <c r="Z828" i="13"/>
  <c r="Z829" i="13"/>
  <c r="Z830" i="13"/>
  <c r="Z831" i="13"/>
  <c r="Z832" i="13"/>
  <c r="Z833" i="13"/>
  <c r="Z834" i="13"/>
  <c r="Z835" i="13"/>
  <c r="Z836" i="13"/>
  <c r="Z837" i="13"/>
  <c r="Z838" i="13"/>
  <c r="Z839" i="13"/>
  <c r="Z840" i="13"/>
  <c r="Z841" i="13"/>
  <c r="Z842" i="13"/>
  <c r="Z843" i="13"/>
  <c r="Z844" i="13"/>
  <c r="Z845" i="13"/>
  <c r="Z846" i="13"/>
  <c r="Z847" i="13"/>
  <c r="Z848" i="13"/>
  <c r="Z849" i="13"/>
  <c r="Z850" i="13"/>
  <c r="Z851" i="13"/>
  <c r="Z852" i="13"/>
  <c r="Z853" i="13"/>
  <c r="Z854" i="13"/>
  <c r="Z855" i="13"/>
  <c r="Z856" i="13"/>
  <c r="Z857" i="13"/>
  <c r="Z858" i="13"/>
  <c r="Z859" i="13"/>
  <c r="Z860" i="13"/>
  <c r="Z861" i="13"/>
  <c r="Z862" i="13"/>
  <c r="Z863" i="13"/>
  <c r="Z864" i="13"/>
  <c r="Z865" i="13"/>
  <c r="Z866" i="13"/>
  <c r="Z867" i="13"/>
  <c r="Z868" i="13"/>
  <c r="Z869" i="13"/>
  <c r="Z870" i="13"/>
  <c r="Z871" i="13"/>
  <c r="Z872" i="13"/>
  <c r="Z873" i="13"/>
  <c r="Z874" i="13"/>
  <c r="Z875" i="13"/>
  <c r="Z876" i="13"/>
  <c r="Z877" i="13"/>
  <c r="Z878" i="13"/>
  <c r="Z879" i="13"/>
  <c r="Z880" i="13"/>
  <c r="Z881" i="13"/>
  <c r="Z882" i="13"/>
  <c r="Z883" i="13"/>
  <c r="Z884" i="13"/>
  <c r="Z885" i="13"/>
  <c r="Z886" i="13"/>
  <c r="Z887" i="13"/>
  <c r="Z888" i="13"/>
  <c r="Z889" i="13"/>
  <c r="Z890" i="13"/>
  <c r="Z891" i="13"/>
  <c r="Z892" i="13"/>
  <c r="Z893" i="13"/>
  <c r="Z894" i="13"/>
  <c r="Z895" i="13"/>
  <c r="Z896" i="13"/>
  <c r="Z897" i="13"/>
  <c r="Z898" i="13"/>
  <c r="Z899" i="13"/>
  <c r="Z900" i="13"/>
  <c r="Z901" i="13"/>
  <c r="Z902" i="13"/>
  <c r="Z903" i="13"/>
  <c r="Z904" i="13"/>
  <c r="Z905" i="13"/>
  <c r="Z906" i="13"/>
  <c r="Z907" i="13"/>
  <c r="Z908" i="13"/>
  <c r="Z909" i="13"/>
  <c r="Z910" i="13"/>
  <c r="Z911" i="13"/>
  <c r="Z912" i="13"/>
  <c r="Z913" i="13"/>
  <c r="Z914" i="13"/>
  <c r="Z915" i="13"/>
  <c r="Z916" i="13"/>
  <c r="Z917" i="13"/>
  <c r="Z918" i="13"/>
  <c r="Z919" i="13"/>
  <c r="Z920" i="13"/>
  <c r="Z921" i="13"/>
  <c r="Z922" i="13"/>
  <c r="Z923" i="13"/>
  <c r="Z924" i="13"/>
  <c r="Z925" i="13"/>
  <c r="Z926" i="13"/>
  <c r="Z927" i="13"/>
  <c r="Z928" i="13"/>
  <c r="Z929" i="13"/>
  <c r="Z930" i="13"/>
  <c r="Z931" i="13"/>
  <c r="Z932" i="13"/>
  <c r="Z933" i="13"/>
  <c r="Z934" i="13"/>
  <c r="Z935" i="13"/>
  <c r="Z936" i="13"/>
  <c r="Z937" i="13"/>
  <c r="Z938" i="13"/>
  <c r="Z939" i="13"/>
  <c r="Z940" i="13"/>
  <c r="Z941" i="13"/>
  <c r="Z942" i="13"/>
  <c r="Z943" i="13"/>
  <c r="Z944" i="13"/>
  <c r="Z945" i="13"/>
  <c r="Z946" i="13"/>
  <c r="Z947" i="13"/>
  <c r="Z948" i="13"/>
  <c r="Z949" i="13"/>
  <c r="Z950" i="13"/>
  <c r="Z951" i="13"/>
  <c r="Z952" i="13"/>
  <c r="Z953" i="13"/>
  <c r="Z954" i="13"/>
  <c r="Z955" i="13"/>
  <c r="Z956" i="13"/>
  <c r="Z957" i="13"/>
  <c r="Z958" i="13"/>
  <c r="Z959" i="13"/>
  <c r="Z960" i="13"/>
  <c r="Z961" i="13"/>
  <c r="Z962" i="13"/>
  <c r="Z963" i="13"/>
  <c r="Z964" i="13"/>
  <c r="Z965" i="13"/>
  <c r="Z966" i="13"/>
  <c r="Z967" i="13"/>
  <c r="Z968" i="13"/>
  <c r="Z969" i="13"/>
  <c r="Z970" i="13"/>
  <c r="Z971" i="13"/>
  <c r="Z972" i="13"/>
  <c r="Z973" i="13"/>
  <c r="Z974" i="13"/>
  <c r="Z975" i="13"/>
  <c r="Z976" i="13"/>
  <c r="Z977" i="13"/>
  <c r="Z978" i="13"/>
  <c r="Z979" i="13"/>
  <c r="Z980" i="13"/>
  <c r="Z981" i="13"/>
  <c r="Z982" i="13"/>
  <c r="Z983" i="13"/>
  <c r="Z984" i="13"/>
  <c r="Z985" i="13"/>
  <c r="Z986" i="13"/>
  <c r="Z987" i="13"/>
  <c r="Z988" i="13"/>
  <c r="Z989" i="13"/>
  <c r="Z990" i="13"/>
  <c r="Z991" i="13"/>
  <c r="Z992" i="13"/>
  <c r="Z993" i="13"/>
  <c r="Z994" i="13"/>
  <c r="Z995" i="13"/>
  <c r="Z996" i="13"/>
  <c r="Z997" i="13"/>
  <c r="Z998" i="13"/>
  <c r="Z999" i="13"/>
  <c r="Z1000" i="13"/>
  <c r="Z1001" i="13"/>
  <c r="Z1002" i="13"/>
  <c r="Z1003" i="13"/>
  <c r="Z1004" i="13"/>
  <c r="Z1005" i="13"/>
  <c r="Z1006" i="13"/>
  <c r="Z1007" i="13"/>
  <c r="Z1008" i="13"/>
  <c r="Z1009" i="13"/>
  <c r="Z1010" i="13"/>
  <c r="Z1011" i="13"/>
  <c r="Z1012" i="13"/>
  <c r="Z1013" i="13"/>
  <c r="Z1014" i="13"/>
  <c r="Z1015" i="13"/>
  <c r="Z1016" i="13"/>
  <c r="Z1017" i="13"/>
  <c r="Z1018" i="13"/>
  <c r="Z1019" i="13"/>
  <c r="Z1020" i="13"/>
  <c r="Z1021" i="13"/>
  <c r="Z1022" i="13"/>
  <c r="Z1023" i="13"/>
  <c r="Z1024" i="13"/>
  <c r="Z1025" i="13"/>
  <c r="Z1026" i="13"/>
  <c r="Z1027" i="13"/>
  <c r="Z1028" i="13"/>
  <c r="Z1029" i="13"/>
  <c r="Z1030" i="13"/>
  <c r="Z1031" i="13"/>
  <c r="Z1032" i="13"/>
  <c r="Z1033" i="13"/>
  <c r="Z1034" i="13"/>
  <c r="Z1035" i="13"/>
  <c r="Z1036" i="13"/>
  <c r="Z1037" i="13"/>
  <c r="Z1038" i="13"/>
  <c r="Z1039" i="13"/>
  <c r="Z1040" i="13"/>
  <c r="Z1041" i="13"/>
  <c r="Z1042" i="13"/>
  <c r="Z1043" i="13"/>
  <c r="Z1044" i="13"/>
  <c r="Z1045" i="13"/>
  <c r="Z1046" i="13"/>
  <c r="Z1047" i="13"/>
  <c r="Z1048" i="13"/>
  <c r="Z1049" i="13"/>
  <c r="Z1050" i="13"/>
  <c r="Z1051" i="13"/>
  <c r="Z1052" i="13"/>
  <c r="Z1053" i="13"/>
  <c r="Z1054" i="13"/>
  <c r="Z1055" i="13"/>
  <c r="Z1056" i="13"/>
  <c r="Z1057" i="13"/>
  <c r="Z1058" i="13"/>
  <c r="Z1059" i="13"/>
  <c r="Z1060" i="13"/>
  <c r="Z1061" i="13"/>
  <c r="Z1062" i="13"/>
  <c r="Z1063" i="13"/>
  <c r="Z1064" i="13"/>
  <c r="Z1065" i="13"/>
  <c r="Z1066" i="13"/>
  <c r="Z1067" i="13"/>
  <c r="Z1068" i="13"/>
  <c r="Z1069" i="13"/>
  <c r="Z1070" i="13"/>
  <c r="Z1071" i="13"/>
  <c r="Z1072" i="13"/>
  <c r="Z1073" i="13"/>
  <c r="Z1074" i="13"/>
  <c r="Z1075" i="13"/>
  <c r="Z1076" i="13"/>
  <c r="Z1077" i="13"/>
  <c r="Z1078" i="13"/>
  <c r="Z1079" i="13"/>
  <c r="Z1080" i="13"/>
  <c r="Z1081" i="13"/>
  <c r="Z1082" i="13"/>
  <c r="Z1083" i="13"/>
  <c r="Z1084" i="13"/>
  <c r="Z1085" i="13"/>
  <c r="Z1086" i="13"/>
  <c r="Z1087" i="13"/>
  <c r="Z1088" i="13"/>
  <c r="Z1089" i="13"/>
  <c r="Z1090" i="13"/>
  <c r="Z1091" i="13"/>
  <c r="Z1092" i="13"/>
  <c r="Z1093" i="13"/>
  <c r="Z1094" i="13"/>
  <c r="Z1095" i="13"/>
  <c r="Z1096" i="13"/>
  <c r="Z1097" i="13"/>
  <c r="Z1098" i="13"/>
  <c r="Z1099" i="13"/>
  <c r="Z1100" i="13"/>
  <c r="Z1101" i="13"/>
  <c r="Z1102" i="13"/>
  <c r="Z1103" i="13"/>
  <c r="Z1104" i="13"/>
  <c r="Z1105" i="13"/>
  <c r="Z1106" i="13"/>
  <c r="Z1107" i="13"/>
  <c r="Z1108" i="13"/>
  <c r="Z1109" i="13"/>
  <c r="Z1110" i="13"/>
  <c r="Z1111" i="13"/>
  <c r="Z1112" i="13"/>
  <c r="Z1113" i="13"/>
  <c r="Z1114" i="13"/>
  <c r="Z1115" i="13"/>
  <c r="Z1116" i="13"/>
  <c r="Z1117" i="13"/>
  <c r="Z1118" i="13"/>
  <c r="Z1119" i="13"/>
  <c r="Z1120" i="13"/>
  <c r="Z1121" i="13"/>
  <c r="Z1122" i="13"/>
  <c r="Z1123" i="13"/>
  <c r="Z1124" i="13"/>
  <c r="Z1125" i="13"/>
  <c r="Z1126" i="13"/>
  <c r="Z1127" i="13"/>
  <c r="Z1128" i="13"/>
  <c r="Z1129" i="13"/>
  <c r="Z1130" i="13"/>
  <c r="Z1131" i="13"/>
  <c r="Z1132" i="13"/>
  <c r="Z1133" i="13"/>
  <c r="Z1134" i="13"/>
  <c r="Z1135" i="13"/>
  <c r="Z1136" i="13"/>
  <c r="Z1137" i="13"/>
  <c r="Z1138" i="13"/>
  <c r="Z1139" i="13"/>
  <c r="Z1140" i="13"/>
  <c r="Z1141" i="13"/>
  <c r="Z1142" i="13"/>
  <c r="Z1143" i="13"/>
  <c r="Z1144" i="13"/>
  <c r="Z1145" i="13"/>
  <c r="Z1146" i="13"/>
  <c r="Z1147" i="13"/>
  <c r="Z1148" i="13"/>
  <c r="Z1149" i="13"/>
  <c r="Z1150" i="13"/>
  <c r="Z1151" i="13"/>
  <c r="Z1152" i="13"/>
  <c r="Z1153" i="13"/>
  <c r="Z1154" i="13"/>
  <c r="Z1155" i="13"/>
  <c r="Z1156" i="13"/>
  <c r="Z1157" i="13"/>
  <c r="Z1158" i="13"/>
  <c r="Z1159" i="13"/>
  <c r="Z1160" i="13"/>
  <c r="Z1161" i="13"/>
  <c r="Z1162" i="13"/>
  <c r="Z1163" i="13"/>
  <c r="Z1164" i="13"/>
  <c r="Z1165" i="13"/>
  <c r="Z1166" i="13"/>
  <c r="Z1167" i="13"/>
  <c r="Z1168" i="13"/>
  <c r="Z1169" i="13"/>
  <c r="Z1170" i="13"/>
  <c r="Z1171" i="13"/>
  <c r="Z1172" i="13"/>
  <c r="Z1173" i="13"/>
  <c r="Z1174" i="13"/>
  <c r="Z1175" i="13"/>
  <c r="Z1176" i="13"/>
  <c r="Z1177" i="13"/>
  <c r="Z1178" i="13"/>
  <c r="Z1179" i="13"/>
  <c r="Z1180" i="13"/>
  <c r="Z1181" i="13"/>
  <c r="Z1182" i="13"/>
  <c r="Z1183" i="13"/>
  <c r="Z1184" i="13"/>
  <c r="Z1185" i="13"/>
  <c r="Z1186" i="13"/>
  <c r="Z1187" i="13"/>
  <c r="Z1188" i="13"/>
  <c r="Z1189" i="13"/>
  <c r="Z1190" i="13"/>
  <c r="Z1191" i="13"/>
  <c r="Z1192" i="13"/>
  <c r="Z1193" i="13"/>
  <c r="Z1194" i="13"/>
  <c r="Z1195" i="13"/>
  <c r="Z1196" i="13"/>
  <c r="Z1197" i="13"/>
  <c r="Z1198" i="13"/>
  <c r="Z1199" i="13"/>
  <c r="Z1200" i="13"/>
  <c r="Z1201" i="13"/>
  <c r="Z1202" i="13"/>
  <c r="Z1203" i="13"/>
  <c r="Z1204" i="13"/>
  <c r="Z1205" i="13"/>
  <c r="Z1206" i="13"/>
  <c r="Z1207" i="13"/>
  <c r="Z1208" i="13"/>
  <c r="Z1209" i="13"/>
  <c r="Z1210" i="13"/>
  <c r="Z1211" i="13"/>
  <c r="Z1212" i="13"/>
  <c r="Z1213" i="13"/>
  <c r="Z1214" i="13"/>
  <c r="Z1215" i="13"/>
  <c r="Z1216" i="13"/>
  <c r="Z1217" i="13"/>
  <c r="Z1218" i="13"/>
  <c r="Z1219" i="13"/>
  <c r="Z1220" i="13"/>
  <c r="Z1221" i="13"/>
  <c r="Z1222" i="13"/>
  <c r="Z1223" i="13"/>
  <c r="Z1224" i="13"/>
  <c r="Z1225" i="13"/>
  <c r="Z1226" i="13"/>
  <c r="Z1227" i="13"/>
  <c r="Z1228" i="13"/>
  <c r="Z1229" i="13"/>
  <c r="Z1230" i="13"/>
  <c r="Z1231" i="13"/>
  <c r="Z1232" i="13"/>
  <c r="Z1233" i="13"/>
  <c r="Z1234" i="13"/>
  <c r="Z1235" i="13"/>
  <c r="Z1236" i="13"/>
  <c r="Z1237" i="13"/>
  <c r="Z1238" i="13"/>
  <c r="Z1239" i="13"/>
  <c r="Z1240" i="13"/>
  <c r="Z1241" i="13"/>
  <c r="Z1242" i="13"/>
  <c r="Z1243" i="13"/>
  <c r="Z1244" i="13"/>
  <c r="Z1245" i="13"/>
  <c r="Z1246" i="13"/>
  <c r="Z1247" i="13"/>
  <c r="Z1248" i="13"/>
  <c r="Z1249" i="13"/>
  <c r="Z1250" i="13"/>
  <c r="Z1251" i="13"/>
  <c r="Z1252" i="13"/>
  <c r="Z1253" i="13"/>
  <c r="Z1254" i="13"/>
  <c r="Z1255" i="13"/>
  <c r="Z1256" i="13"/>
  <c r="Z1257" i="13"/>
  <c r="Z1258" i="13"/>
  <c r="Z1259" i="13"/>
  <c r="Z1260" i="13"/>
  <c r="Z1261" i="13"/>
  <c r="Z1262" i="13"/>
  <c r="Z1263" i="13"/>
  <c r="Z1264" i="13"/>
  <c r="Z1265" i="13"/>
  <c r="Z1266" i="13"/>
  <c r="Z1267" i="13"/>
  <c r="Z1268" i="13"/>
  <c r="Z1269" i="13"/>
  <c r="Z1270" i="13"/>
  <c r="Z1271" i="13"/>
  <c r="Z1272" i="13"/>
  <c r="Z1273" i="13"/>
  <c r="Z1274" i="13"/>
  <c r="Z1275" i="13"/>
  <c r="Z1276" i="13"/>
  <c r="Z1277" i="13"/>
  <c r="Z1278" i="13"/>
  <c r="Z1279" i="13"/>
  <c r="Z1280" i="13"/>
  <c r="Z1281" i="13"/>
  <c r="Z1282" i="13"/>
  <c r="Z1283" i="13"/>
  <c r="Z1284" i="13"/>
  <c r="Z1285" i="13"/>
  <c r="Z1286" i="13"/>
  <c r="Z1287" i="13"/>
  <c r="Z1288" i="13"/>
  <c r="Z1289" i="13"/>
  <c r="Z1290" i="13"/>
  <c r="Z1291" i="13"/>
  <c r="Z1292" i="13"/>
  <c r="Z1293" i="13"/>
  <c r="Z1294" i="13"/>
  <c r="Z1295" i="13"/>
  <c r="Z1296" i="13"/>
  <c r="Z1297" i="13"/>
  <c r="Z1298" i="13"/>
  <c r="Z1299" i="13"/>
  <c r="Z1300" i="13"/>
  <c r="Z1301" i="13"/>
  <c r="Z1302" i="13"/>
  <c r="Z1303" i="13"/>
  <c r="Z1304" i="13"/>
  <c r="Z1305" i="13"/>
  <c r="Z1306" i="13"/>
  <c r="Z1307" i="13"/>
  <c r="Z1308" i="13"/>
  <c r="Z1309" i="13"/>
  <c r="Z1310" i="13"/>
  <c r="Z1311" i="13"/>
  <c r="Z1312" i="13"/>
  <c r="Z1313" i="13"/>
  <c r="Z1314" i="13"/>
  <c r="Z1315" i="13"/>
  <c r="Z1316" i="13"/>
  <c r="Z1317" i="13"/>
  <c r="Z1318" i="13"/>
  <c r="Z1319" i="13"/>
  <c r="Z1320" i="13"/>
  <c r="Z1321" i="13"/>
  <c r="Z1322" i="13"/>
  <c r="Z1323" i="13"/>
  <c r="Z1324" i="13"/>
  <c r="Z1325" i="13"/>
  <c r="Z1326" i="13"/>
  <c r="Z1327" i="13"/>
  <c r="Z1328" i="13"/>
  <c r="Z1329" i="13"/>
  <c r="Z1330" i="13"/>
  <c r="Z1331" i="13"/>
  <c r="Z1332" i="13"/>
  <c r="Z1333" i="13"/>
  <c r="Z1334" i="13"/>
  <c r="Z1335" i="13"/>
  <c r="Z1336" i="13"/>
  <c r="Z1337" i="13"/>
  <c r="Z1338" i="13"/>
  <c r="Z1339" i="13"/>
  <c r="Z1340" i="13"/>
  <c r="Z1341" i="13"/>
  <c r="Z1342" i="13"/>
  <c r="Z1343" i="13"/>
  <c r="Z1344" i="13"/>
  <c r="Z1345" i="13"/>
  <c r="Z1346" i="13"/>
  <c r="Z1347" i="13"/>
  <c r="Z1348" i="13"/>
  <c r="Z1349" i="13"/>
  <c r="Z1350" i="13"/>
  <c r="Z1351" i="13"/>
  <c r="Z1352" i="13"/>
  <c r="Z1353" i="13"/>
  <c r="Z1354" i="13"/>
  <c r="Z1355" i="13"/>
  <c r="Z1356" i="13"/>
  <c r="Z1357" i="13"/>
  <c r="Z1358" i="13"/>
  <c r="Z1359" i="13"/>
  <c r="Z1360" i="13"/>
  <c r="Z1361" i="13"/>
  <c r="Z1362" i="13"/>
  <c r="Z1363" i="13"/>
  <c r="Z1364" i="13"/>
  <c r="Z1365" i="13"/>
  <c r="Z1366" i="13"/>
  <c r="Z1367" i="13"/>
  <c r="Z1368" i="13"/>
  <c r="Z1369" i="13"/>
  <c r="Z1370" i="13"/>
  <c r="Z1371" i="13"/>
  <c r="Z1372" i="13"/>
  <c r="Z1373" i="13"/>
  <c r="Z1374" i="13"/>
  <c r="Z1375" i="13"/>
  <c r="Z1376" i="13"/>
  <c r="Z1377" i="13"/>
  <c r="Z1378" i="13"/>
  <c r="Z1379" i="13"/>
  <c r="Z1380" i="13"/>
  <c r="Z1381" i="13"/>
  <c r="Z1382" i="13"/>
  <c r="Z1383" i="13"/>
  <c r="Z1384" i="13"/>
  <c r="Z1385" i="13"/>
  <c r="Z1386" i="13"/>
  <c r="Z1387" i="13"/>
  <c r="Z1388" i="13"/>
  <c r="Z1389" i="13"/>
  <c r="Z1390" i="13"/>
  <c r="Z1391" i="13"/>
  <c r="Z1392" i="13"/>
  <c r="Z1393" i="13"/>
  <c r="Z1394" i="13"/>
  <c r="Z1395" i="13"/>
  <c r="Z1396" i="13"/>
  <c r="Z1397" i="13"/>
  <c r="Z1398" i="13"/>
  <c r="Z1399" i="13"/>
  <c r="Z1400" i="13"/>
  <c r="Z1401" i="13"/>
  <c r="Z1402" i="13"/>
  <c r="Z1403" i="13"/>
  <c r="Z1404" i="13"/>
  <c r="Z1405" i="13"/>
  <c r="Z1406" i="13"/>
  <c r="Z1407" i="13"/>
  <c r="Z1408" i="13"/>
  <c r="Z1409" i="13"/>
  <c r="Z1410" i="13"/>
  <c r="Z1411" i="13"/>
  <c r="Z1412" i="13"/>
  <c r="Z1413" i="13"/>
  <c r="Z1414" i="13"/>
  <c r="Z1415" i="13"/>
  <c r="Z1416" i="13"/>
  <c r="Z1417" i="13"/>
  <c r="Z1418" i="13"/>
  <c r="Z1419" i="13"/>
  <c r="Z1420" i="13"/>
  <c r="Z1421" i="13"/>
  <c r="Z1422" i="13"/>
  <c r="Z1423" i="13"/>
  <c r="Z1424" i="13"/>
  <c r="Z1425" i="13"/>
  <c r="Z1426" i="13"/>
  <c r="Z1427" i="13"/>
  <c r="Z1428" i="13"/>
  <c r="Z1429" i="13"/>
  <c r="Z1430" i="13"/>
  <c r="Z1431" i="13"/>
  <c r="Z1432" i="13"/>
  <c r="Z1433" i="13"/>
  <c r="Z1434" i="13"/>
  <c r="Z1435" i="13"/>
  <c r="Z1436" i="13"/>
  <c r="Z1437" i="13"/>
  <c r="Z1438" i="13"/>
  <c r="Z1439" i="13"/>
  <c r="Z1440" i="13"/>
  <c r="Z1441" i="13"/>
  <c r="Z1442" i="13"/>
  <c r="Z1443" i="13"/>
  <c r="Z1444" i="13"/>
  <c r="Z1445" i="13"/>
  <c r="Z1446" i="13"/>
  <c r="Z1447" i="13"/>
  <c r="Z1448" i="13"/>
  <c r="Z1449" i="13"/>
  <c r="Z1450" i="13"/>
  <c r="Z1451" i="13"/>
  <c r="Z1452" i="13"/>
  <c r="AB1455" i="13" s="1"/>
  <c r="Z1453" i="13"/>
  <c r="Z1454" i="13"/>
  <c r="Z1455" i="13"/>
  <c r="Z1456" i="13"/>
  <c r="Z1457" i="13"/>
  <c r="Z1458" i="13"/>
  <c r="Z1459" i="13"/>
  <c r="Z1460" i="13"/>
  <c r="Z1461" i="13"/>
  <c r="Z1462" i="13"/>
  <c r="Z1463" i="13"/>
  <c r="Z1464" i="13"/>
  <c r="Z1465" i="13"/>
  <c r="Z1466" i="13"/>
  <c r="Z1467" i="13"/>
  <c r="Z1468" i="13"/>
  <c r="Z1469" i="13"/>
  <c r="Z1470" i="13"/>
  <c r="Z1471" i="13"/>
  <c r="Z1472" i="13"/>
  <c r="Z1473" i="13"/>
  <c r="Z1474" i="13"/>
  <c r="Z1475" i="13"/>
  <c r="Z1476" i="13"/>
  <c r="Z1477" i="13"/>
  <c r="Z1478" i="13"/>
  <c r="Z1479" i="13"/>
  <c r="Z1480" i="13"/>
  <c r="Z1481" i="13"/>
  <c r="Z1482" i="13"/>
  <c r="Z1483" i="13"/>
  <c r="Z1484" i="13"/>
  <c r="Z1485" i="13"/>
  <c r="Z1486" i="13"/>
  <c r="Z1487" i="13"/>
  <c r="Z1488" i="13"/>
  <c r="Z1489" i="13"/>
  <c r="Z1490" i="13"/>
  <c r="Z1491" i="13"/>
  <c r="Z1492" i="13"/>
  <c r="Z1493" i="13"/>
  <c r="Z1494" i="13"/>
  <c r="Z1495" i="13"/>
  <c r="Z1496" i="13"/>
  <c r="Z1497" i="13"/>
  <c r="Z1498" i="13"/>
  <c r="Z1499" i="13"/>
  <c r="Z1500" i="13"/>
  <c r="Z1501" i="13"/>
  <c r="Z1502" i="13"/>
  <c r="Z1503" i="13"/>
  <c r="Z1504" i="13"/>
  <c r="Z1505" i="13"/>
  <c r="Z1506" i="13"/>
  <c r="Z1507" i="13"/>
  <c r="Z1508" i="13"/>
  <c r="Z1509" i="13"/>
  <c r="Z1510" i="13"/>
  <c r="Z1511" i="13"/>
  <c r="Z1512" i="13"/>
  <c r="Z1513" i="13"/>
  <c r="Z1514" i="13"/>
  <c r="Z1515" i="13"/>
  <c r="Z1516" i="13"/>
  <c r="Z1517" i="13"/>
  <c r="Z1518" i="13"/>
  <c r="Z1519" i="13"/>
  <c r="Z1520" i="13"/>
  <c r="Z1521" i="13"/>
  <c r="Z1522" i="13"/>
  <c r="Z1523" i="13"/>
  <c r="Z1524" i="13"/>
  <c r="Z1525" i="13"/>
  <c r="Z1526" i="13"/>
  <c r="Z1527" i="13"/>
  <c r="Z1528" i="13"/>
  <c r="Z1529" i="13"/>
  <c r="Z1530" i="13"/>
  <c r="Z1531" i="13"/>
  <c r="Z1532" i="13"/>
  <c r="Z1533" i="13"/>
  <c r="Z1534" i="13"/>
  <c r="Z1535" i="13"/>
  <c r="Z1536" i="13"/>
  <c r="Z1537" i="13"/>
  <c r="Z1538" i="13"/>
  <c r="Z1539" i="13"/>
  <c r="Z1540" i="13"/>
  <c r="Z1541" i="13"/>
  <c r="Z1542" i="13"/>
  <c r="Z1543" i="13"/>
  <c r="Z1544" i="13"/>
  <c r="Z1545" i="13"/>
  <c r="Z1546" i="13"/>
  <c r="Z1547" i="13"/>
  <c r="Z1548" i="13"/>
  <c r="Z1549" i="13"/>
  <c r="Z1550" i="13"/>
  <c r="Z1551" i="13"/>
  <c r="Z1552" i="13"/>
  <c r="Z1553" i="13"/>
  <c r="Z1554" i="13"/>
  <c r="Z1555" i="13"/>
  <c r="Z1556" i="13"/>
  <c r="Z1557" i="13"/>
  <c r="Z1558" i="13"/>
  <c r="Z1559" i="13"/>
  <c r="Z1560" i="13"/>
  <c r="Z1561" i="13"/>
  <c r="Z1562" i="13"/>
  <c r="Z1563" i="13"/>
  <c r="Z1564" i="13"/>
  <c r="Z1565" i="13"/>
  <c r="Z1566" i="13"/>
  <c r="Z1567" i="13"/>
  <c r="Z1568" i="13"/>
  <c r="Z1569" i="13"/>
  <c r="Z1570" i="13"/>
  <c r="Z1571" i="13"/>
  <c r="Z1572" i="13"/>
  <c r="Z1573" i="13"/>
  <c r="Z1574" i="13"/>
  <c r="Z1575" i="13"/>
  <c r="Z1576" i="13"/>
  <c r="Z1577" i="13"/>
  <c r="Z1578" i="13"/>
  <c r="Z1579" i="13"/>
  <c r="Z1580" i="13"/>
  <c r="Z1581" i="13"/>
  <c r="Z1582" i="13"/>
  <c r="Z1583" i="13"/>
  <c r="Z1584" i="13"/>
  <c r="Z1585" i="13"/>
  <c r="Z1586" i="13"/>
  <c r="Z1587" i="13"/>
  <c r="Z1588" i="13"/>
  <c r="Z1589" i="13"/>
  <c r="Z1590" i="13"/>
  <c r="Z1591" i="13"/>
  <c r="Z1592" i="13"/>
  <c r="Z1593" i="13"/>
  <c r="Z1594" i="13"/>
  <c r="Z1595" i="13"/>
  <c r="Z1596" i="13"/>
  <c r="Z1597" i="13"/>
  <c r="Z1598" i="13"/>
  <c r="Z1599" i="13"/>
  <c r="Z1600" i="13"/>
  <c r="Z1601" i="13"/>
  <c r="AB1604" i="13" s="1"/>
  <c r="Z1602" i="13"/>
  <c r="Z1603" i="13"/>
  <c r="AB1606" i="13" s="1"/>
  <c r="Z1604" i="13"/>
  <c r="Z1605" i="13"/>
  <c r="AB1608" i="13" s="1"/>
  <c r="Z1606" i="13"/>
  <c r="Z1607" i="13"/>
  <c r="Z1608" i="13"/>
  <c r="Z1609" i="13"/>
  <c r="Z1610" i="13"/>
  <c r="Z1611" i="13"/>
  <c r="Z1612" i="13"/>
  <c r="Z1613" i="13"/>
  <c r="Z1614" i="13"/>
  <c r="Z1615" i="13"/>
  <c r="Z1616" i="13"/>
  <c r="Z1617" i="13"/>
  <c r="Z1618" i="13"/>
  <c r="Z1619" i="13"/>
  <c r="Z1620" i="13"/>
  <c r="Z1621" i="13"/>
  <c r="Z1622" i="13"/>
  <c r="Z1623" i="13"/>
  <c r="Z1624" i="13"/>
  <c r="Z1625" i="13"/>
  <c r="Z1626" i="13"/>
  <c r="Z1627" i="13"/>
  <c r="Z1628" i="13"/>
  <c r="Z1629" i="13"/>
  <c r="Z1630" i="13"/>
  <c r="Z1631" i="13"/>
  <c r="Z1632" i="13"/>
  <c r="Z1633" i="13"/>
  <c r="Z1634" i="13"/>
  <c r="Z1635" i="13"/>
  <c r="Z1636" i="13"/>
  <c r="Z1637" i="13"/>
  <c r="Z1638" i="13"/>
  <c r="Z1639" i="13"/>
  <c r="Z1640" i="13"/>
  <c r="Z1641" i="13"/>
  <c r="Z1642" i="13"/>
  <c r="Z1643" i="13"/>
  <c r="Z1644" i="13"/>
  <c r="Z1645" i="13"/>
  <c r="Z1646" i="13"/>
  <c r="Z1647" i="13"/>
  <c r="Z125" i="13"/>
  <c r="AB1607" i="13" l="1"/>
  <c r="AB1609" i="13"/>
  <c r="AB1457" i="13"/>
  <c r="AB1454" i="13"/>
  <c r="AB1459" i="13"/>
  <c r="AB1458" i="13"/>
  <c r="AB1456" i="13"/>
  <c r="AB1605" i="13"/>
  <c r="G10" i="10"/>
  <c r="G11" i="10"/>
  <c r="H11" i="10" s="1"/>
  <c r="G14" i="10"/>
  <c r="G15" i="10"/>
  <c r="H10" i="10" l="1"/>
  <c r="B12" i="13"/>
  <c r="H4" i="13" l="1"/>
  <c r="H5" i="13" s="1"/>
  <c r="H6" i="13" s="1"/>
  <c r="H7" i="13" s="1"/>
  <c r="H8" i="13" s="1"/>
  <c r="H9" i="13" s="1"/>
  <c r="H10" i="13" s="1"/>
  <c r="H11" i="13" s="1"/>
  <c r="H12" i="13" s="1"/>
  <c r="H13" i="13" s="1"/>
  <c r="H14" i="13" s="1"/>
  <c r="H15" i="13" s="1"/>
  <c r="H16" i="13" s="1"/>
  <c r="H17" i="13" s="1"/>
  <c r="H18" i="13" s="1"/>
  <c r="H19" i="13" s="1"/>
  <c r="H20" i="13" s="1"/>
  <c r="H21" i="13" s="1"/>
  <c r="H22" i="13" s="1"/>
  <c r="H23" i="13" s="1"/>
  <c r="H24" i="13" s="1"/>
  <c r="H25" i="13" s="1"/>
  <c r="H26" i="13" s="1"/>
  <c r="H27" i="13" s="1"/>
  <c r="H28" i="13" s="1"/>
  <c r="H29" i="13" s="1"/>
  <c r="H30" i="13" s="1"/>
  <c r="H31" i="13" s="1"/>
  <c r="H32" i="13" s="1"/>
  <c r="H33" i="13" s="1"/>
  <c r="H34" i="13" s="1"/>
  <c r="H35" i="13" s="1"/>
  <c r="H36" i="13" s="1"/>
  <c r="H37" i="13" s="1"/>
  <c r="H38" i="13" s="1"/>
  <c r="H39" i="13" s="1"/>
  <c r="H40" i="13" s="1"/>
  <c r="H41" i="13" s="1"/>
  <c r="H42" i="13" s="1"/>
  <c r="H43" i="13" s="1"/>
  <c r="H44" i="13" s="1"/>
  <c r="H45" i="13" s="1"/>
  <c r="H46" i="13" s="1"/>
  <c r="H47" i="13" s="1"/>
  <c r="H48" i="13" s="1"/>
  <c r="H49" i="13" s="1"/>
  <c r="H50" i="13" s="1"/>
  <c r="H51" i="13" s="1"/>
  <c r="H52" i="13" s="1"/>
  <c r="H53" i="13" s="1"/>
  <c r="H54" i="13" s="1"/>
  <c r="H55" i="13" s="1"/>
  <c r="H56" i="13" s="1"/>
  <c r="H57" i="13" s="1"/>
  <c r="H58" i="13" s="1"/>
  <c r="H59" i="13" s="1"/>
  <c r="H60" i="13" s="1"/>
  <c r="H61" i="13" s="1"/>
  <c r="H62" i="13" s="1"/>
  <c r="H63" i="13" s="1"/>
  <c r="H64" i="13" s="1"/>
  <c r="H65" i="13" s="1"/>
  <c r="H66" i="13" s="1"/>
  <c r="H67" i="13" s="1"/>
  <c r="H68" i="13" s="1"/>
  <c r="H69" i="13" s="1"/>
  <c r="H70" i="13" s="1"/>
  <c r="H71" i="13" s="1"/>
  <c r="H72" i="13" s="1"/>
  <c r="H73" i="13" s="1"/>
  <c r="H74" i="13" s="1"/>
  <c r="H75" i="13" s="1"/>
  <c r="H76" i="13" s="1"/>
  <c r="H77" i="13" s="1"/>
  <c r="H78" i="13" s="1"/>
  <c r="H79" i="13" s="1"/>
  <c r="H80" i="13" s="1"/>
  <c r="H81" i="13" s="1"/>
  <c r="H82" i="13" s="1"/>
  <c r="H83" i="13" s="1"/>
  <c r="H84" i="13" s="1"/>
  <c r="H85" i="13" s="1"/>
  <c r="H86" i="13" s="1"/>
  <c r="H87" i="13" s="1"/>
  <c r="H88" i="13" s="1"/>
  <c r="H89" i="13" s="1"/>
  <c r="H90" i="13" s="1"/>
  <c r="H91" i="13" s="1"/>
  <c r="H92" i="13" s="1"/>
  <c r="H93" i="13" s="1"/>
  <c r="H94" i="13" s="1"/>
  <c r="H95" i="13" s="1"/>
  <c r="H96" i="13" s="1"/>
  <c r="H97" i="13" s="1"/>
  <c r="H98" i="13" s="1"/>
  <c r="H99" i="13" s="1"/>
  <c r="H100" i="13" s="1"/>
  <c r="H101" i="13" s="1"/>
  <c r="H102" i="13" s="1"/>
  <c r="H103" i="13" s="1"/>
  <c r="H104" i="13" s="1"/>
  <c r="H105" i="13" s="1"/>
  <c r="H106" i="13" s="1"/>
  <c r="H107" i="13" s="1"/>
  <c r="H108" i="13" s="1"/>
  <c r="H109" i="13" s="1"/>
  <c r="H110" i="13" s="1"/>
  <c r="H111" i="13" s="1"/>
  <c r="H112" i="13" s="1"/>
  <c r="H113" i="13" s="1"/>
  <c r="H114" i="13" s="1"/>
  <c r="H115" i="13" s="1"/>
  <c r="H116" i="13" s="1"/>
  <c r="H117" i="13" s="1"/>
  <c r="H118" i="13" s="1"/>
  <c r="H119" i="13" s="1"/>
  <c r="H120" i="13" s="1"/>
  <c r="H121" i="13" s="1"/>
  <c r="H122" i="13" s="1"/>
  <c r="H123" i="13" s="1"/>
  <c r="H124" i="13" s="1"/>
  <c r="B13" i="13"/>
  <c r="B15" i="13" s="1"/>
  <c r="E8" i="13"/>
  <c r="E4" i="13"/>
  <c r="B17" i="13" l="1"/>
  <c r="E16" i="13"/>
  <c r="E9" i="13"/>
  <c r="K3" i="13"/>
  <c r="P3" i="13" s="1"/>
  <c r="E15" i="13" l="1"/>
  <c r="AE10" i="13" s="1"/>
  <c r="AD25" i="13"/>
  <c r="AD36" i="13"/>
  <c r="AD18" i="13"/>
  <c r="AD94" i="13"/>
  <c r="AD13" i="13"/>
  <c r="AD5" i="13"/>
  <c r="AD87" i="13"/>
  <c r="AD64" i="13"/>
  <c r="AD74" i="13"/>
  <c r="AD67" i="13"/>
  <c r="Q3" i="13"/>
  <c r="J3" i="13" s="1"/>
  <c r="AD39" i="13"/>
  <c r="AD21" i="13"/>
  <c r="AD62" i="13"/>
  <c r="AD15" i="13"/>
  <c r="AD12" i="13"/>
  <c r="AD38" i="13"/>
  <c r="AD16" i="13"/>
  <c r="AD59" i="13"/>
  <c r="AD41" i="13"/>
  <c r="AD76" i="13"/>
  <c r="AD19" i="13"/>
  <c r="AD17" i="13"/>
  <c r="AD58" i="13"/>
  <c r="AD85" i="13"/>
  <c r="AD20" i="13"/>
  <c r="AD75" i="13"/>
  <c r="AD23" i="13"/>
  <c r="AD65" i="13"/>
  <c r="AD92" i="13"/>
  <c r="AD77" i="13"/>
  <c r="AD81" i="13"/>
  <c r="AD49" i="13"/>
  <c r="AD10" i="13"/>
  <c r="AD46" i="13"/>
  <c r="AD56" i="13"/>
  <c r="AD90" i="13"/>
  <c r="AD7" i="13"/>
  <c r="AD60" i="13"/>
  <c r="AD51" i="13"/>
  <c r="AD22" i="13"/>
  <c r="AD27" i="13"/>
  <c r="AD42" i="13"/>
  <c r="AD70" i="13"/>
  <c r="AD11" i="13"/>
  <c r="AD53" i="13"/>
  <c r="AD95" i="13"/>
  <c r="AD68" i="13"/>
  <c r="AD14" i="13"/>
  <c r="AD79" i="13"/>
  <c r="AD63" i="13"/>
  <c r="AD61" i="13"/>
  <c r="AD72" i="13"/>
  <c r="AD73" i="13"/>
  <c r="AD48" i="13"/>
  <c r="AD30" i="13"/>
  <c r="AD40" i="13"/>
  <c r="AD83" i="13"/>
  <c r="AD43" i="13"/>
  <c r="AD8" i="13"/>
  <c r="AD50" i="13"/>
  <c r="AD93" i="13"/>
  <c r="AD66" i="13"/>
  <c r="AD57" i="13"/>
  <c r="AD47" i="13"/>
  <c r="AD45" i="13"/>
  <c r="AD88" i="13"/>
  <c r="AD89" i="13"/>
  <c r="AD69" i="13"/>
  <c r="AD6" i="13"/>
  <c r="AD32" i="13"/>
  <c r="AD44" i="13"/>
  <c r="AD26" i="13"/>
  <c r="AD86" i="13"/>
  <c r="AD52" i="13"/>
  <c r="AD82" i="13"/>
  <c r="AD34" i="13"/>
  <c r="AD78" i="13"/>
  <c r="AD28" i="13"/>
  <c r="AD9" i="13"/>
  <c r="AD54" i="13"/>
  <c r="AD55" i="13"/>
  <c r="AD37" i="13"/>
  <c r="AD80" i="13"/>
  <c r="AD31" i="13"/>
  <c r="AD29" i="13"/>
  <c r="AD91" i="13"/>
  <c r="AD35" i="13"/>
  <c r="AD33" i="13"/>
  <c r="AD84" i="13"/>
  <c r="AD71" i="13"/>
  <c r="AD24" i="13"/>
  <c r="M3" i="13" l="1"/>
  <c r="L3" i="13"/>
  <c r="N3" i="13"/>
  <c r="AE94" i="13"/>
  <c r="AE46" i="13"/>
  <c r="AE82" i="13"/>
  <c r="AE33" i="13"/>
  <c r="AE45" i="13"/>
  <c r="AE76" i="13"/>
  <c r="AE93" i="13"/>
  <c r="AE84" i="13"/>
  <c r="AE90" i="13"/>
  <c r="AE7" i="13"/>
  <c r="AE60" i="13"/>
  <c r="AE49" i="13"/>
  <c r="AE16" i="13"/>
  <c r="AE20" i="13"/>
  <c r="AE62" i="13"/>
  <c r="AE59" i="13"/>
  <c r="AE41" i="13"/>
  <c r="AE65" i="13"/>
  <c r="AE31" i="13"/>
  <c r="AE22" i="13"/>
  <c r="AE17" i="13"/>
  <c r="AE19" i="13"/>
  <c r="AE8" i="13"/>
  <c r="AE11" i="13"/>
  <c r="AE5" i="13"/>
  <c r="AE75" i="13"/>
  <c r="AE23" i="13"/>
  <c r="AE95" i="13"/>
  <c r="AE85" i="13"/>
  <c r="AE44" i="13"/>
  <c r="AE43" i="13"/>
  <c r="AE73" i="13"/>
  <c r="AE35" i="13"/>
  <c r="AE68" i="13"/>
  <c r="AE57" i="13"/>
  <c r="AE72" i="13"/>
  <c r="AE67" i="13"/>
  <c r="AE28" i="13"/>
  <c r="AE27" i="13"/>
  <c r="AE18" i="13"/>
  <c r="AE66" i="13"/>
  <c r="AE56" i="13"/>
  <c r="AE92" i="13"/>
  <c r="AE12" i="13"/>
  <c r="AE88" i="13"/>
  <c r="AE52" i="13"/>
  <c r="AE89" i="13"/>
  <c r="AE87" i="13"/>
  <c r="AE81" i="13"/>
  <c r="AE40" i="13"/>
  <c r="AE34" i="13"/>
  <c r="AE50" i="13"/>
  <c r="AE24" i="13"/>
  <c r="AE55" i="13"/>
  <c r="AE14" i="13"/>
  <c r="AE9" i="13"/>
  <c r="AE91" i="13"/>
  <c r="AE51" i="13"/>
  <c r="AE83" i="13"/>
  <c r="AE39" i="13"/>
  <c r="AE78" i="13"/>
  <c r="AE61" i="13"/>
  <c r="AE36" i="13"/>
  <c r="AE32" i="13"/>
  <c r="AE25" i="13"/>
  <c r="AE74" i="13"/>
  <c r="AE77" i="13"/>
  <c r="AE29" i="13"/>
  <c r="R3" i="13"/>
  <c r="AE79" i="13"/>
  <c r="AE30" i="13"/>
  <c r="AE64" i="13"/>
  <c r="AE58" i="13"/>
  <c r="AE53" i="13"/>
  <c r="AE69" i="13"/>
  <c r="AE26" i="13"/>
  <c r="AE21" i="13"/>
  <c r="AE70" i="13"/>
  <c r="AE63" i="13"/>
  <c r="AE54" i="13"/>
  <c r="AE71" i="13"/>
  <c r="AE42" i="13"/>
  <c r="AE37" i="13"/>
  <c r="AE80" i="13"/>
  <c r="AE15" i="13"/>
  <c r="AE6" i="13"/>
  <c r="AE48" i="13"/>
  <c r="AE47" i="13"/>
  <c r="AE38" i="13"/>
  <c r="AE86" i="13"/>
  <c r="AE13" i="13"/>
  <c r="I4" i="13" l="1"/>
  <c r="O4" i="13" s="1"/>
  <c r="K4" i="13" l="1"/>
  <c r="P4" i="13" s="1"/>
  <c r="R4" i="13" l="1"/>
  <c r="Q4" i="13"/>
  <c r="J4" i="13" s="1"/>
  <c r="M4" i="13" s="1"/>
  <c r="T4" i="13" s="1"/>
  <c r="T3" i="13" s="1"/>
  <c r="L4" i="13" l="1"/>
  <c r="N4" i="13"/>
  <c r="I5" i="13" l="1"/>
  <c r="O5" i="13" s="1"/>
  <c r="K5" i="13" s="1"/>
  <c r="P5" i="13" s="1"/>
  <c r="Q5" i="13" l="1"/>
  <c r="J5" i="13" s="1"/>
  <c r="N5" i="13" s="1"/>
  <c r="R5" i="13"/>
  <c r="L5" i="13" l="1"/>
  <c r="M5" i="13"/>
  <c r="T5" i="13" s="1"/>
  <c r="I6" i="13" l="1"/>
  <c r="O6" i="13" s="1"/>
  <c r="K6" i="13" l="1"/>
  <c r="P6" i="13" s="1"/>
  <c r="Q6" i="13" s="1"/>
  <c r="J6" i="13" s="1"/>
  <c r="M6" i="13" s="1"/>
  <c r="T6" i="13" s="1"/>
  <c r="R6" i="13" l="1"/>
  <c r="N6" i="13"/>
  <c r="L6" i="13"/>
  <c r="I7" i="13" l="1"/>
  <c r="O7" i="13" s="1"/>
  <c r="K7" i="13" l="1"/>
  <c r="P7" i="13" l="1"/>
  <c r="Q7" i="13" l="1"/>
  <c r="J7" i="13" s="1"/>
  <c r="N7" i="13" s="1"/>
  <c r="R7" i="13"/>
  <c r="M7" i="13" l="1"/>
  <c r="T7" i="13" s="1"/>
  <c r="L7" i="13"/>
  <c r="I8" i="13" l="1"/>
  <c r="O8" i="13" s="1"/>
  <c r="K8" i="13" l="1"/>
  <c r="P8" i="13" l="1"/>
  <c r="Q8" i="13" l="1"/>
  <c r="J8" i="13" s="1"/>
  <c r="N8" i="13" s="1"/>
  <c r="R8" i="13"/>
  <c r="M8" i="13" l="1"/>
  <c r="T8" i="13" s="1"/>
  <c r="L8" i="13"/>
  <c r="I9" i="13" l="1"/>
  <c r="O9" i="13" s="1"/>
  <c r="K9" i="13" l="1"/>
  <c r="P9" i="13" l="1"/>
  <c r="Q9" i="13" l="1"/>
  <c r="J9" i="13" s="1"/>
  <c r="N9" i="13" s="1"/>
  <c r="R9" i="13"/>
  <c r="M9" i="13" l="1"/>
  <c r="T9" i="13" s="1"/>
  <c r="L9" i="13"/>
  <c r="I10" i="13" l="1"/>
  <c r="O10" i="13" s="1"/>
  <c r="K10" i="13" l="1"/>
  <c r="P10" i="13" s="1"/>
  <c r="Q10" i="13" s="1"/>
  <c r="J10" i="13" s="1"/>
  <c r="L10" i="13" s="1"/>
  <c r="R10" i="13" l="1"/>
  <c r="N10" i="13"/>
  <c r="M10" i="13"/>
  <c r="T10" i="13" s="1"/>
  <c r="I11" i="13" l="1"/>
  <c r="O11" i="13" s="1"/>
  <c r="K11" i="13" l="1"/>
  <c r="P11" i="13" s="1"/>
  <c r="Q11" i="13" s="1"/>
  <c r="J11" i="13" s="1"/>
  <c r="L11" i="13" l="1"/>
  <c r="N11" i="13"/>
  <c r="R11" i="13"/>
  <c r="M11" i="13"/>
  <c r="T11" i="13" s="1"/>
  <c r="I12" i="13" l="1"/>
  <c r="O12" i="13" s="1"/>
  <c r="K12" i="13" l="1"/>
  <c r="P12" i="13" l="1"/>
  <c r="Q12" i="13" s="1"/>
  <c r="J12" i="13" s="1"/>
  <c r="N12" i="13" s="1"/>
  <c r="R12" i="13" l="1"/>
  <c r="M12" i="13"/>
  <c r="T12" i="13" s="1"/>
  <c r="L12" i="13"/>
  <c r="I13" i="13" l="1"/>
  <c r="O13" i="13" s="1"/>
  <c r="K13" i="13" l="1"/>
  <c r="P13" i="13" s="1"/>
  <c r="Q13" i="13" l="1"/>
  <c r="J13" i="13" s="1"/>
  <c r="N13" i="13" s="1"/>
  <c r="R13" i="13"/>
  <c r="M13" i="13" l="1"/>
  <c r="T13" i="13" s="1"/>
  <c r="L13" i="13"/>
  <c r="I14" i="13" l="1"/>
  <c r="O14" i="13" s="1"/>
  <c r="K14" i="13" l="1"/>
  <c r="P14" i="13" s="1"/>
  <c r="Q14" i="13" l="1"/>
  <c r="J14" i="13" s="1"/>
  <c r="N14" i="13" s="1"/>
  <c r="R14" i="13"/>
  <c r="M14" i="13" l="1"/>
  <c r="T14" i="13" s="1"/>
  <c r="L14" i="13"/>
  <c r="I15" i="13" l="1"/>
  <c r="O15" i="13" s="1"/>
  <c r="K15" i="13" l="1"/>
  <c r="P15" i="13" s="1"/>
  <c r="Q15" i="13" s="1"/>
  <c r="J15" i="13" s="1"/>
  <c r="L15" i="13" s="1"/>
  <c r="R15" i="13" l="1"/>
  <c r="N15" i="13"/>
  <c r="M15" i="13"/>
  <c r="T15" i="13" s="1"/>
  <c r="I16" i="13" l="1"/>
  <c r="O16" i="13" s="1"/>
  <c r="K16" i="13" l="1"/>
  <c r="P16" i="13" s="1"/>
  <c r="Q16" i="13" s="1"/>
  <c r="J16" i="13" s="1"/>
  <c r="L16" i="13" s="1"/>
  <c r="R16" i="13" l="1"/>
  <c r="N16" i="13"/>
  <c r="M16" i="13"/>
  <c r="T16" i="13" s="1"/>
  <c r="I17" i="13" l="1"/>
  <c r="O17" i="13" s="1"/>
  <c r="K17" i="13" l="1"/>
  <c r="P17" i="13" s="1"/>
  <c r="Q17" i="13" s="1"/>
  <c r="J17" i="13" s="1"/>
  <c r="L17" i="13" s="1"/>
  <c r="R17" i="13" l="1"/>
  <c r="N17" i="13"/>
  <c r="M17" i="13"/>
  <c r="T17" i="13" s="1"/>
  <c r="I18" i="13" l="1"/>
  <c r="O18" i="13" s="1"/>
  <c r="K18" i="13" l="1"/>
  <c r="P18" i="13" s="1"/>
  <c r="Q18" i="13" s="1"/>
  <c r="J18" i="13" s="1"/>
  <c r="M18" i="13" s="1"/>
  <c r="T18" i="13" s="1"/>
  <c r="R18" i="13" l="1"/>
  <c r="N18" i="13"/>
  <c r="L18" i="13"/>
  <c r="I19" i="13" l="1"/>
  <c r="O19" i="13" s="1"/>
  <c r="K19" i="13" l="1"/>
  <c r="P19" i="13" s="1"/>
  <c r="Q19" i="13" s="1"/>
  <c r="J19" i="13" s="1"/>
  <c r="M19" i="13" l="1"/>
  <c r="T19" i="13" s="1"/>
  <c r="N19" i="13"/>
  <c r="R19" i="13"/>
  <c r="L19" i="13"/>
  <c r="I20" i="13" l="1"/>
  <c r="O20" i="13" s="1"/>
  <c r="K20" i="13" l="1"/>
  <c r="P20" i="13" s="1"/>
  <c r="Q20" i="13" s="1"/>
  <c r="J20" i="13" s="1"/>
  <c r="N20" i="13" s="1"/>
  <c r="R20" i="13" l="1"/>
  <c r="M20" i="13"/>
  <c r="T20" i="13" s="1"/>
  <c r="L20" i="13"/>
  <c r="I21" i="13" l="1"/>
  <c r="O21" i="13" s="1"/>
  <c r="K21" i="13" l="1"/>
  <c r="P21" i="13" s="1"/>
  <c r="R21" i="13" s="1"/>
  <c r="Q21" i="13" l="1"/>
  <c r="J21" i="13" s="1"/>
  <c r="M21" i="13" s="1"/>
  <c r="T21" i="13" s="1"/>
  <c r="L21" i="13" l="1"/>
  <c r="N21" i="13"/>
  <c r="I22" i="13" l="1"/>
  <c r="O22" i="13" s="1"/>
  <c r="K22" i="13" s="1"/>
  <c r="P22" i="13" s="1"/>
  <c r="Q22" i="13" s="1"/>
  <c r="J22" i="13" s="1"/>
  <c r="R22" i="13" l="1"/>
  <c r="L22" i="13"/>
  <c r="N22" i="13"/>
  <c r="M22" i="13"/>
  <c r="T22" i="13" s="1"/>
  <c r="I23" i="13" l="1"/>
  <c r="O23" i="13" s="1"/>
  <c r="K23" i="13" l="1"/>
  <c r="P23" i="13" s="1"/>
  <c r="R23" i="13" l="1"/>
  <c r="Q23" i="13"/>
  <c r="J23" i="13" s="1"/>
  <c r="N23" i="13" s="1"/>
  <c r="M23" i="13" l="1"/>
  <c r="T23" i="13" s="1"/>
  <c r="L23" i="13"/>
  <c r="I24" i="13" l="1"/>
  <c r="O24" i="13" s="1"/>
  <c r="K24" i="13" l="1"/>
  <c r="P24" i="13" s="1"/>
  <c r="Q24" i="13" s="1"/>
  <c r="J24" i="13" s="1"/>
  <c r="L24" i="13" s="1"/>
  <c r="R24" i="13" l="1"/>
  <c r="N24" i="13"/>
  <c r="M24" i="13"/>
  <c r="T24" i="13" s="1"/>
  <c r="I25" i="13" l="1"/>
  <c r="O25" i="13" s="1"/>
  <c r="K25" i="13" l="1"/>
  <c r="P25" i="13" s="1"/>
  <c r="R25" i="13" l="1"/>
  <c r="Q25" i="13"/>
  <c r="J25" i="13" s="1"/>
  <c r="N25" i="13" s="1"/>
  <c r="M25" i="13" l="1"/>
  <c r="T25" i="13" s="1"/>
  <c r="L25" i="13"/>
  <c r="I26" i="13" l="1"/>
  <c r="O26" i="13" s="1"/>
  <c r="K26" i="13" l="1"/>
  <c r="P26" i="13" s="1"/>
  <c r="Q26" i="13" s="1"/>
  <c r="J26" i="13" s="1"/>
  <c r="M26" i="13" l="1"/>
  <c r="T26" i="13" s="1"/>
  <c r="N26" i="13"/>
  <c r="R26" i="13"/>
  <c r="L26" i="13"/>
  <c r="I27" i="13" l="1"/>
  <c r="O27" i="13" s="1"/>
  <c r="K27" i="13" l="1"/>
  <c r="P27" i="13" s="1"/>
  <c r="R27" i="13" l="1"/>
  <c r="Q27" i="13"/>
  <c r="J27" i="13" s="1"/>
  <c r="M27" i="13" l="1"/>
  <c r="T27" i="13" s="1"/>
  <c r="N27" i="13"/>
  <c r="L27" i="13"/>
  <c r="I28" i="13" l="1"/>
  <c r="O28" i="13" s="1"/>
  <c r="K28" i="13" l="1"/>
  <c r="P28" i="13" s="1"/>
  <c r="Q28" i="13" s="1"/>
  <c r="J28" i="13" s="1"/>
  <c r="L28" i="13" s="1"/>
  <c r="R28" i="13" l="1"/>
  <c r="N28" i="13"/>
  <c r="M28" i="13"/>
  <c r="T28" i="13" s="1"/>
  <c r="I29" i="13" l="1"/>
  <c r="O29" i="13" s="1"/>
  <c r="K29" i="13" l="1"/>
  <c r="P29" i="13" s="1"/>
  <c r="R29" i="13" s="1"/>
  <c r="Q29" i="13" l="1"/>
  <c r="J29" i="13" s="1"/>
  <c r="L29" i="13" s="1"/>
  <c r="N29" i="13" l="1"/>
  <c r="M29" i="13"/>
  <c r="T29" i="13" s="1"/>
  <c r="I30" i="13" l="1"/>
  <c r="O30" i="13" s="1"/>
  <c r="K30" i="13" s="1"/>
  <c r="P30" i="13" s="1"/>
  <c r="R30" i="13" s="1"/>
  <c r="Q30" i="13" l="1"/>
  <c r="J30" i="13" s="1"/>
  <c r="M30" i="13" l="1"/>
  <c r="T30" i="13" s="1"/>
  <c r="N30" i="13"/>
  <c r="L30" i="13"/>
  <c r="I31" i="13" l="1"/>
  <c r="O31" i="13" s="1"/>
  <c r="K31" i="13" l="1"/>
  <c r="P31" i="13" s="1"/>
  <c r="Q31" i="13" s="1"/>
  <c r="J31" i="13" s="1"/>
  <c r="N31" i="13" l="1"/>
  <c r="R31" i="13"/>
  <c r="M31" i="13"/>
  <c r="T31" i="13" s="1"/>
  <c r="L31" i="13"/>
  <c r="I32" i="13" l="1"/>
  <c r="O32" i="13" s="1"/>
  <c r="K32" i="13" l="1"/>
  <c r="P32" i="13" s="1"/>
  <c r="Q32" i="13" s="1"/>
  <c r="J32" i="13" s="1"/>
  <c r="M32" i="13" s="1"/>
  <c r="T32" i="13" s="1"/>
  <c r="R32" i="13" l="1"/>
  <c r="N32" i="13"/>
  <c r="L32" i="13"/>
  <c r="I33" i="13" l="1"/>
  <c r="O33" i="13" s="1"/>
  <c r="K33" i="13" l="1"/>
  <c r="P33" i="13" l="1"/>
  <c r="Q33" i="13" s="1"/>
  <c r="J33" i="13" s="1"/>
  <c r="M33" i="13" l="1"/>
  <c r="T33" i="13" s="1"/>
  <c r="N33" i="13"/>
  <c r="R33" i="13"/>
  <c r="L33" i="13"/>
  <c r="I34" i="13" l="1"/>
  <c r="O34" i="13" s="1"/>
  <c r="K34" i="13" l="1"/>
  <c r="P34" i="13" s="1"/>
  <c r="R34" i="13" s="1"/>
  <c r="Q34" i="13" l="1"/>
  <c r="J34" i="13" s="1"/>
  <c r="M34" i="13" s="1"/>
  <c r="T34" i="13" s="1"/>
  <c r="N34" i="13" l="1"/>
  <c r="L34" i="13"/>
  <c r="I35" i="13" l="1"/>
  <c r="O35" i="13" s="1"/>
  <c r="K35" i="13" l="1"/>
  <c r="P35" i="13" s="1"/>
  <c r="R35" i="13" s="1"/>
  <c r="Q35" i="13" l="1"/>
  <c r="J35" i="13" s="1"/>
  <c r="L35" i="13" s="1"/>
  <c r="M35" i="13" l="1"/>
  <c r="T35" i="13" s="1"/>
  <c r="N35" i="13"/>
  <c r="I36" i="13" l="1"/>
  <c r="O36" i="13" s="1"/>
  <c r="K36" i="13" s="1"/>
  <c r="P36" i="13" s="1"/>
  <c r="Q36" i="13" s="1"/>
  <c r="J36" i="13" s="1"/>
  <c r="M36" i="13" s="1"/>
  <c r="T36" i="13" s="1"/>
  <c r="L36" i="13" l="1"/>
  <c r="R36" i="13"/>
  <c r="N36" i="13"/>
  <c r="I37" i="13" l="1"/>
  <c r="O37" i="13" s="1"/>
  <c r="K37" i="13" s="1"/>
  <c r="P37" i="13" s="1"/>
  <c r="R37" i="13" s="1"/>
  <c r="Q37" i="13" l="1"/>
  <c r="J37" i="13" s="1"/>
  <c r="L37" i="13" s="1"/>
  <c r="M37" i="13" l="1"/>
  <c r="T37" i="13" s="1"/>
  <c r="N37" i="13"/>
  <c r="I38" i="13" l="1"/>
  <c r="O38" i="13" s="1"/>
  <c r="K38" i="13" s="1"/>
  <c r="P38" i="13" s="1"/>
  <c r="Q38" i="13" s="1"/>
  <c r="J38" i="13" s="1"/>
  <c r="M38" i="13" s="1"/>
  <c r="T38" i="13" s="1"/>
  <c r="N38" i="13" l="1"/>
  <c r="R38" i="13"/>
  <c r="L38" i="13"/>
  <c r="I39" i="13" l="1"/>
  <c r="O39" i="13" s="1"/>
  <c r="K39" i="13" l="1"/>
  <c r="P39" i="13" s="1"/>
  <c r="Q39" i="13" s="1"/>
  <c r="J39" i="13" s="1"/>
  <c r="M39" i="13" s="1"/>
  <c r="T39" i="13" s="1"/>
  <c r="R39" i="13" l="1"/>
  <c r="L39" i="13"/>
  <c r="N39" i="13"/>
  <c r="I40" i="13" l="1"/>
  <c r="O40" i="13" s="1"/>
  <c r="K40" i="13" s="1"/>
  <c r="P40" i="13" l="1"/>
  <c r="R40" i="13" s="1"/>
  <c r="Q40" i="13" l="1"/>
  <c r="J40" i="13" s="1"/>
  <c r="L40" i="13" s="1"/>
  <c r="M40" i="13" l="1"/>
  <c r="T40" i="13" s="1"/>
  <c r="N40" i="13"/>
  <c r="I41" i="13" l="1"/>
  <c r="O41" i="13" s="1"/>
  <c r="K41" i="13" s="1"/>
  <c r="P41" i="13" s="1"/>
  <c r="Q41" i="13" s="1"/>
  <c r="J41" i="13" s="1"/>
  <c r="N41" i="13" s="1"/>
  <c r="R41" i="13" l="1"/>
  <c r="L41" i="13"/>
  <c r="M41" i="13"/>
  <c r="T41" i="13" s="1"/>
  <c r="I42" i="13" l="1"/>
  <c r="O42" i="13" s="1"/>
  <c r="K42" i="13" l="1"/>
  <c r="P42" i="13" s="1"/>
  <c r="Q42" i="13" s="1"/>
  <c r="J42" i="13" s="1"/>
  <c r="N42" i="13" l="1"/>
  <c r="R42" i="13"/>
  <c r="M42" i="13"/>
  <c r="T42" i="13" s="1"/>
  <c r="L42" i="13"/>
  <c r="I43" i="13" l="1"/>
  <c r="O43" i="13" s="1"/>
  <c r="K43" i="13" l="1"/>
  <c r="P43" i="13" l="1"/>
  <c r="Q43" i="13" s="1"/>
  <c r="J43" i="13" s="1"/>
  <c r="N43" i="13" s="1"/>
  <c r="R43" i="13" l="1"/>
  <c r="M43" i="13"/>
  <c r="T43" i="13" s="1"/>
  <c r="L43" i="13"/>
  <c r="I44" i="13" l="1"/>
  <c r="O44" i="13" s="1"/>
  <c r="K44" i="13" l="1"/>
  <c r="P44" i="13" s="1"/>
  <c r="Q44" i="13" l="1"/>
  <c r="J44" i="13" s="1"/>
  <c r="N44" i="13" s="1"/>
  <c r="R44" i="13"/>
  <c r="M44" i="13" l="1"/>
  <c r="T44" i="13" s="1"/>
  <c r="L44" i="13"/>
  <c r="I45" i="13" l="1"/>
  <c r="O45" i="13" s="1"/>
  <c r="K45" i="13" l="1"/>
  <c r="P45" i="13" s="1"/>
  <c r="Q45" i="13" s="1"/>
  <c r="J45" i="13" s="1"/>
  <c r="M45" i="13" s="1"/>
  <c r="T45" i="13" s="1"/>
  <c r="R45" i="13" l="1"/>
  <c r="N45" i="13"/>
  <c r="L45" i="13"/>
  <c r="I46" i="13" l="1"/>
  <c r="O46" i="13" s="1"/>
  <c r="K46" i="13" l="1"/>
  <c r="P46" i="13" s="1"/>
  <c r="R46" i="13" l="1"/>
  <c r="Q46" i="13"/>
  <c r="J46" i="13" s="1"/>
  <c r="M46" i="13" l="1"/>
  <c r="T46" i="13" s="1"/>
  <c r="N46" i="13"/>
  <c r="L46" i="13"/>
  <c r="I47" i="13" l="1"/>
  <c r="O47" i="13" s="1"/>
  <c r="K47" i="13" l="1"/>
  <c r="P47" i="13" s="1"/>
  <c r="Q47" i="13" s="1"/>
  <c r="J47" i="13" s="1"/>
  <c r="R47" i="13" l="1"/>
  <c r="L47" i="13"/>
  <c r="N47" i="13"/>
  <c r="M47" i="13"/>
  <c r="T47" i="13" s="1"/>
  <c r="I48" i="13" l="1"/>
  <c r="O48" i="13" s="1"/>
  <c r="K48" i="13" l="1"/>
  <c r="P48" i="13" s="1"/>
  <c r="R48" i="13" l="1"/>
  <c r="Q48" i="13"/>
  <c r="J48" i="13" s="1"/>
  <c r="M48" i="13" l="1"/>
  <c r="T48" i="13" s="1"/>
  <c r="N48" i="13"/>
  <c r="L48" i="13"/>
  <c r="I49" i="13" l="1"/>
  <c r="O49" i="13" s="1"/>
  <c r="K49" i="13" l="1"/>
  <c r="P49" i="13" l="1"/>
  <c r="Q49" i="13" s="1"/>
  <c r="J49" i="13" s="1"/>
  <c r="M49" i="13" l="1"/>
  <c r="T49" i="13" s="1"/>
  <c r="N49" i="13"/>
  <c r="R49" i="13"/>
  <c r="L49" i="13"/>
  <c r="I50" i="13" l="1"/>
  <c r="O50" i="13" s="1"/>
  <c r="K50" i="13" l="1"/>
  <c r="P50" i="13" l="1"/>
  <c r="Q50" i="13" s="1"/>
  <c r="J50" i="13" s="1"/>
  <c r="N50" i="13" s="1"/>
  <c r="R50" i="13" l="1"/>
  <c r="M50" i="13"/>
  <c r="T50" i="13" s="1"/>
  <c r="L50" i="13"/>
  <c r="I51" i="13" l="1"/>
  <c r="O51" i="13" s="1"/>
  <c r="K51" i="13" s="1"/>
  <c r="P51" i="13" s="1"/>
  <c r="Q51" i="13" l="1"/>
  <c r="J51" i="13" s="1"/>
  <c r="N51" i="13" s="1"/>
  <c r="R51" i="13"/>
  <c r="M51" i="13" l="1"/>
  <c r="T51" i="13" s="1"/>
  <c r="L51" i="13"/>
  <c r="I52" i="13" l="1"/>
  <c r="O52" i="13" s="1"/>
  <c r="K52" i="13" l="1"/>
  <c r="P52" i="13" s="1"/>
  <c r="Q52" i="13" l="1"/>
  <c r="J52" i="13" s="1"/>
  <c r="N52" i="13" s="1"/>
  <c r="R52" i="13"/>
  <c r="M52" i="13" l="1"/>
  <c r="T52" i="13" s="1"/>
  <c r="L52" i="13"/>
  <c r="I53" i="13" l="1"/>
  <c r="O53" i="13" s="1"/>
  <c r="K53" i="13" l="1"/>
  <c r="P53" i="13" s="1"/>
  <c r="R53" i="13" s="1"/>
  <c r="Q53" i="13" l="1"/>
  <c r="J53" i="13" s="1"/>
  <c r="L53" i="13" s="1"/>
  <c r="N53" i="13" l="1"/>
  <c r="M53" i="13"/>
  <c r="T53" i="13" s="1"/>
  <c r="I54" i="13" l="1"/>
  <c r="O54" i="13" s="1"/>
  <c r="K54" i="13" s="1"/>
  <c r="P54" i="13" s="1"/>
  <c r="Q54" i="13" s="1"/>
  <c r="J54" i="13" s="1"/>
  <c r="R54" i="13" l="1"/>
  <c r="L54" i="13"/>
  <c r="N54" i="13"/>
  <c r="M54" i="13"/>
  <c r="T54" i="13" s="1"/>
  <c r="I55" i="13" l="1"/>
  <c r="O55" i="13" s="1"/>
  <c r="K55" i="13" l="1"/>
  <c r="P55" i="13" s="1"/>
  <c r="R55" i="13" s="1"/>
  <c r="Q55" i="13" l="1"/>
  <c r="J55" i="13" s="1"/>
  <c r="L55" i="13" s="1"/>
  <c r="N55" i="13" l="1"/>
  <c r="M55" i="13"/>
  <c r="T55" i="13" s="1"/>
  <c r="I56" i="13" l="1"/>
  <c r="O56" i="13" s="1"/>
  <c r="K56" i="13" s="1"/>
  <c r="P56" i="13" s="1"/>
  <c r="Q56" i="13" s="1"/>
  <c r="J56" i="13" s="1"/>
  <c r="L56" i="13" l="1"/>
  <c r="N56" i="13"/>
  <c r="R56" i="13"/>
  <c r="M56" i="13"/>
  <c r="T56" i="13" s="1"/>
  <c r="I57" i="13" l="1"/>
  <c r="O57" i="13" s="1"/>
  <c r="K57" i="13" l="1"/>
  <c r="P57" i="13" l="1"/>
  <c r="R57" i="13" s="1"/>
  <c r="Q57" i="13" l="1"/>
  <c r="J57" i="13" s="1"/>
  <c r="N57" i="13" s="1"/>
  <c r="M57" i="13" l="1"/>
  <c r="T57" i="13" s="1"/>
  <c r="L57" i="13"/>
  <c r="I58" i="13" l="1"/>
  <c r="O58" i="13" s="1"/>
  <c r="K58" i="13" s="1"/>
  <c r="P58" i="13" s="1"/>
  <c r="R58" i="13" s="1"/>
  <c r="Q58" i="13" l="1"/>
  <c r="J58" i="13" s="1"/>
  <c r="M58" i="13" s="1"/>
  <c r="T58" i="13" s="1"/>
  <c r="L58" i="13" l="1"/>
  <c r="N58" i="13"/>
  <c r="I59" i="13" l="1"/>
  <c r="O59" i="13" s="1"/>
  <c r="K59" i="13" s="1"/>
  <c r="P59" i="13" s="1"/>
  <c r="Q59" i="13" l="1"/>
  <c r="J59" i="13" s="1"/>
  <c r="N59" i="13" s="1"/>
  <c r="R59" i="13"/>
  <c r="M59" i="13" l="1"/>
  <c r="T59" i="13" s="1"/>
  <c r="L59" i="13"/>
  <c r="I60" i="13" l="1"/>
  <c r="O60" i="13" s="1"/>
  <c r="K60" i="13" l="1"/>
  <c r="P60" i="13" l="1"/>
  <c r="Q60" i="13" s="1"/>
  <c r="J60" i="13" s="1"/>
  <c r="N60" i="13" s="1"/>
  <c r="R60" i="13" l="1"/>
  <c r="M60" i="13"/>
  <c r="T60" i="13" s="1"/>
  <c r="L60" i="13"/>
  <c r="I61" i="13" l="1"/>
  <c r="O61" i="13" s="1"/>
  <c r="K61" i="13" l="1"/>
  <c r="P61" i="13" s="1"/>
  <c r="R61" i="13" s="1"/>
  <c r="Q61" i="13" l="1"/>
  <c r="J61" i="13" s="1"/>
  <c r="L61" i="13" s="1"/>
  <c r="N61" i="13" l="1"/>
  <c r="M61" i="13"/>
  <c r="T61" i="13" s="1"/>
  <c r="I62" i="13" l="1"/>
  <c r="O62" i="13" s="1"/>
  <c r="K62" i="13" s="1"/>
  <c r="P62" i="13" l="1"/>
  <c r="R62" i="13" s="1"/>
  <c r="Q62" i="13" l="1"/>
  <c r="J62" i="13" s="1"/>
  <c r="N62" i="13" s="1"/>
  <c r="M62" i="13" l="1"/>
  <c r="T62" i="13" s="1"/>
  <c r="L62" i="13"/>
  <c r="I63" i="13" l="1"/>
  <c r="O63" i="13" s="1"/>
  <c r="K63" i="13" s="1"/>
  <c r="P63" i="13" l="1"/>
  <c r="Q63" i="13" s="1"/>
  <c r="J63" i="13" s="1"/>
  <c r="N63" i="13" s="1"/>
  <c r="R63" i="13" l="1"/>
  <c r="M63" i="13"/>
  <c r="T63" i="13" s="1"/>
  <c r="L63" i="13"/>
  <c r="I64" i="13" l="1"/>
  <c r="O64" i="13" s="1"/>
  <c r="K64" i="13" l="1"/>
  <c r="P64" i="13" s="1"/>
  <c r="Q64" i="13" s="1"/>
  <c r="J64" i="13" s="1"/>
  <c r="R64" i="13" l="1"/>
  <c r="N64" i="13"/>
  <c r="L64" i="13"/>
  <c r="M64" i="13"/>
  <c r="T64" i="13" s="1"/>
  <c r="I65" i="13" l="1"/>
  <c r="O65" i="13" s="1"/>
  <c r="K65" i="13" l="1"/>
  <c r="P65" i="13" s="1"/>
  <c r="R65" i="13" s="1"/>
  <c r="Q65" i="13" l="1"/>
  <c r="J65" i="13" s="1"/>
  <c r="L65" i="13" s="1"/>
  <c r="M65" i="13" l="1"/>
  <c r="T65" i="13" s="1"/>
  <c r="N65" i="13"/>
  <c r="I66" i="13" l="1"/>
  <c r="O66" i="13" s="1"/>
  <c r="K66" i="13" s="1"/>
  <c r="P66" i="13" s="1"/>
  <c r="R66" i="13" l="1"/>
  <c r="Q66" i="13"/>
  <c r="J66" i="13" s="1"/>
  <c r="M66" i="13" l="1"/>
  <c r="T66" i="13" s="1"/>
  <c r="N66" i="13"/>
  <c r="L66" i="13"/>
  <c r="I67" i="13" l="1"/>
  <c r="O67" i="13" s="1"/>
  <c r="K67" i="13" l="1"/>
  <c r="P67" i="13" s="1"/>
  <c r="R67" i="13" l="1"/>
  <c r="Q67" i="13"/>
  <c r="J67" i="13" s="1"/>
  <c r="M67" i="13" s="1"/>
  <c r="T67" i="13" s="1"/>
  <c r="N67" i="13" l="1"/>
  <c r="L67" i="13"/>
  <c r="I68" i="13" l="1"/>
  <c r="O68" i="13" s="1"/>
  <c r="K68" i="13" l="1"/>
  <c r="P68" i="13" l="1"/>
  <c r="Q68" i="13" s="1"/>
  <c r="J68" i="13" s="1"/>
  <c r="M68" i="13" l="1"/>
  <c r="T68" i="13" s="1"/>
  <c r="N68" i="13"/>
  <c r="R68" i="13"/>
  <c r="L68" i="13"/>
  <c r="I69" i="13" l="1"/>
  <c r="O69" i="13" s="1"/>
  <c r="K69" i="13" l="1"/>
  <c r="P69" i="13" s="1"/>
  <c r="Q69" i="13" s="1"/>
  <c r="J69" i="13" s="1"/>
  <c r="M69" i="13" s="1"/>
  <c r="T69" i="13" s="1"/>
  <c r="R69" i="13" l="1"/>
  <c r="L69" i="13"/>
  <c r="N69" i="13"/>
  <c r="I70" i="13" l="1"/>
  <c r="O70" i="13" s="1"/>
  <c r="K70" i="13" s="1"/>
  <c r="P70" i="13" l="1"/>
  <c r="R70" i="13" s="1"/>
  <c r="Q70" i="13" l="1"/>
  <c r="J70" i="13" s="1"/>
  <c r="N70" i="13" s="1"/>
  <c r="L70" i="13" l="1"/>
  <c r="M70" i="13"/>
  <c r="T70" i="13" s="1"/>
  <c r="I71" i="13" l="1"/>
  <c r="O71" i="13" s="1"/>
  <c r="K71" i="13" s="1"/>
  <c r="P71" i="13" s="1"/>
  <c r="R71" i="13" s="1"/>
  <c r="Q71" i="13" l="1"/>
  <c r="J71" i="13" s="1"/>
  <c r="L71" i="13" s="1"/>
  <c r="N71" i="13" l="1"/>
  <c r="M71" i="13"/>
  <c r="T71" i="13" s="1"/>
  <c r="I72" i="13" l="1"/>
  <c r="O72" i="13" s="1"/>
  <c r="K72" i="13" s="1"/>
  <c r="P72" i="13" s="1"/>
  <c r="Q72" i="13" s="1"/>
  <c r="J72" i="13" s="1"/>
  <c r="L72" i="13" s="1"/>
  <c r="R72" i="13" l="1"/>
  <c r="N72" i="13"/>
  <c r="M72" i="13"/>
  <c r="T72" i="13" s="1"/>
  <c r="I73" i="13" l="1"/>
  <c r="O73" i="13" s="1"/>
  <c r="K73" i="13" l="1"/>
  <c r="P73" i="13" s="1"/>
  <c r="R73" i="13" s="1"/>
  <c r="Q73" i="13" l="1"/>
  <c r="J73" i="13" s="1"/>
  <c r="L73" i="13" s="1"/>
  <c r="N73" i="13" l="1"/>
  <c r="M73" i="13"/>
  <c r="T73" i="13" s="1"/>
  <c r="I74" i="13" l="1"/>
  <c r="O74" i="13" s="1"/>
  <c r="K74" i="13" s="1"/>
  <c r="P74" i="13" s="1"/>
  <c r="Q74" i="13" s="1"/>
  <c r="J74" i="13" s="1"/>
  <c r="L74" i="13" l="1"/>
  <c r="N74" i="13"/>
  <c r="R74" i="13"/>
  <c r="M74" i="13"/>
  <c r="T74" i="13" s="1"/>
  <c r="I75" i="13" l="1"/>
  <c r="O75" i="13" s="1"/>
  <c r="K75" i="13" l="1"/>
  <c r="P75" i="13" l="1"/>
  <c r="R75" i="13" s="1"/>
  <c r="Q75" i="13" l="1"/>
  <c r="J75" i="13" s="1"/>
  <c r="N75" i="13" s="1"/>
  <c r="L75" i="13" l="1"/>
  <c r="M75" i="13"/>
  <c r="T75" i="13" s="1"/>
  <c r="I76" i="13" l="1"/>
  <c r="O76" i="13" s="1"/>
  <c r="K76" i="13" s="1"/>
  <c r="P76" i="13" l="1"/>
  <c r="Q76" i="13" l="1"/>
  <c r="J76" i="13" s="1"/>
  <c r="N76" i="13" s="1"/>
  <c r="R76" i="13"/>
  <c r="M76" i="13" l="1"/>
  <c r="T76" i="13" s="1"/>
  <c r="L76" i="13"/>
  <c r="I77" i="13" l="1"/>
  <c r="O77" i="13" s="1"/>
  <c r="K77" i="13" l="1"/>
  <c r="P77" i="13" s="1"/>
  <c r="Q77" i="13" s="1"/>
  <c r="J77" i="13" s="1"/>
  <c r="L77" i="13" s="1"/>
  <c r="R77" i="13" l="1"/>
  <c r="N77" i="13"/>
  <c r="M77" i="13"/>
  <c r="T77" i="13" s="1"/>
  <c r="I78" i="13" l="1"/>
  <c r="O78" i="13" s="1"/>
  <c r="K78" i="13" l="1"/>
  <c r="P78" i="13" s="1"/>
  <c r="Q78" i="13" l="1"/>
  <c r="J78" i="13" s="1"/>
  <c r="N78" i="13" s="1"/>
  <c r="R78" i="13"/>
  <c r="M78" i="13" l="1"/>
  <c r="T78" i="13" s="1"/>
  <c r="L78" i="13"/>
  <c r="I79" i="13" l="1"/>
  <c r="O79" i="13" s="1"/>
  <c r="K79" i="13" l="1"/>
  <c r="P79" i="13" l="1"/>
  <c r="Q79" i="13" s="1"/>
  <c r="J79" i="13" s="1"/>
  <c r="N79" i="13" s="1"/>
  <c r="R79" i="13" l="1"/>
  <c r="M79" i="13"/>
  <c r="T79" i="13" s="1"/>
  <c r="L79" i="13"/>
  <c r="I80" i="13" l="1"/>
  <c r="O80" i="13" s="1"/>
  <c r="K80" i="13" l="1"/>
  <c r="P80" i="13" l="1"/>
  <c r="Q80" i="13" s="1"/>
  <c r="J80" i="13" s="1"/>
  <c r="N80" i="13" s="1"/>
  <c r="R80" i="13" l="1"/>
  <c r="M80" i="13"/>
  <c r="T80" i="13" s="1"/>
  <c r="L80" i="13"/>
  <c r="I81" i="13" l="1"/>
  <c r="O81" i="13" s="1"/>
  <c r="K81" i="13" l="1"/>
  <c r="P81" i="13" l="1"/>
  <c r="R81" i="13" s="1"/>
  <c r="Q81" i="13" l="1"/>
  <c r="J81" i="13" s="1"/>
  <c r="N81" i="13" s="1"/>
  <c r="L81" i="13" l="1"/>
  <c r="M81" i="13"/>
  <c r="T81" i="13" s="1"/>
  <c r="I82" i="13" l="1"/>
  <c r="O82" i="13" s="1"/>
  <c r="K82" i="13" s="1"/>
  <c r="P82" i="13" s="1"/>
  <c r="R82" i="13" s="1"/>
  <c r="Q82" i="13" l="1"/>
  <c r="J82" i="13" s="1"/>
  <c r="M82" i="13" s="1"/>
  <c r="T82" i="13" s="1"/>
  <c r="L82" i="13" l="1"/>
  <c r="N82" i="13"/>
  <c r="I83" i="13" l="1"/>
  <c r="O83" i="13" s="1"/>
  <c r="K83" i="13" s="1"/>
  <c r="P83" i="13" s="1"/>
  <c r="Q83" i="13" l="1"/>
  <c r="J83" i="13" s="1"/>
  <c r="N83" i="13" s="1"/>
  <c r="R83" i="13"/>
  <c r="M83" i="13" l="1"/>
  <c r="T83" i="13" s="1"/>
  <c r="L83" i="13"/>
  <c r="I84" i="13" l="1"/>
  <c r="O84" i="13" s="1"/>
  <c r="K84" i="13" l="1"/>
  <c r="P84" i="13" s="1"/>
  <c r="R84" i="13" s="1"/>
  <c r="Q84" i="13" l="1"/>
  <c r="J84" i="13" s="1"/>
  <c r="L84" i="13" s="1"/>
  <c r="M84" i="13" l="1"/>
  <c r="T84" i="13" s="1"/>
  <c r="N84" i="13"/>
  <c r="I85" i="13" l="1"/>
  <c r="O85" i="13" s="1"/>
  <c r="K85" i="13" s="1"/>
  <c r="P85" i="13" s="1"/>
  <c r="Q85" i="13" s="1"/>
  <c r="J85" i="13" s="1"/>
  <c r="L85" i="13" s="1"/>
  <c r="R85" i="13" l="1"/>
  <c r="N85" i="13"/>
  <c r="M85" i="13"/>
  <c r="T85" i="13" s="1"/>
  <c r="I86" i="13" l="1"/>
  <c r="O86" i="13" s="1"/>
  <c r="K86" i="13" l="1"/>
  <c r="P86" i="13" s="1"/>
  <c r="R86" i="13" l="1"/>
  <c r="Q86" i="13"/>
  <c r="J86" i="13" s="1"/>
  <c r="N86" i="13" s="1"/>
  <c r="M86" i="13" l="1"/>
  <c r="T86" i="13" s="1"/>
  <c r="L86" i="13"/>
  <c r="I87" i="13" l="1"/>
  <c r="O87" i="13" s="1"/>
  <c r="K87" i="13" l="1"/>
  <c r="P87" i="13" s="1"/>
  <c r="Q87" i="13" s="1"/>
  <c r="J87" i="13" s="1"/>
  <c r="L87" i="13" s="1"/>
  <c r="R87" i="13" l="1"/>
  <c r="N87" i="13"/>
  <c r="M87" i="13"/>
  <c r="T87" i="13" s="1"/>
  <c r="I88" i="13" l="1"/>
  <c r="O88" i="13" s="1"/>
  <c r="K88" i="13" l="1"/>
  <c r="P88" i="13" l="1"/>
  <c r="R88" i="13" s="1"/>
  <c r="Q88" i="13" l="1"/>
  <c r="J88" i="13" s="1"/>
  <c r="N88" i="13" s="1"/>
  <c r="L88" i="13" l="1"/>
  <c r="M88" i="13"/>
  <c r="T88" i="13" s="1"/>
  <c r="I89" i="13" l="1"/>
  <c r="O89" i="13" s="1"/>
  <c r="K89" i="13" s="1"/>
  <c r="P89" i="13" s="1"/>
  <c r="Q89" i="13" s="1"/>
  <c r="J89" i="13" s="1"/>
  <c r="L89" i="13" s="1"/>
  <c r="R89" i="13" l="1"/>
  <c r="N89" i="13"/>
  <c r="M89" i="13"/>
  <c r="T89" i="13" s="1"/>
  <c r="I90" i="13" l="1"/>
  <c r="O90" i="13" s="1"/>
  <c r="K90" i="13" l="1"/>
  <c r="P90" i="13" s="1"/>
  <c r="R90" i="13" l="1"/>
  <c r="Q90" i="13"/>
  <c r="J90" i="13" s="1"/>
  <c r="N90" i="13" s="1"/>
  <c r="M90" i="13" l="1"/>
  <c r="T90" i="13" s="1"/>
  <c r="L90" i="13"/>
  <c r="I91" i="13" l="1"/>
  <c r="O91" i="13" s="1"/>
  <c r="K91" i="13" l="1"/>
  <c r="P91" i="13" s="1"/>
  <c r="R91" i="13" s="1"/>
  <c r="Q91" i="13" l="1"/>
  <c r="J91" i="13" s="1"/>
  <c r="L91" i="13" s="1"/>
  <c r="M91" i="13" l="1"/>
  <c r="T91" i="13" s="1"/>
  <c r="N91" i="13"/>
  <c r="I92" i="13" l="1"/>
  <c r="O92" i="13" s="1"/>
  <c r="K92" i="13" s="1"/>
  <c r="P92" i="13" l="1"/>
  <c r="Q92" i="13" s="1"/>
  <c r="J92" i="13" s="1"/>
  <c r="N92" i="13" s="1"/>
  <c r="R92" i="13" l="1"/>
  <c r="M92" i="13"/>
  <c r="T92" i="13" s="1"/>
  <c r="L92" i="13"/>
  <c r="I93" i="13" l="1"/>
  <c r="O93" i="13" s="1"/>
  <c r="K93" i="13" l="1"/>
  <c r="P93" i="13" s="1"/>
  <c r="Q93" i="13" s="1"/>
  <c r="J93" i="13" s="1"/>
  <c r="M93" i="13" s="1"/>
  <c r="T93" i="13" s="1"/>
  <c r="R93" i="13" l="1"/>
  <c r="N93" i="13"/>
  <c r="L93" i="13"/>
  <c r="I94" i="13" l="1"/>
  <c r="O94" i="13" s="1"/>
  <c r="K94" i="13" l="1"/>
  <c r="P94" i="13" s="1"/>
  <c r="R94" i="13" s="1"/>
  <c r="Q94" i="13" l="1"/>
  <c r="J94" i="13" s="1"/>
  <c r="L94" i="13" s="1"/>
  <c r="N94" i="13" l="1"/>
  <c r="M94" i="13"/>
  <c r="T94" i="13" s="1"/>
  <c r="I95" i="13" l="1"/>
  <c r="O95" i="13" s="1"/>
  <c r="K95" i="13" s="1"/>
  <c r="P95" i="13" l="1"/>
  <c r="R95" i="13" s="1"/>
  <c r="Q95" i="13" l="1"/>
  <c r="J95" i="13" s="1"/>
  <c r="L95" i="13" s="1"/>
  <c r="M95" i="13" l="1"/>
  <c r="T95" i="13" s="1"/>
  <c r="N95" i="13"/>
  <c r="I96" i="13" l="1"/>
  <c r="O96" i="13" s="1"/>
  <c r="K96" i="13" s="1"/>
  <c r="P96" i="13" s="1"/>
  <c r="Q96" i="13" l="1"/>
  <c r="J96" i="13" s="1"/>
  <c r="R96" i="13"/>
  <c r="M96" i="13" l="1"/>
  <c r="T96" i="13" s="1"/>
  <c r="N96" i="13"/>
  <c r="L96" i="13"/>
  <c r="I97" i="13" l="1"/>
  <c r="O97" i="13" s="1"/>
  <c r="K97" i="13" l="1"/>
  <c r="P97" i="13" s="1"/>
  <c r="R97" i="13" s="1"/>
  <c r="Q97" i="13" l="1"/>
  <c r="J97" i="13" s="1"/>
  <c r="L97" i="13" s="1"/>
  <c r="M97" i="13" l="1"/>
  <c r="T97" i="13" s="1"/>
  <c r="N97" i="13"/>
  <c r="I98" i="13" l="1"/>
  <c r="O98" i="13" s="1"/>
  <c r="K98" i="13" s="1"/>
  <c r="P98" i="13" s="1"/>
  <c r="Q98" i="13" s="1"/>
  <c r="J98" i="13" s="1"/>
  <c r="N98" i="13" l="1"/>
  <c r="R98" i="13"/>
  <c r="M98" i="13"/>
  <c r="T98" i="13" s="1"/>
  <c r="L98" i="13"/>
  <c r="I99" i="13" l="1"/>
  <c r="O99" i="13" s="1"/>
  <c r="K99" i="13" l="1"/>
  <c r="P99" i="13" s="1"/>
  <c r="Q99" i="13" l="1"/>
  <c r="J99" i="13" s="1"/>
  <c r="N99" i="13" s="1"/>
  <c r="R99" i="13"/>
  <c r="M99" i="13" l="1"/>
  <c r="T99" i="13" s="1"/>
  <c r="L99" i="13"/>
  <c r="I100" i="13" l="1"/>
  <c r="O100" i="13" s="1"/>
  <c r="K100" i="13" l="1"/>
  <c r="P100" i="13" s="1"/>
  <c r="Q100" i="13" l="1"/>
  <c r="J100" i="13" s="1"/>
  <c r="N100" i="13" s="1"/>
  <c r="R100" i="13"/>
  <c r="M100" i="13" l="1"/>
  <c r="T100" i="13" s="1"/>
  <c r="L100" i="13"/>
  <c r="I101" i="13" l="1"/>
  <c r="O101" i="13" s="1"/>
  <c r="K101" i="13" l="1"/>
  <c r="P101" i="13" s="1"/>
  <c r="Q101" i="13" l="1"/>
  <c r="J101" i="13" s="1"/>
  <c r="N101" i="13" s="1"/>
  <c r="R101" i="13"/>
  <c r="M101" i="13" l="1"/>
  <c r="T101" i="13" s="1"/>
  <c r="L101" i="13"/>
  <c r="I102" i="13" l="1"/>
  <c r="O102" i="13" s="1"/>
  <c r="K102" i="13" l="1"/>
  <c r="P102" i="13" l="1"/>
  <c r="Q102" i="13" s="1"/>
  <c r="J102" i="13" s="1"/>
  <c r="N102" i="13" s="1"/>
  <c r="R102" i="13" l="1"/>
  <c r="M102" i="13"/>
  <c r="T102" i="13" s="1"/>
  <c r="L102" i="13"/>
  <c r="I103" i="13" l="1"/>
  <c r="O103" i="13" s="1"/>
  <c r="K103" i="13" l="1"/>
  <c r="P103" i="13" s="1"/>
  <c r="Q103" i="13" s="1"/>
  <c r="J103" i="13" s="1"/>
  <c r="M103" i="13" l="1"/>
  <c r="T103" i="13" s="1"/>
  <c r="N103" i="13"/>
  <c r="R103" i="13"/>
  <c r="L103" i="13"/>
  <c r="I104" i="13" l="1"/>
  <c r="O104" i="13" s="1"/>
  <c r="K104" i="13" l="1"/>
  <c r="P104" i="13" s="1"/>
  <c r="R104" i="13" s="1"/>
  <c r="Q104" i="13" l="1"/>
  <c r="J104" i="13" s="1"/>
  <c r="L104" i="13" s="1"/>
  <c r="N104" i="13" l="1"/>
  <c r="M104" i="13"/>
  <c r="T104" i="13" s="1"/>
  <c r="I105" i="13" l="1"/>
  <c r="O105" i="13" s="1"/>
  <c r="K105" i="13" s="1"/>
  <c r="P105" i="13" s="1"/>
  <c r="R105" i="13" s="1"/>
  <c r="Q105" i="13" l="1"/>
  <c r="J105" i="13" s="1"/>
  <c r="M105" i="13" s="1"/>
  <c r="T105" i="13" s="1"/>
  <c r="L105" i="13" l="1"/>
  <c r="N105" i="13"/>
  <c r="I106" i="13" l="1"/>
  <c r="O106" i="13" s="1"/>
  <c r="K106" i="13" s="1"/>
  <c r="P106" i="13" s="1"/>
  <c r="R106" i="13" s="1"/>
  <c r="Q106" i="13" l="1"/>
  <c r="J106" i="13" s="1"/>
  <c r="L106" i="13" s="1"/>
  <c r="N106" i="13" l="1"/>
  <c r="M106" i="13"/>
  <c r="T106" i="13" s="1"/>
  <c r="I107" i="13" l="1"/>
  <c r="O107" i="13" s="1"/>
  <c r="K107" i="13" s="1"/>
  <c r="P107" i="13" s="1"/>
  <c r="Q107" i="13" l="1"/>
  <c r="J107" i="13" s="1"/>
  <c r="N107" i="13" s="1"/>
  <c r="R107" i="13"/>
  <c r="L107" i="13" l="1"/>
  <c r="M107" i="13"/>
  <c r="T107" i="13" s="1"/>
  <c r="I108" i="13" l="1"/>
  <c r="O108" i="13" s="1"/>
  <c r="K108" i="13" l="1"/>
  <c r="P108" i="13" s="1"/>
  <c r="Q108" i="13" s="1"/>
  <c r="J108" i="13" s="1"/>
  <c r="L108" i="13" s="1"/>
  <c r="M108" i="13" l="1"/>
  <c r="T108" i="13" s="1"/>
  <c r="R108" i="13"/>
  <c r="N108" i="13"/>
  <c r="I109" i="13" l="1"/>
  <c r="O109" i="13" s="1"/>
  <c r="K109" i="13" s="1"/>
  <c r="P109" i="13" s="1"/>
  <c r="Q109" i="13" s="1"/>
  <c r="J109" i="13" s="1"/>
  <c r="R109" i="13" l="1"/>
  <c r="M109" i="13"/>
  <c r="T109" i="13" s="1"/>
  <c r="N109" i="13"/>
  <c r="L109" i="13"/>
  <c r="I110" i="13" l="1"/>
  <c r="O110" i="13" s="1"/>
  <c r="K110" i="13" l="1"/>
  <c r="P110" i="13" s="1"/>
  <c r="R110" i="13" l="1"/>
  <c r="Q110" i="13"/>
  <c r="J110" i="13" s="1"/>
  <c r="N110" i="13" s="1"/>
  <c r="M110" i="13" l="1"/>
  <c r="T110" i="13" s="1"/>
  <c r="L110" i="13"/>
  <c r="I111" i="13" l="1"/>
  <c r="O111" i="13" s="1"/>
  <c r="K111" i="13" l="1"/>
  <c r="P111" i="13" l="1"/>
  <c r="Q111" i="13" s="1"/>
  <c r="J111" i="13" s="1"/>
  <c r="N111" i="13" s="1"/>
  <c r="R111" i="13" l="1"/>
  <c r="M111" i="13"/>
  <c r="T111" i="13" s="1"/>
  <c r="L111" i="13"/>
  <c r="I112" i="13" l="1"/>
  <c r="O112" i="13" s="1"/>
  <c r="K112" i="13" l="1"/>
  <c r="P112" i="13" s="1"/>
  <c r="Q112" i="13" l="1"/>
  <c r="J112" i="13" s="1"/>
  <c r="N112" i="13" s="1"/>
  <c r="R112" i="13"/>
  <c r="M112" i="13" l="1"/>
  <c r="T112" i="13" s="1"/>
  <c r="L112" i="13"/>
  <c r="I113" i="13" l="1"/>
  <c r="O113" i="13" s="1"/>
  <c r="K113" i="13" l="1"/>
  <c r="P113" i="13" s="1"/>
  <c r="Q113" i="13" s="1"/>
  <c r="J113" i="13" s="1"/>
  <c r="L113" i="13" s="1"/>
  <c r="R113" i="13" l="1"/>
  <c r="N113" i="13"/>
  <c r="M113" i="13"/>
  <c r="T113" i="13" s="1"/>
  <c r="I114" i="13" l="1"/>
  <c r="O114" i="13" s="1"/>
  <c r="K114" i="13" l="1"/>
  <c r="P114" i="13" s="1"/>
  <c r="R114" i="13" l="1"/>
  <c r="Q114" i="13"/>
  <c r="J114" i="13" s="1"/>
  <c r="M114" i="13" s="1"/>
  <c r="T114" i="13" s="1"/>
  <c r="N114" i="13" l="1"/>
  <c r="L114" i="13"/>
  <c r="I115" i="13" l="1"/>
  <c r="O115" i="13" s="1"/>
  <c r="K115" i="13" l="1"/>
  <c r="P115" i="13" s="1"/>
  <c r="R115" i="13" l="1"/>
  <c r="Q115" i="13"/>
  <c r="J115" i="13" s="1"/>
  <c r="M115" i="13" s="1"/>
  <c r="T115" i="13" s="1"/>
  <c r="N115" i="13" l="1"/>
  <c r="L115" i="13"/>
  <c r="I116" i="13" l="1"/>
  <c r="O116" i="13" s="1"/>
  <c r="K116" i="13" l="1"/>
  <c r="P116" i="13" s="1"/>
  <c r="Q116" i="13" s="1"/>
  <c r="J116" i="13" s="1"/>
  <c r="L116" i="13" s="1"/>
  <c r="R116" i="13" l="1"/>
  <c r="N116" i="13"/>
  <c r="M116" i="13"/>
  <c r="T116" i="13" s="1"/>
  <c r="I117" i="13" l="1"/>
  <c r="O117" i="13" s="1"/>
  <c r="K117" i="13" l="1"/>
  <c r="P117" i="13" s="1"/>
  <c r="Q117" i="13" s="1"/>
  <c r="J117" i="13" s="1"/>
  <c r="L117" i="13" s="1"/>
  <c r="R117" i="13" l="1"/>
  <c r="M117" i="13"/>
  <c r="T117" i="13" s="1"/>
  <c r="N117" i="13"/>
  <c r="I118" i="13" l="1"/>
  <c r="O118" i="13" s="1"/>
  <c r="K118" i="13" s="1"/>
  <c r="P118" i="13" s="1"/>
  <c r="Q118" i="13" s="1"/>
  <c r="J118" i="13" s="1"/>
  <c r="L118" i="13" s="1"/>
  <c r="R118" i="13" l="1"/>
  <c r="N118" i="13"/>
  <c r="M118" i="13"/>
  <c r="T118" i="13" s="1"/>
  <c r="I119" i="13" l="1"/>
  <c r="O119" i="13" s="1"/>
  <c r="K119" i="13" l="1"/>
  <c r="P119" i="13" s="1"/>
  <c r="R119" i="13" l="1"/>
  <c r="Q119" i="13"/>
  <c r="J119" i="13" s="1"/>
  <c r="N119" i="13" s="1"/>
  <c r="M119" i="13" l="1"/>
  <c r="T119" i="13" s="1"/>
  <c r="L119" i="13"/>
  <c r="I120" i="13" l="1"/>
  <c r="O120" i="13" s="1"/>
  <c r="K120" i="13" l="1"/>
  <c r="P120" i="13" s="1"/>
  <c r="Q120" i="13" l="1"/>
  <c r="J120" i="13" s="1"/>
  <c r="N120" i="13" s="1"/>
  <c r="R120" i="13"/>
  <c r="M120" i="13" l="1"/>
  <c r="T120" i="13" s="1"/>
  <c r="L120" i="13"/>
  <c r="I121" i="13" l="1"/>
  <c r="O121" i="13" s="1"/>
  <c r="K121" i="13" l="1"/>
  <c r="P121" i="13" l="1"/>
  <c r="Q121" i="13" s="1"/>
  <c r="J121" i="13" s="1"/>
  <c r="N121" i="13" s="1"/>
  <c r="R121" i="13" l="1"/>
  <c r="M121" i="13"/>
  <c r="T121" i="13" s="1"/>
  <c r="L121" i="13"/>
  <c r="I122" i="13" l="1"/>
  <c r="O122" i="13" s="1"/>
  <c r="K122" i="13" l="1"/>
  <c r="P122" i="13" s="1"/>
  <c r="R122" i="13" s="1"/>
  <c r="Q122" i="13" l="1"/>
  <c r="J122" i="13" s="1"/>
  <c r="L122" i="13" s="1"/>
  <c r="M122" i="13" l="1"/>
  <c r="T122" i="13" s="1"/>
  <c r="N122" i="13"/>
  <c r="I123" i="13" l="1"/>
  <c r="O123" i="13" s="1"/>
  <c r="K123" i="13" s="1"/>
  <c r="P123" i="13" l="1"/>
  <c r="R123" i="13" s="1"/>
  <c r="Q123" i="13" l="1"/>
  <c r="J123" i="13" s="1"/>
  <c r="N123" i="13" s="1"/>
  <c r="L123" i="13" l="1"/>
  <c r="M123" i="13"/>
  <c r="T123" i="13" s="1"/>
  <c r="I124" i="13" l="1"/>
  <c r="O124" i="13" s="1"/>
  <c r="K124" i="13" s="1"/>
  <c r="P124" i="13" s="1"/>
  <c r="Q124" i="13" s="1"/>
  <c r="J124" i="13" s="1"/>
  <c r="L124" i="13" s="1"/>
  <c r="R124" i="13" l="1"/>
  <c r="N124" i="13"/>
  <c r="M124" i="13"/>
  <c r="T124" i="13" s="1"/>
  <c r="I125" i="13" l="1"/>
  <c r="O125" i="13" s="1"/>
  <c r="AA125" i="13" s="1"/>
  <c r="K125" i="13" l="1"/>
  <c r="P125" i="13" s="1"/>
  <c r="R125" i="13" s="1"/>
  <c r="Q125" i="13" l="1"/>
  <c r="J125" i="13" s="1"/>
  <c r="L125" i="13" s="1"/>
  <c r="N125" i="13" l="1"/>
  <c r="M125" i="13"/>
  <c r="T125" i="13" s="1"/>
  <c r="I126" i="13" l="1"/>
  <c r="O126" i="13" s="1"/>
  <c r="AA126" i="13" s="1"/>
  <c r="K126" i="13" l="1"/>
  <c r="P126" i="13" s="1"/>
  <c r="R126" i="13" s="1"/>
  <c r="Q126" i="13" l="1"/>
  <c r="J126" i="13" s="1"/>
  <c r="L126" i="13" s="1"/>
  <c r="N126" i="13" l="1"/>
  <c r="M126" i="13"/>
  <c r="T126" i="13" s="1"/>
  <c r="I127" i="13" l="1"/>
  <c r="O127" i="13" s="1"/>
  <c r="AA127" i="13" s="1"/>
  <c r="K127" i="13" l="1"/>
  <c r="P127" i="13" s="1"/>
  <c r="Q127" i="13" s="1"/>
  <c r="J127" i="13" s="1"/>
  <c r="N127" i="13" s="1"/>
  <c r="L127" i="13" l="1"/>
  <c r="M127" i="13"/>
  <c r="T127" i="13" s="1"/>
  <c r="R127" i="13"/>
  <c r="I128" i="13" l="1"/>
  <c r="O128" i="13" s="1"/>
  <c r="AA128" i="13" s="1"/>
  <c r="K128" i="13" l="1"/>
  <c r="P128" i="13" s="1"/>
  <c r="R128" i="13" s="1"/>
  <c r="Q128" i="13" l="1"/>
  <c r="J128" i="13" s="1"/>
  <c r="N128" i="13" s="1"/>
  <c r="M128" i="13" l="1"/>
  <c r="T128" i="13" s="1"/>
  <c r="L128" i="13"/>
  <c r="I129" i="13" l="1"/>
  <c r="O129" i="13" s="1"/>
  <c r="K129" i="13" l="1"/>
  <c r="P129" i="13" s="1"/>
  <c r="Q129" i="13" s="1"/>
  <c r="J129" i="13" s="1"/>
  <c r="L129" i="13" s="1"/>
  <c r="AA129" i="13"/>
  <c r="M129" i="13" l="1"/>
  <c r="T129" i="13" s="1"/>
  <c r="N129" i="13"/>
  <c r="R129" i="13"/>
  <c r="I130" i="13" l="1"/>
  <c r="O130" i="13" s="1"/>
  <c r="AA130" i="13" s="1"/>
  <c r="K130" i="13" l="1"/>
  <c r="P130" i="13" s="1"/>
  <c r="R130" i="13" s="1"/>
  <c r="Q130" i="13" l="1"/>
  <c r="J130" i="13" s="1"/>
  <c r="L130" i="13" s="1"/>
  <c r="N130" i="13" l="1"/>
  <c r="M130" i="13"/>
  <c r="I131" i="13" l="1"/>
  <c r="O131" i="13" s="1"/>
  <c r="AA131" i="13" s="1"/>
  <c r="T130" i="13"/>
  <c r="K131" i="13" l="1"/>
  <c r="P131" i="13" s="1"/>
  <c r="R131" i="13" s="1"/>
  <c r="Q131" i="13" l="1"/>
  <c r="J131" i="13" s="1"/>
  <c r="N131" i="13" s="1"/>
  <c r="M131" i="13" l="1"/>
  <c r="T131" i="13" s="1"/>
  <c r="L131" i="13"/>
  <c r="I132" i="13" l="1"/>
  <c r="O132" i="13" s="1"/>
  <c r="AA132" i="13" s="1"/>
  <c r="K132" i="13" l="1"/>
  <c r="P132" i="13" s="1"/>
  <c r="Q132" i="13" s="1"/>
  <c r="J132" i="13" s="1"/>
  <c r="M132" i="13" s="1"/>
  <c r="T132" i="13" s="1"/>
  <c r="L132" i="13" l="1"/>
  <c r="N132" i="13"/>
  <c r="R132" i="13"/>
  <c r="I133" i="13" l="1"/>
  <c r="O133" i="13" s="1"/>
  <c r="AA133" i="13" s="1"/>
  <c r="K133" i="13" l="1"/>
  <c r="P133" i="13" s="1"/>
  <c r="R133" i="13" s="1"/>
  <c r="Q133" i="13" l="1"/>
  <c r="J133" i="13" s="1"/>
  <c r="M133" i="13" s="1"/>
  <c r="T133" i="13" s="1"/>
  <c r="N133" i="13" l="1"/>
  <c r="L133" i="13"/>
  <c r="I134" i="13" l="1"/>
  <c r="O134" i="13" s="1"/>
  <c r="AA134" i="13" s="1"/>
  <c r="K134" i="13" l="1"/>
  <c r="P134" i="13" s="1"/>
  <c r="R134" i="13" s="1"/>
  <c r="Q134" i="13" l="1"/>
  <c r="J134" i="13" s="1"/>
  <c r="L134" i="13" s="1"/>
  <c r="N134" i="13" l="1"/>
  <c r="M134" i="13"/>
  <c r="T134" i="13" s="1"/>
  <c r="I135" i="13" l="1"/>
  <c r="O135" i="13" s="1"/>
  <c r="AA135" i="13" s="1"/>
  <c r="K135" i="13" l="1"/>
  <c r="P135" i="13" s="1"/>
  <c r="R135" i="13" s="1"/>
  <c r="Q135" i="13" l="1"/>
  <c r="J135" i="13" s="1"/>
  <c r="M135" i="13" s="1"/>
  <c r="T135" i="13" s="1"/>
  <c r="L135" i="13" l="1"/>
  <c r="N135" i="13"/>
  <c r="I136" i="13" l="1"/>
  <c r="O136" i="13" s="1"/>
  <c r="AA136" i="13" s="1"/>
  <c r="K136" i="13" l="1"/>
  <c r="P136" i="13" s="1"/>
  <c r="Q136" i="13" s="1"/>
  <c r="J136" i="13" s="1"/>
  <c r="L136" i="13" s="1"/>
  <c r="R136" i="13" l="1"/>
  <c r="M136" i="13"/>
  <c r="T136" i="13" s="1"/>
  <c r="N136" i="13"/>
  <c r="I137" i="13" l="1"/>
  <c r="O137" i="13" s="1"/>
  <c r="AA137" i="13" s="1"/>
  <c r="K137" i="13" l="1"/>
  <c r="P137" i="13" s="1"/>
  <c r="Q137" i="13" s="1"/>
  <c r="J137" i="13" s="1"/>
  <c r="N137" i="13" s="1"/>
  <c r="L137" i="13" l="1"/>
  <c r="R137" i="13"/>
  <c r="M137" i="13"/>
  <c r="T137" i="13" s="1"/>
  <c r="I138" i="13" l="1"/>
  <c r="O138" i="13" s="1"/>
  <c r="AA138" i="13" s="1"/>
  <c r="K138" i="13" l="1"/>
  <c r="P138" i="13" s="1"/>
  <c r="Q138" i="13" s="1"/>
  <c r="J138" i="13" s="1"/>
  <c r="N138" i="13" s="1"/>
  <c r="L138" i="13" l="1"/>
  <c r="M138" i="13"/>
  <c r="T138" i="13" s="1"/>
  <c r="R138" i="13"/>
  <c r="I139" i="13" l="1"/>
  <c r="O139" i="13" s="1"/>
  <c r="AA139" i="13" s="1"/>
  <c r="K139" i="13" l="1"/>
  <c r="P139" i="13" s="1"/>
  <c r="R139" i="13" s="1"/>
  <c r="Q139" i="13" l="1"/>
  <c r="J139" i="13" s="1"/>
  <c r="N139" i="13" s="1"/>
  <c r="L139" i="13" l="1"/>
  <c r="M139" i="13"/>
  <c r="T139" i="13" s="1"/>
  <c r="I140" i="13" l="1"/>
  <c r="O140" i="13" s="1"/>
  <c r="AA140" i="13" s="1"/>
  <c r="K140" i="13" l="1"/>
  <c r="P140" i="13" s="1"/>
  <c r="Q140" i="13" s="1"/>
  <c r="J140" i="13" s="1"/>
  <c r="N140" i="13" s="1"/>
  <c r="R140" i="13" l="1"/>
  <c r="M140" i="13"/>
  <c r="T140" i="13" s="1"/>
  <c r="L140" i="13"/>
  <c r="I141" i="13" l="1"/>
  <c r="O141" i="13" s="1"/>
  <c r="AA141" i="13" s="1"/>
  <c r="K141" i="13" l="1"/>
  <c r="P141" i="13" s="1"/>
  <c r="Q141" i="13" l="1"/>
  <c r="J141" i="13" s="1"/>
  <c r="N141" i="13" s="1"/>
  <c r="R141" i="13"/>
  <c r="M141" i="13" l="1"/>
  <c r="T141" i="13" s="1"/>
  <c r="L141" i="13"/>
  <c r="I142" i="13" l="1"/>
  <c r="O142" i="13" s="1"/>
  <c r="AA142" i="13" s="1"/>
  <c r="K142" i="13" l="1"/>
  <c r="P142" i="13" l="1"/>
  <c r="Q142" i="13" s="1"/>
  <c r="J142" i="13" s="1"/>
  <c r="N142" i="13" s="1"/>
  <c r="R142" i="13" l="1"/>
  <c r="M142" i="13"/>
  <c r="T142" i="13" s="1"/>
  <c r="L142" i="13"/>
  <c r="I143" i="13" l="1"/>
  <c r="O143" i="13" s="1"/>
  <c r="AA143" i="13" s="1"/>
  <c r="K143" i="13" l="1"/>
  <c r="P143" i="13" s="1"/>
  <c r="R143" i="13" s="1"/>
  <c r="Q143" i="13" l="1"/>
  <c r="J143" i="13" s="1"/>
  <c r="M143" i="13" s="1"/>
  <c r="T143" i="13" s="1"/>
  <c r="L143" i="13" l="1"/>
  <c r="N143" i="13"/>
  <c r="I144" i="13" l="1"/>
  <c r="O144" i="13" s="1"/>
  <c r="AA144" i="13" s="1"/>
  <c r="K144" i="13" l="1"/>
  <c r="P144" i="13" s="1"/>
  <c r="Q144" i="13" s="1"/>
  <c r="J144" i="13" s="1"/>
  <c r="M144" i="13" s="1"/>
  <c r="T144" i="13" s="1"/>
  <c r="L144" i="13" l="1"/>
  <c r="N144" i="13"/>
  <c r="R144" i="13"/>
  <c r="I145" i="13" l="1"/>
  <c r="O145" i="13" s="1"/>
  <c r="AA145" i="13" s="1"/>
  <c r="K145" i="13" l="1"/>
  <c r="P145" i="13" s="1"/>
  <c r="R145" i="13" s="1"/>
  <c r="Q145" i="13" l="1"/>
  <c r="J145" i="13" s="1"/>
  <c r="N145" i="13" s="1"/>
  <c r="M145" i="13" l="1"/>
  <c r="T145" i="13" s="1"/>
  <c r="L145" i="13"/>
  <c r="I146" i="13" l="1"/>
  <c r="O146" i="13" s="1"/>
  <c r="AA146" i="13" s="1"/>
  <c r="K146" i="13" l="1"/>
  <c r="P146" i="13" s="1"/>
  <c r="Q146" i="13" l="1"/>
  <c r="J146" i="13" s="1"/>
  <c r="N146" i="13" s="1"/>
  <c r="R146" i="13"/>
  <c r="M146" i="13" l="1"/>
  <c r="T146" i="13" s="1"/>
  <c r="L146" i="13"/>
  <c r="I147" i="13" l="1"/>
  <c r="O147" i="13" s="1"/>
  <c r="AA147" i="13" s="1"/>
  <c r="K147" i="13" l="1"/>
  <c r="P147" i="13" l="1"/>
  <c r="R147" i="13" s="1"/>
  <c r="Q147" i="13" l="1"/>
  <c r="J147" i="13" s="1"/>
  <c r="N147" i="13" s="1"/>
  <c r="L147" i="13" l="1"/>
  <c r="M147" i="13"/>
  <c r="T147" i="13" s="1"/>
  <c r="I148" i="13" l="1"/>
  <c r="O148" i="13" s="1"/>
  <c r="AA148" i="13" s="1"/>
  <c r="K148" i="13" l="1"/>
  <c r="P148" i="13" s="1"/>
  <c r="R148" i="13" s="1"/>
  <c r="Q148" i="13" l="1"/>
  <c r="J148" i="13" s="1"/>
  <c r="N148" i="13" s="1"/>
  <c r="L148" i="13" l="1"/>
  <c r="M148" i="13"/>
  <c r="T148" i="13" s="1"/>
  <c r="I149" i="13" l="1"/>
  <c r="O149" i="13" s="1"/>
  <c r="AA149" i="13" s="1"/>
  <c r="K149" i="13" l="1"/>
  <c r="P149" i="13" s="1"/>
  <c r="R149" i="13" s="1"/>
  <c r="Q149" i="13" l="1"/>
  <c r="J149" i="13" s="1"/>
  <c r="L149" i="13" s="1"/>
  <c r="N149" i="13" l="1"/>
  <c r="M149" i="13"/>
  <c r="T149" i="13" s="1"/>
  <c r="I150" i="13" l="1"/>
  <c r="O150" i="13" s="1"/>
  <c r="AA150" i="13" s="1"/>
  <c r="K150" i="13" l="1"/>
  <c r="P150" i="13" s="1"/>
  <c r="Q150" i="13" s="1"/>
  <c r="J150" i="13" s="1"/>
  <c r="N150" i="13" s="1"/>
  <c r="R150" i="13" l="1"/>
  <c r="M150" i="13"/>
  <c r="T150" i="13" s="1"/>
  <c r="L150" i="13"/>
  <c r="I151" i="13" l="1"/>
  <c r="O151" i="13" s="1"/>
  <c r="AA151" i="13" s="1"/>
  <c r="K151" i="13" l="1"/>
  <c r="P151" i="13" s="1"/>
  <c r="Q151" i="13" l="1"/>
  <c r="J151" i="13" s="1"/>
  <c r="N151" i="13" s="1"/>
  <c r="R151" i="13"/>
  <c r="M151" i="13" l="1"/>
  <c r="T151" i="13" s="1"/>
  <c r="L151" i="13"/>
  <c r="I152" i="13" l="1"/>
  <c r="O152" i="13" s="1"/>
  <c r="AA152" i="13" s="1"/>
  <c r="K152" i="13" l="1"/>
  <c r="P152" i="13" s="1"/>
  <c r="R152" i="13" s="1"/>
  <c r="Q152" i="13" l="1"/>
  <c r="J152" i="13" s="1"/>
  <c r="M152" i="13" s="1"/>
  <c r="T152" i="13" s="1"/>
  <c r="L152" i="13" l="1"/>
  <c r="N152" i="13"/>
  <c r="I153" i="13" l="1"/>
  <c r="O153" i="13" s="1"/>
  <c r="AA153" i="13" s="1"/>
  <c r="K153" i="13" l="1"/>
  <c r="P153" i="13" s="1"/>
  <c r="R153" i="13" s="1"/>
  <c r="Q153" i="13" l="1"/>
  <c r="J153" i="13" s="1"/>
  <c r="M153" i="13" s="1"/>
  <c r="T153" i="13" s="1"/>
  <c r="N153" i="13" l="1"/>
  <c r="L153" i="13"/>
  <c r="I154" i="13" l="1"/>
  <c r="O154" i="13" s="1"/>
  <c r="AA154" i="13" s="1"/>
  <c r="K154" i="13" l="1"/>
  <c r="P154" i="13" s="1"/>
  <c r="R154" i="13" s="1"/>
  <c r="Q154" i="13" l="1"/>
  <c r="J154" i="13" s="1"/>
  <c r="N154" i="13" s="1"/>
  <c r="L154" i="13" l="1"/>
  <c r="M154" i="13"/>
  <c r="T154" i="13" s="1"/>
  <c r="I155" i="13" l="1"/>
  <c r="O155" i="13" s="1"/>
  <c r="AA155" i="13" s="1"/>
  <c r="K155" i="13" l="1"/>
  <c r="P155" i="13" s="1"/>
  <c r="R155" i="13" s="1"/>
  <c r="Q155" i="13" l="1"/>
  <c r="J155" i="13" s="1"/>
  <c r="N155" i="13" s="1"/>
  <c r="M155" i="13" l="1"/>
  <c r="T155" i="13" s="1"/>
  <c r="L155" i="13"/>
  <c r="I156" i="13" l="1"/>
  <c r="O156" i="13" s="1"/>
  <c r="AA156" i="13" s="1"/>
  <c r="K156" i="13" l="1"/>
  <c r="P156" i="13" s="1"/>
  <c r="Q156" i="13" s="1"/>
  <c r="J156" i="13" s="1"/>
  <c r="M156" i="13" s="1"/>
  <c r="T156" i="13" s="1"/>
  <c r="N156" i="13" l="1"/>
  <c r="R156" i="13"/>
  <c r="L156" i="13"/>
  <c r="I157" i="13" l="1"/>
  <c r="O157" i="13" s="1"/>
  <c r="AA157" i="13" s="1"/>
  <c r="K157" i="13" l="1"/>
  <c r="P157" i="13" s="1"/>
  <c r="R157" i="13" s="1"/>
  <c r="Q157" i="13" l="1"/>
  <c r="J157" i="13" s="1"/>
  <c r="M157" i="13" s="1"/>
  <c r="T157" i="13" s="1"/>
  <c r="L157" i="13" l="1"/>
  <c r="N157" i="13"/>
  <c r="I158" i="13" l="1"/>
  <c r="O158" i="13" s="1"/>
  <c r="AA158" i="13" s="1"/>
  <c r="K158" i="13" l="1"/>
  <c r="P158" i="13" s="1"/>
  <c r="Q158" i="13" s="1"/>
  <c r="J158" i="13" s="1"/>
  <c r="M158" i="13" s="1"/>
  <c r="T158" i="13" s="1"/>
  <c r="R158" i="13" l="1"/>
  <c r="L158" i="13"/>
  <c r="N158" i="13"/>
  <c r="I159" i="13" l="1"/>
  <c r="O159" i="13" s="1"/>
  <c r="AA159" i="13" s="1"/>
  <c r="K159" i="13" l="1"/>
  <c r="P159" i="13" s="1"/>
  <c r="Q159" i="13" s="1"/>
  <c r="J159" i="13" s="1"/>
  <c r="M159" i="13" s="1"/>
  <c r="T159" i="13" s="1"/>
  <c r="N159" i="13" l="1"/>
  <c r="R159" i="13"/>
  <c r="L159" i="13"/>
  <c r="I160" i="13" l="1"/>
  <c r="O160" i="13" s="1"/>
  <c r="AA160" i="13" s="1"/>
  <c r="K160" i="13" l="1"/>
  <c r="P160" i="13" s="1"/>
  <c r="Q160" i="13" s="1"/>
  <c r="J160" i="13" s="1"/>
  <c r="N160" i="13" s="1"/>
  <c r="L160" i="13" l="1"/>
  <c r="M160" i="13"/>
  <c r="T160" i="13" s="1"/>
  <c r="R160" i="13"/>
  <c r="I161" i="13" l="1"/>
  <c r="O161" i="13" s="1"/>
  <c r="AA161" i="13" s="1"/>
  <c r="K161" i="13" l="1"/>
  <c r="P161" i="13" s="1"/>
  <c r="Q161" i="13" s="1"/>
  <c r="J161" i="13" s="1"/>
  <c r="M161" i="13" s="1"/>
  <c r="T161" i="13" s="1"/>
  <c r="N161" i="13" l="1"/>
  <c r="R161" i="13"/>
  <c r="L161" i="13"/>
  <c r="I162" i="13" l="1"/>
  <c r="O162" i="13" s="1"/>
  <c r="AA162" i="13" s="1"/>
  <c r="K162" i="13" l="1"/>
  <c r="P162" i="13" s="1"/>
  <c r="Q162" i="13" s="1"/>
  <c r="J162" i="13" s="1"/>
  <c r="M162" i="13" s="1"/>
  <c r="T162" i="13" s="1"/>
  <c r="L162" i="13" l="1"/>
  <c r="R162" i="13"/>
  <c r="N162" i="13"/>
  <c r="I163" i="13" l="1"/>
  <c r="O163" i="13" s="1"/>
  <c r="K163" i="13" l="1"/>
  <c r="P163" i="13" s="1"/>
  <c r="Q163" i="13" s="1"/>
  <c r="J163" i="13" s="1"/>
  <c r="N163" i="13" s="1"/>
  <c r="AA163" i="13"/>
  <c r="L163" i="13" l="1"/>
  <c r="R163" i="13"/>
  <c r="M163" i="13"/>
  <c r="I164" i="13" l="1"/>
  <c r="O164" i="13" s="1"/>
  <c r="AA164" i="13" s="1"/>
  <c r="T163" i="13"/>
  <c r="K164" i="13" l="1"/>
  <c r="P164" i="13" s="1"/>
  <c r="R164" i="13" s="1"/>
  <c r="Q164" i="13" l="1"/>
  <c r="J164" i="13" s="1"/>
  <c r="N164" i="13" s="1"/>
  <c r="L164" i="13" l="1"/>
  <c r="M164" i="13"/>
  <c r="T164" i="13" s="1"/>
  <c r="I165" i="13" l="1"/>
  <c r="O165" i="13" s="1"/>
  <c r="AA165" i="13" s="1"/>
  <c r="K165" i="13" l="1"/>
  <c r="P165" i="13" s="1"/>
  <c r="Q165" i="13" s="1"/>
  <c r="J165" i="13" s="1"/>
  <c r="N165" i="13" s="1"/>
  <c r="M165" i="13" l="1"/>
  <c r="T165" i="13" s="1"/>
  <c r="L165" i="13"/>
  <c r="R165" i="13"/>
  <c r="I166" i="13" l="1"/>
  <c r="O166" i="13" s="1"/>
  <c r="AA166" i="13" s="1"/>
  <c r="K166" i="13" l="1"/>
  <c r="P166" i="13" s="1"/>
  <c r="Q166" i="13" s="1"/>
  <c r="J166" i="13" s="1"/>
  <c r="M166" i="13" s="1"/>
  <c r="T166" i="13" s="1"/>
  <c r="R166" i="13" l="1"/>
  <c r="N166" i="13"/>
  <c r="L166" i="13"/>
  <c r="I167" i="13" l="1"/>
  <c r="O167" i="13" s="1"/>
  <c r="AA167" i="13" s="1"/>
  <c r="K167" i="13" l="1"/>
  <c r="P167" i="13" s="1"/>
  <c r="Q167" i="13" s="1"/>
  <c r="J167" i="13" s="1"/>
  <c r="R167" i="13" l="1"/>
  <c r="N167" i="13"/>
  <c r="L167" i="13"/>
  <c r="M167" i="13"/>
  <c r="T167" i="13" s="1"/>
  <c r="I168" i="13" l="1"/>
  <c r="O168" i="13" s="1"/>
  <c r="AA168" i="13" s="1"/>
  <c r="K168" i="13" l="1"/>
  <c r="P168" i="13" l="1"/>
  <c r="Q168" i="13" l="1"/>
  <c r="J168" i="13" s="1"/>
  <c r="N168" i="13" s="1"/>
  <c r="R168" i="13"/>
  <c r="M168" i="13" l="1"/>
  <c r="T168" i="13" s="1"/>
  <c r="L168" i="13"/>
  <c r="I169" i="13" l="1"/>
  <c r="O169" i="13" s="1"/>
  <c r="AA169" i="13" s="1"/>
  <c r="K169" i="13" l="1"/>
  <c r="P169" i="13" l="1"/>
  <c r="Q169" i="13" l="1"/>
  <c r="J169" i="13" s="1"/>
  <c r="N169" i="13" s="1"/>
  <c r="R169" i="13"/>
  <c r="M169" i="13" l="1"/>
  <c r="T169" i="13" s="1"/>
  <c r="L169" i="13"/>
  <c r="I170" i="13" l="1"/>
  <c r="O170" i="13" s="1"/>
  <c r="AA170" i="13" s="1"/>
  <c r="K170" i="13" l="1"/>
  <c r="P170" i="13" l="1"/>
  <c r="R170" i="13" l="1"/>
  <c r="Q170" i="13"/>
  <c r="J170" i="13" s="1"/>
  <c r="N170" i="13" s="1"/>
  <c r="M170" i="13" l="1"/>
  <c r="T170" i="13" s="1"/>
  <c r="L170" i="13"/>
  <c r="I171" i="13" l="1"/>
  <c r="O171" i="13" s="1"/>
  <c r="AA171" i="13" s="1"/>
  <c r="K171" i="13" l="1"/>
  <c r="P171" i="13" l="1"/>
  <c r="R171" i="13" l="1"/>
  <c r="Q171" i="13"/>
  <c r="J171" i="13" s="1"/>
  <c r="N171" i="13" s="1"/>
  <c r="M171" i="13" l="1"/>
  <c r="T171" i="13" s="1"/>
  <c r="L171" i="13"/>
  <c r="I172" i="13" l="1"/>
  <c r="O172" i="13" s="1"/>
  <c r="AA172" i="13" s="1"/>
  <c r="K172" i="13" l="1"/>
  <c r="P172" i="13" l="1"/>
  <c r="Q172" i="13" l="1"/>
  <c r="J172" i="13" s="1"/>
  <c r="N172" i="13" s="1"/>
  <c r="R172" i="13"/>
  <c r="M172" i="13" l="1"/>
  <c r="T172" i="13" s="1"/>
  <c r="L172" i="13"/>
  <c r="I173" i="13" l="1"/>
  <c r="O173" i="13" s="1"/>
  <c r="AA173" i="13" s="1"/>
  <c r="K173" i="13" l="1"/>
  <c r="P173" i="13" l="1"/>
  <c r="Q173" i="13" l="1"/>
  <c r="J173" i="13" s="1"/>
  <c r="N173" i="13" s="1"/>
  <c r="R173" i="13"/>
  <c r="M173" i="13" l="1"/>
  <c r="T173" i="13" s="1"/>
  <c r="L173" i="13"/>
  <c r="I174" i="13" l="1"/>
  <c r="O174" i="13" s="1"/>
  <c r="AA174" i="13" s="1"/>
  <c r="K174" i="13" l="1"/>
  <c r="P174" i="13" s="1"/>
  <c r="Q174" i="13" l="1"/>
  <c r="J174" i="13" s="1"/>
  <c r="M174" i="13" s="1"/>
  <c r="T174" i="13" s="1"/>
  <c r="R174" i="13"/>
  <c r="N174" i="13" l="1"/>
  <c r="L174" i="13"/>
  <c r="I175" i="13" l="1"/>
  <c r="O175" i="13" s="1"/>
  <c r="AA175" i="13" s="1"/>
  <c r="K175" i="13" l="1"/>
  <c r="P175" i="13" s="1"/>
  <c r="R175" i="13" l="1"/>
  <c r="Q175" i="13"/>
  <c r="J175" i="13" s="1"/>
  <c r="N175" i="13" s="1"/>
  <c r="M175" i="13" l="1"/>
  <c r="T175" i="13" s="1"/>
  <c r="L175" i="13"/>
  <c r="I176" i="13" l="1"/>
  <c r="O176" i="13" s="1"/>
  <c r="AA176" i="13" s="1"/>
  <c r="K176" i="13" l="1"/>
  <c r="P176" i="13" s="1"/>
  <c r="Q176" i="13" l="1"/>
  <c r="J176" i="13" s="1"/>
  <c r="M176" i="13" s="1"/>
  <c r="T176" i="13" s="1"/>
  <c r="R176" i="13"/>
  <c r="N176" i="13" l="1"/>
  <c r="L176" i="13"/>
  <c r="I177" i="13" l="1"/>
  <c r="O177" i="13" s="1"/>
  <c r="AA177" i="13" s="1"/>
  <c r="K177" i="13" l="1"/>
  <c r="P177" i="13" s="1"/>
  <c r="R177" i="13" l="1"/>
  <c r="Q177" i="13"/>
  <c r="J177" i="13" s="1"/>
  <c r="L177" i="13" s="1"/>
  <c r="N177" i="13" l="1"/>
  <c r="M177" i="13"/>
  <c r="T177" i="13" s="1"/>
  <c r="I178" i="13" l="1"/>
  <c r="O178" i="13" s="1"/>
  <c r="AA178" i="13" s="1"/>
  <c r="K178" i="13" l="1"/>
  <c r="P178" i="13" l="1"/>
  <c r="Q178" i="13" s="1"/>
  <c r="J178" i="13" s="1"/>
  <c r="N178" i="13" s="1"/>
  <c r="R178" i="13" l="1"/>
  <c r="M178" i="13"/>
  <c r="T178" i="13" s="1"/>
  <c r="L178" i="13"/>
  <c r="I179" i="13" l="1"/>
  <c r="O179" i="13" s="1"/>
  <c r="AA179" i="13" s="1"/>
  <c r="K179" i="13" l="1"/>
  <c r="P179" i="13" s="1"/>
  <c r="R179" i="13" l="1"/>
  <c r="Q179" i="13"/>
  <c r="J179" i="13" s="1"/>
  <c r="L179" i="13" s="1"/>
  <c r="N179" i="13" l="1"/>
  <c r="M179" i="13"/>
  <c r="T179" i="13" s="1"/>
  <c r="I180" i="13" l="1"/>
  <c r="O180" i="13" s="1"/>
  <c r="AA180" i="13" s="1"/>
  <c r="K180" i="13" l="1"/>
  <c r="P180" i="13" s="1"/>
  <c r="Q180" i="13" l="1"/>
  <c r="J180" i="13" s="1"/>
  <c r="M180" i="13" s="1"/>
  <c r="T180" i="13" s="1"/>
  <c r="R180" i="13"/>
  <c r="N180" i="13" l="1"/>
  <c r="L180" i="13"/>
  <c r="I181" i="13" l="1"/>
  <c r="O181" i="13" s="1"/>
  <c r="AA181" i="13" s="1"/>
  <c r="K181" i="13" l="1"/>
  <c r="P181" i="13" s="1"/>
  <c r="R181" i="13" s="1"/>
  <c r="Q181" i="13" l="1"/>
  <c r="J181" i="13" s="1"/>
  <c r="M181" i="13" s="1"/>
  <c r="T181" i="13" s="1"/>
  <c r="N181" i="13" l="1"/>
  <c r="L181" i="13"/>
  <c r="I182" i="13" l="1"/>
  <c r="O182" i="13" s="1"/>
  <c r="AA182" i="13" s="1"/>
  <c r="K182" i="13" l="1"/>
  <c r="P182" i="13" l="1"/>
  <c r="Q182" i="13" s="1"/>
  <c r="J182" i="13" s="1"/>
  <c r="L182" i="13" s="1"/>
  <c r="M182" i="13" l="1"/>
  <c r="T182" i="13" s="1"/>
  <c r="R182" i="13"/>
  <c r="N182" i="13"/>
  <c r="I183" i="13" l="1"/>
  <c r="O183" i="13" s="1"/>
  <c r="AA183" i="13" s="1"/>
  <c r="K183" i="13" l="1"/>
  <c r="P183" i="13" s="1"/>
  <c r="Q183" i="13" s="1"/>
  <c r="J183" i="13" s="1"/>
  <c r="L183" i="13" s="1"/>
  <c r="N183" i="13" l="1"/>
  <c r="R183" i="13"/>
  <c r="M183" i="13"/>
  <c r="T183" i="13" s="1"/>
  <c r="I184" i="13" l="1"/>
  <c r="O184" i="13" s="1"/>
  <c r="AA184" i="13" s="1"/>
  <c r="K184" i="13" l="1"/>
  <c r="P184" i="13" s="1"/>
  <c r="Q184" i="13" s="1"/>
  <c r="J184" i="13" s="1"/>
  <c r="L184" i="13" s="1"/>
  <c r="M184" i="13" l="1"/>
  <c r="T184" i="13" s="1"/>
  <c r="R184" i="13"/>
  <c r="N184" i="13"/>
  <c r="I185" i="13" l="1"/>
  <c r="O185" i="13" s="1"/>
  <c r="AA185" i="13" s="1"/>
  <c r="K185" i="13" l="1"/>
  <c r="P185" i="13" s="1"/>
  <c r="Q185" i="13" s="1"/>
  <c r="J185" i="13" s="1"/>
  <c r="M185" i="13" s="1"/>
  <c r="T185" i="13" s="1"/>
  <c r="N185" i="13" l="1"/>
  <c r="L185" i="13"/>
  <c r="R185" i="13"/>
  <c r="I186" i="13" l="1"/>
  <c r="O186" i="13" s="1"/>
  <c r="AA186" i="13" s="1"/>
  <c r="K186" i="13" l="1"/>
  <c r="P186" i="13" s="1"/>
  <c r="Q186" i="13" s="1"/>
  <c r="J186" i="13" s="1"/>
  <c r="L186" i="13" s="1"/>
  <c r="M186" i="13" l="1"/>
  <c r="T186" i="13" s="1"/>
  <c r="R186" i="13"/>
  <c r="N186" i="13"/>
  <c r="I187" i="13" l="1"/>
  <c r="O187" i="13" s="1"/>
  <c r="AA187" i="13" s="1"/>
  <c r="K187" i="13" l="1"/>
  <c r="P187" i="13" s="1"/>
  <c r="R187" i="13" s="1"/>
  <c r="Q187" i="13" l="1"/>
  <c r="J187" i="13" s="1"/>
  <c r="M187" i="13" s="1"/>
  <c r="T187" i="13" s="1"/>
  <c r="N187" i="13" l="1"/>
  <c r="L187" i="13"/>
  <c r="I188" i="13" l="1"/>
  <c r="O188" i="13" s="1"/>
  <c r="AA188" i="13" s="1"/>
  <c r="K188" i="13" l="1"/>
  <c r="P188" i="13" s="1"/>
  <c r="R188" i="13" s="1"/>
  <c r="Q188" i="13" l="1"/>
  <c r="J188" i="13" s="1"/>
  <c r="M188" i="13" s="1"/>
  <c r="T188" i="13" s="1"/>
  <c r="L188" i="13" l="1"/>
  <c r="N188" i="13"/>
  <c r="I189" i="13" l="1"/>
  <c r="O189" i="13" s="1"/>
  <c r="AA189" i="13" s="1"/>
  <c r="K189" i="13" l="1"/>
  <c r="P189" i="13" s="1"/>
  <c r="R189" i="13" s="1"/>
  <c r="Q189" i="13" l="1"/>
  <c r="J189" i="13" s="1"/>
  <c r="M189" i="13" s="1"/>
  <c r="T189" i="13" s="1"/>
  <c r="L189" i="13" l="1"/>
  <c r="N189" i="13"/>
  <c r="I190" i="13" l="1"/>
  <c r="O190" i="13" s="1"/>
  <c r="AA190" i="13" s="1"/>
  <c r="K190" i="13" l="1"/>
  <c r="P190" i="13" s="1"/>
  <c r="R190" i="13" s="1"/>
  <c r="Q190" i="13" l="1"/>
  <c r="J190" i="13" s="1"/>
  <c r="M190" i="13" s="1"/>
  <c r="T190" i="13" s="1"/>
  <c r="L190" i="13" l="1"/>
  <c r="N190" i="13"/>
  <c r="I191" i="13" l="1"/>
  <c r="O191" i="13" s="1"/>
  <c r="AA191" i="13" s="1"/>
  <c r="K191" i="13" l="1"/>
  <c r="P191" i="13" s="1"/>
  <c r="R191" i="13" s="1"/>
  <c r="Q191" i="13" l="1"/>
  <c r="J191" i="13" s="1"/>
  <c r="M191" i="13" s="1"/>
  <c r="T191" i="13" s="1"/>
  <c r="N191" i="13" l="1"/>
  <c r="L191" i="13"/>
  <c r="I192" i="13" l="1"/>
  <c r="O192" i="13" s="1"/>
  <c r="AA192" i="13" s="1"/>
  <c r="K192" i="13" l="1"/>
  <c r="P192" i="13" s="1"/>
  <c r="R192" i="13" s="1"/>
  <c r="Q192" i="13" l="1"/>
  <c r="J192" i="13" s="1"/>
  <c r="L192" i="13" s="1"/>
  <c r="N192" i="13" l="1"/>
  <c r="M192" i="13"/>
  <c r="T192" i="13" s="1"/>
  <c r="I193" i="13" l="1"/>
  <c r="O193" i="13" s="1"/>
  <c r="AA193" i="13" s="1"/>
  <c r="K193" i="13" l="1"/>
  <c r="P193" i="13" s="1"/>
  <c r="Q193" i="13" s="1"/>
  <c r="J193" i="13" s="1"/>
  <c r="M193" i="13" s="1"/>
  <c r="T193" i="13" s="1"/>
  <c r="L193" i="13" l="1"/>
  <c r="N193" i="13"/>
  <c r="R193" i="13"/>
  <c r="I194" i="13" l="1"/>
  <c r="O194" i="13" s="1"/>
  <c r="AA194" i="13" s="1"/>
  <c r="K194" i="13" l="1"/>
  <c r="P194" i="13" s="1"/>
  <c r="Q194" i="13" s="1"/>
  <c r="J194" i="13" s="1"/>
  <c r="L194" i="13" s="1"/>
  <c r="R194" i="13" l="1"/>
  <c r="M194" i="13"/>
  <c r="T194" i="13" s="1"/>
  <c r="N194" i="13"/>
  <c r="I195" i="13" l="1"/>
  <c r="O195" i="13" s="1"/>
  <c r="AA195" i="13" s="1"/>
  <c r="K195" i="13" l="1"/>
  <c r="P195" i="13" s="1"/>
  <c r="R195" i="13" s="1"/>
  <c r="Q195" i="13" l="1"/>
  <c r="J195" i="13" s="1"/>
  <c r="N195" i="13" s="1"/>
  <c r="L195" i="13" l="1"/>
  <c r="M195" i="13"/>
  <c r="T195" i="13" s="1"/>
  <c r="I196" i="13" l="1"/>
  <c r="O196" i="13" s="1"/>
  <c r="AA196" i="13" s="1"/>
  <c r="K196" i="13" l="1"/>
  <c r="P196" i="13" s="1"/>
  <c r="R196" i="13" s="1"/>
  <c r="Q196" i="13" l="1"/>
  <c r="J196" i="13" s="1"/>
  <c r="M196" i="13" s="1"/>
  <c r="T196" i="13" s="1"/>
  <c r="N196" i="13" l="1"/>
  <c r="L196" i="13"/>
  <c r="I197" i="13" l="1"/>
  <c r="O197" i="13" s="1"/>
  <c r="AA197" i="13" s="1"/>
  <c r="K197" i="13" l="1"/>
  <c r="P197" i="13" s="1"/>
  <c r="R197" i="13" s="1"/>
  <c r="Q197" i="13" l="1"/>
  <c r="J197" i="13" s="1"/>
  <c r="N197" i="13" s="1"/>
  <c r="M197" i="13" l="1"/>
  <c r="T197" i="13" s="1"/>
  <c r="L197" i="13"/>
  <c r="I198" i="13" l="1"/>
  <c r="O198" i="13" s="1"/>
  <c r="AA198" i="13" s="1"/>
  <c r="K198" i="13" l="1"/>
  <c r="P198" i="13" s="1"/>
  <c r="Q198" i="13" s="1"/>
  <c r="J198" i="13" s="1"/>
  <c r="M198" i="13" s="1"/>
  <c r="T198" i="13" s="1"/>
  <c r="L198" i="13" l="1"/>
  <c r="N198" i="13"/>
  <c r="R198" i="13"/>
  <c r="I199" i="13" l="1"/>
  <c r="O199" i="13" s="1"/>
  <c r="AA199" i="13" s="1"/>
  <c r="K199" i="13" l="1"/>
  <c r="P199" i="13" s="1"/>
  <c r="R199" i="13" s="1"/>
  <c r="Q199" i="13" l="1"/>
  <c r="J199" i="13" s="1"/>
  <c r="M199" i="13" s="1"/>
  <c r="T199" i="13" s="1"/>
  <c r="L199" i="13" l="1"/>
  <c r="N199" i="13"/>
  <c r="I200" i="13" l="1"/>
  <c r="O200" i="13" s="1"/>
  <c r="AA200" i="13" s="1"/>
  <c r="K200" i="13" l="1"/>
  <c r="P200" i="13" s="1"/>
  <c r="R200" i="13" s="1"/>
  <c r="Q200" i="13" l="1"/>
  <c r="J200" i="13" s="1"/>
  <c r="L200" i="13" s="1"/>
  <c r="M200" i="13" l="1"/>
  <c r="T200" i="13" s="1"/>
  <c r="N200" i="13"/>
  <c r="I201" i="13" l="1"/>
  <c r="O201" i="13" s="1"/>
  <c r="AA201" i="13" s="1"/>
  <c r="K201" i="13" l="1"/>
  <c r="P201" i="13" s="1"/>
  <c r="Q201" i="13" s="1"/>
  <c r="J201" i="13" s="1"/>
  <c r="M201" i="13" s="1"/>
  <c r="T201" i="13" s="1"/>
  <c r="N201" i="13" l="1"/>
  <c r="R201" i="13"/>
  <c r="L201" i="13"/>
  <c r="I202" i="13" l="1"/>
  <c r="O202" i="13" s="1"/>
  <c r="AA202" i="13" s="1"/>
  <c r="K202" i="13" l="1"/>
  <c r="P202" i="13" s="1"/>
  <c r="Q202" i="13" s="1"/>
  <c r="J202" i="13" s="1"/>
  <c r="M202" i="13" s="1"/>
  <c r="T202" i="13" s="1"/>
  <c r="L202" i="13" l="1"/>
  <c r="N202" i="13"/>
  <c r="R202" i="13"/>
  <c r="I203" i="13" l="1"/>
  <c r="O203" i="13" s="1"/>
  <c r="AA203" i="13" s="1"/>
  <c r="K203" i="13" l="1"/>
  <c r="P203" i="13" s="1"/>
  <c r="R203" i="13" s="1"/>
  <c r="Q203" i="13" l="1"/>
  <c r="J203" i="13" s="1"/>
  <c r="M203" i="13" s="1"/>
  <c r="T203" i="13" s="1"/>
  <c r="L203" i="13" l="1"/>
  <c r="N203" i="13"/>
  <c r="I204" i="13" l="1"/>
  <c r="O204" i="13" s="1"/>
  <c r="AA204" i="13" s="1"/>
  <c r="K204" i="13" l="1"/>
  <c r="P204" i="13" s="1"/>
  <c r="R204" i="13" s="1"/>
  <c r="Q204" i="13" l="1"/>
  <c r="J204" i="13" s="1"/>
  <c r="M204" i="13" s="1"/>
  <c r="T204" i="13" s="1"/>
  <c r="N204" i="13" l="1"/>
  <c r="L204" i="13"/>
  <c r="I205" i="13" l="1"/>
  <c r="O205" i="13" s="1"/>
  <c r="AA205" i="13" s="1"/>
  <c r="K205" i="13" l="1"/>
  <c r="P205" i="13" s="1"/>
  <c r="R205" i="13" s="1"/>
  <c r="Q205" i="13" l="1"/>
  <c r="J205" i="13" s="1"/>
  <c r="M205" i="13" s="1"/>
  <c r="T205" i="13" s="1"/>
  <c r="N205" i="13" l="1"/>
  <c r="L205" i="13"/>
  <c r="I206" i="13" l="1"/>
  <c r="O206" i="13" s="1"/>
  <c r="K206" i="13" l="1"/>
  <c r="P206" i="13" s="1"/>
  <c r="R206" i="13" s="1"/>
  <c r="AA206" i="13"/>
  <c r="Q206" i="13" l="1"/>
  <c r="J206" i="13" s="1"/>
  <c r="N206" i="13" s="1"/>
  <c r="M206" i="13" l="1"/>
  <c r="T206" i="13" s="1"/>
  <c r="L206" i="13"/>
  <c r="I207" i="13" l="1"/>
  <c r="O207" i="13" s="1"/>
  <c r="AA207" i="13" s="1"/>
  <c r="K207" i="13" l="1"/>
  <c r="P207" i="13" s="1"/>
  <c r="R207" i="13" s="1"/>
  <c r="Q207" i="13" l="1"/>
  <c r="J207" i="13" s="1"/>
  <c r="L207" i="13" s="1"/>
  <c r="M207" i="13" l="1"/>
  <c r="T207" i="13" s="1"/>
  <c r="N207" i="13"/>
  <c r="I208" i="13" l="1"/>
  <c r="O208" i="13" s="1"/>
  <c r="AA208" i="13" s="1"/>
  <c r="K208" i="13" l="1"/>
  <c r="P208" i="13" s="1"/>
  <c r="R208" i="13" s="1"/>
  <c r="Q208" i="13" l="1"/>
  <c r="J208" i="13" s="1"/>
  <c r="M208" i="13" s="1"/>
  <c r="T208" i="13" s="1"/>
  <c r="N208" i="13" l="1"/>
  <c r="L208" i="13"/>
  <c r="I209" i="13" l="1"/>
  <c r="O209" i="13" s="1"/>
  <c r="AA209" i="13" s="1"/>
  <c r="K209" i="13" l="1"/>
  <c r="P209" i="13" s="1"/>
  <c r="Q209" i="13" s="1"/>
  <c r="J209" i="13" s="1"/>
  <c r="N209" i="13" s="1"/>
  <c r="L209" i="13" l="1"/>
  <c r="M209" i="13"/>
  <c r="T209" i="13" s="1"/>
  <c r="R209" i="13"/>
  <c r="I210" i="13" l="1"/>
  <c r="O210" i="13" s="1"/>
  <c r="AA210" i="13" s="1"/>
  <c r="K210" i="13" l="1"/>
  <c r="P210" i="13" s="1"/>
  <c r="R210" i="13" s="1"/>
  <c r="Q210" i="13" l="1"/>
  <c r="J210" i="13" s="1"/>
  <c r="M210" i="13" s="1"/>
  <c r="T210" i="13" s="1"/>
  <c r="L210" i="13" l="1"/>
  <c r="N210" i="13"/>
  <c r="I211" i="13" l="1"/>
  <c r="O211" i="13" s="1"/>
  <c r="AA211" i="13" s="1"/>
  <c r="K211" i="13" l="1"/>
  <c r="P211" i="13" s="1"/>
  <c r="Q211" i="13" s="1"/>
  <c r="J211" i="13" s="1"/>
  <c r="M211" i="13" s="1"/>
  <c r="T211" i="13" s="1"/>
  <c r="N211" i="13" l="1"/>
  <c r="L211" i="13"/>
  <c r="I212" i="13" s="1"/>
  <c r="O212" i="13" s="1"/>
  <c r="AA212" i="13" s="1"/>
  <c r="R211" i="13"/>
  <c r="K212" i="13" l="1"/>
  <c r="P212" i="13" s="1"/>
  <c r="Q212" i="13" s="1"/>
  <c r="J212" i="13" s="1"/>
  <c r="M212" i="13" s="1"/>
  <c r="T212" i="13" s="1"/>
  <c r="N212" i="13" l="1"/>
  <c r="L212" i="13"/>
  <c r="R212" i="13"/>
  <c r="I213" i="13" l="1"/>
  <c r="O213" i="13" s="1"/>
  <c r="K213" i="13" l="1"/>
  <c r="P213" i="13" s="1"/>
  <c r="R213" i="13" s="1"/>
  <c r="AA213" i="13"/>
  <c r="Q213" i="13" l="1"/>
  <c r="J213" i="13" s="1"/>
  <c r="M213" i="13" s="1"/>
  <c r="T213" i="13" s="1"/>
  <c r="L213" i="13" l="1"/>
  <c r="N213" i="13"/>
  <c r="I214" i="13" l="1"/>
  <c r="O214" i="13" s="1"/>
  <c r="AA214" i="13" s="1"/>
  <c r="K214" i="13" l="1"/>
  <c r="P214" i="13" s="1"/>
  <c r="R214" i="13" s="1"/>
  <c r="Q214" i="13" l="1"/>
  <c r="J214" i="13" s="1"/>
  <c r="M214" i="13" s="1"/>
  <c r="T214" i="13" s="1"/>
  <c r="L214" i="13" l="1"/>
  <c r="N214" i="13"/>
  <c r="I215" i="13" l="1"/>
  <c r="O215" i="13" s="1"/>
  <c r="AA215" i="13" s="1"/>
  <c r="K215" i="13" l="1"/>
  <c r="P215" i="13" s="1"/>
  <c r="Q215" i="13" s="1"/>
  <c r="J215" i="13" s="1"/>
  <c r="M215" i="13" s="1"/>
  <c r="T215" i="13" s="1"/>
  <c r="L215" i="13" l="1"/>
  <c r="R215" i="13"/>
  <c r="N215" i="13"/>
  <c r="I216" i="13" s="1"/>
  <c r="O216" i="13" s="1"/>
  <c r="AA216" i="13" s="1"/>
  <c r="K216" i="13" l="1"/>
  <c r="P216" i="13" s="1"/>
  <c r="Q216" i="13" s="1"/>
  <c r="J216" i="13" s="1"/>
  <c r="M216" i="13" s="1"/>
  <c r="T216" i="13" s="1"/>
  <c r="N216" i="13" l="1"/>
  <c r="R216" i="13"/>
  <c r="L216" i="13"/>
  <c r="I217" i="13" l="1"/>
  <c r="O217" i="13" s="1"/>
  <c r="AA217" i="13" s="1"/>
  <c r="K217" i="13" l="1"/>
  <c r="P217" i="13" s="1"/>
  <c r="Q217" i="13" s="1"/>
  <c r="J217" i="13" s="1"/>
  <c r="M217" i="13" s="1"/>
  <c r="T217" i="13" s="1"/>
  <c r="N217" i="13" l="1"/>
  <c r="R217" i="13"/>
  <c r="L217" i="13"/>
  <c r="I218" i="13" l="1"/>
  <c r="O218" i="13" s="1"/>
  <c r="AA218" i="13" s="1"/>
  <c r="K218" i="13" l="1"/>
  <c r="P218" i="13" s="1"/>
  <c r="Q218" i="13" s="1"/>
  <c r="J218" i="13" s="1"/>
  <c r="N218" i="13" l="1"/>
  <c r="R218" i="13"/>
  <c r="M218" i="13"/>
  <c r="T218" i="13" s="1"/>
  <c r="L218" i="13"/>
  <c r="I219" i="13" l="1"/>
  <c r="O219" i="13" s="1"/>
  <c r="AA219" i="13" s="1"/>
  <c r="K219" i="13" l="1"/>
  <c r="P219" i="13" s="1"/>
  <c r="Q219" i="13" l="1"/>
  <c r="J219" i="13" s="1"/>
  <c r="M219" i="13" s="1"/>
  <c r="T219" i="13" s="1"/>
  <c r="R219" i="13"/>
  <c r="N219" i="13" l="1"/>
  <c r="L219" i="13"/>
  <c r="I220" i="13" l="1"/>
  <c r="O220" i="13" s="1"/>
  <c r="AA220" i="13" s="1"/>
  <c r="K220" i="13" l="1"/>
  <c r="P220" i="13" s="1"/>
  <c r="Q220" i="13" l="1"/>
  <c r="J220" i="13" s="1"/>
  <c r="M220" i="13" s="1"/>
  <c r="T220" i="13" s="1"/>
  <c r="R220" i="13"/>
  <c r="N220" i="13" l="1"/>
  <c r="L220" i="13"/>
  <c r="I221" i="13" l="1"/>
  <c r="O221" i="13" s="1"/>
  <c r="AA221" i="13" s="1"/>
  <c r="K221" i="13" l="1"/>
  <c r="P221" i="13" s="1"/>
  <c r="R221" i="13" s="1"/>
  <c r="Q221" i="13" l="1"/>
  <c r="J221" i="13" s="1"/>
  <c r="M221" i="13" s="1"/>
  <c r="T221" i="13" s="1"/>
  <c r="N221" i="13" l="1"/>
  <c r="L221" i="13"/>
  <c r="I222" i="13" l="1"/>
  <c r="O222" i="13" s="1"/>
  <c r="AA222" i="13" s="1"/>
  <c r="K222" i="13" l="1"/>
  <c r="P222" i="13" s="1"/>
  <c r="Q222" i="13" s="1"/>
  <c r="J222" i="13" s="1"/>
  <c r="M222" i="13" s="1"/>
  <c r="T222" i="13" s="1"/>
  <c r="R222" i="13" l="1"/>
  <c r="L222" i="13"/>
  <c r="N222" i="13"/>
  <c r="I223" i="13" l="1"/>
  <c r="O223" i="13" s="1"/>
  <c r="AA223" i="13" s="1"/>
  <c r="K223" i="13" l="1"/>
  <c r="P223" i="13" s="1"/>
  <c r="Q223" i="13" s="1"/>
  <c r="J223" i="13" s="1"/>
  <c r="N223" i="13" s="1"/>
  <c r="L223" i="13" l="1"/>
  <c r="M223" i="13"/>
  <c r="T223" i="13" s="1"/>
  <c r="R223" i="13"/>
  <c r="I224" i="13" l="1"/>
  <c r="O224" i="13" s="1"/>
  <c r="AA224" i="13" s="1"/>
  <c r="K224" i="13" l="1"/>
  <c r="P224" i="13" s="1"/>
  <c r="Q224" i="13" l="1"/>
  <c r="J224" i="13" s="1"/>
  <c r="N224" i="13" s="1"/>
  <c r="R224" i="13"/>
  <c r="M224" i="13" l="1"/>
  <c r="T224" i="13" s="1"/>
  <c r="L224" i="13"/>
  <c r="I225" i="13" l="1"/>
  <c r="O225" i="13" s="1"/>
  <c r="AA225" i="13" s="1"/>
  <c r="K225" i="13" l="1"/>
  <c r="P225" i="13" l="1"/>
  <c r="R225" i="13" l="1"/>
  <c r="Q225" i="13"/>
  <c r="J225" i="13" s="1"/>
  <c r="N225" i="13" s="1"/>
  <c r="M225" i="13" l="1"/>
  <c r="T225" i="13" s="1"/>
  <c r="L225" i="13"/>
  <c r="I226" i="13" l="1"/>
  <c r="O226" i="13" s="1"/>
  <c r="AA226" i="13" s="1"/>
  <c r="K226" i="13" l="1"/>
  <c r="P226" i="13" s="1"/>
  <c r="Q226" i="13" l="1"/>
  <c r="J226" i="13" s="1"/>
  <c r="N226" i="13" s="1"/>
  <c r="R226" i="13"/>
  <c r="M226" i="13" l="1"/>
  <c r="T226" i="13" s="1"/>
  <c r="L226" i="13"/>
  <c r="I227" i="13" l="1"/>
  <c r="O227" i="13" s="1"/>
  <c r="AA227" i="13" s="1"/>
  <c r="K227" i="13" l="1"/>
  <c r="P227" i="13" s="1"/>
  <c r="R227" i="13" l="1"/>
  <c r="Q227" i="13"/>
  <c r="J227" i="13" s="1"/>
  <c r="M227" i="13" s="1"/>
  <c r="T227" i="13" s="1"/>
  <c r="N227" i="13" l="1"/>
  <c r="L227" i="13"/>
  <c r="I228" i="13" l="1"/>
  <c r="O228" i="13" s="1"/>
  <c r="AA228" i="13" s="1"/>
  <c r="K228" i="13" l="1"/>
  <c r="P228" i="13" s="1"/>
  <c r="R228" i="13" l="1"/>
  <c r="Q228" i="13"/>
  <c r="J228" i="13" s="1"/>
  <c r="M228" i="13" s="1"/>
  <c r="T228" i="13" s="1"/>
  <c r="N228" i="13" l="1"/>
  <c r="L228" i="13"/>
  <c r="I229" i="13" l="1"/>
  <c r="O229" i="13" s="1"/>
  <c r="AA229" i="13" s="1"/>
  <c r="K229" i="13" l="1"/>
  <c r="P229" i="13" s="1"/>
  <c r="R229" i="13" l="1"/>
  <c r="Q229" i="13"/>
  <c r="J229" i="13" s="1"/>
  <c r="M229" i="13" s="1"/>
  <c r="T229" i="13" s="1"/>
  <c r="N229" i="13" l="1"/>
  <c r="L229" i="13"/>
  <c r="I230" i="13" l="1"/>
  <c r="O230" i="13" s="1"/>
  <c r="AA230" i="13" s="1"/>
  <c r="K230" i="13" l="1"/>
  <c r="P230" i="13" l="1"/>
  <c r="R230" i="13" s="1"/>
  <c r="Q230" i="13" l="1"/>
  <c r="J230" i="13" s="1"/>
  <c r="M230" i="13" s="1"/>
  <c r="T230" i="13" s="1"/>
  <c r="N230" i="13" l="1"/>
  <c r="L230" i="13"/>
  <c r="I231" i="13" l="1"/>
  <c r="O231" i="13" s="1"/>
  <c r="AA231" i="13" s="1"/>
  <c r="K231" i="13" l="1"/>
  <c r="P231" i="13" s="1"/>
  <c r="Q231" i="13" s="1"/>
  <c r="J231" i="13" s="1"/>
  <c r="M231" i="13" s="1"/>
  <c r="T231" i="13" s="1"/>
  <c r="R231" i="13" l="1"/>
  <c r="N231" i="13"/>
  <c r="L231" i="13"/>
  <c r="I232" i="13" l="1"/>
  <c r="O232" i="13" s="1"/>
  <c r="AA232" i="13" s="1"/>
  <c r="K232" i="13" l="1"/>
  <c r="P232" i="13" s="1"/>
  <c r="R232" i="13" s="1"/>
  <c r="Q232" i="13" l="1"/>
  <c r="J232" i="13" s="1"/>
  <c r="M232" i="13" s="1"/>
  <c r="T232" i="13" s="1"/>
  <c r="N232" i="13" l="1"/>
  <c r="L232" i="13"/>
  <c r="I233" i="13" l="1"/>
  <c r="O233" i="13" s="1"/>
  <c r="AA233" i="13" s="1"/>
  <c r="K233" i="13" l="1"/>
  <c r="P233" i="13" s="1"/>
  <c r="R233" i="13" s="1"/>
  <c r="Q233" i="13" l="1"/>
  <c r="J233" i="13" s="1"/>
  <c r="M233" i="13" s="1"/>
  <c r="T233" i="13" s="1"/>
  <c r="N233" i="13" l="1"/>
  <c r="L233" i="13"/>
  <c r="I234" i="13" l="1"/>
  <c r="O234" i="13" s="1"/>
  <c r="AA234" i="13" s="1"/>
  <c r="K234" i="13" l="1"/>
  <c r="P234" i="13" s="1"/>
  <c r="Q234" i="13" s="1"/>
  <c r="J234" i="13" s="1"/>
  <c r="N234" i="13" l="1"/>
  <c r="R234" i="13"/>
  <c r="M234" i="13"/>
  <c r="T234" i="13" s="1"/>
  <c r="L234" i="13"/>
  <c r="I235" i="13" l="1"/>
  <c r="O235" i="13" s="1"/>
  <c r="AA235" i="13" s="1"/>
  <c r="K235" i="13" l="1"/>
  <c r="P235" i="13" s="1"/>
  <c r="Q235" i="13" l="1"/>
  <c r="J235" i="13" s="1"/>
  <c r="N235" i="13" s="1"/>
  <c r="R235" i="13"/>
  <c r="M235" i="13" l="1"/>
  <c r="T235" i="13" s="1"/>
  <c r="L235" i="13"/>
  <c r="I236" i="13" l="1"/>
  <c r="O236" i="13" s="1"/>
  <c r="AA236" i="13" s="1"/>
  <c r="K236" i="13" l="1"/>
  <c r="P236" i="13" l="1"/>
  <c r="R236" i="13" l="1"/>
  <c r="Q236" i="13"/>
  <c r="J236" i="13" s="1"/>
  <c r="N236" i="13" s="1"/>
  <c r="M236" i="13" l="1"/>
  <c r="T236" i="13" s="1"/>
  <c r="L236" i="13"/>
  <c r="I237" i="13" l="1"/>
  <c r="O237" i="13" s="1"/>
  <c r="AA237" i="13" s="1"/>
  <c r="K237" i="13" l="1"/>
  <c r="P237" i="13" l="1"/>
  <c r="Q237" i="13" l="1"/>
  <c r="J237" i="13" s="1"/>
  <c r="N237" i="13" s="1"/>
  <c r="R237" i="13"/>
  <c r="M237" i="13" l="1"/>
  <c r="T237" i="13" s="1"/>
  <c r="L237" i="13"/>
  <c r="I238" i="13" l="1"/>
  <c r="O238" i="13" s="1"/>
  <c r="AA238" i="13" s="1"/>
  <c r="K238" i="13" l="1"/>
  <c r="P238" i="13" l="1"/>
  <c r="R238" i="13" l="1"/>
  <c r="Q238" i="13"/>
  <c r="J238" i="13" s="1"/>
  <c r="N238" i="13" s="1"/>
  <c r="M238" i="13" l="1"/>
  <c r="T238" i="13" s="1"/>
  <c r="L238" i="13"/>
  <c r="I239" i="13" l="1"/>
  <c r="O239" i="13" s="1"/>
  <c r="AA239" i="13" s="1"/>
  <c r="K239" i="13" l="1"/>
  <c r="P239" i="13" s="1"/>
  <c r="R239" i="13" l="1"/>
  <c r="Q239" i="13"/>
  <c r="J239" i="13" s="1"/>
  <c r="M239" i="13" s="1"/>
  <c r="T239" i="13" s="1"/>
  <c r="N239" i="13" l="1"/>
  <c r="L239" i="13"/>
  <c r="I240" i="13" l="1"/>
  <c r="O240" i="13" s="1"/>
  <c r="AA240" i="13" s="1"/>
  <c r="K240" i="13" l="1"/>
  <c r="P240" i="13" s="1"/>
  <c r="Q240" i="13" l="1"/>
  <c r="J240" i="13" s="1"/>
  <c r="M240" i="13" s="1"/>
  <c r="T240" i="13" s="1"/>
  <c r="R240" i="13"/>
  <c r="N240" i="13" l="1"/>
  <c r="L240" i="13"/>
  <c r="I241" i="13" l="1"/>
  <c r="O241" i="13" s="1"/>
  <c r="AA241" i="13" s="1"/>
  <c r="K241" i="13" l="1"/>
  <c r="P241" i="13" l="1"/>
  <c r="Q241" i="13" s="1"/>
  <c r="J241" i="13" s="1"/>
  <c r="N241" i="13" s="1"/>
  <c r="R241" i="13" l="1"/>
  <c r="M241" i="13"/>
  <c r="T241" i="13" s="1"/>
  <c r="L241" i="13"/>
  <c r="I242" i="13" l="1"/>
  <c r="O242" i="13" s="1"/>
  <c r="AA242" i="13" s="1"/>
  <c r="K242" i="13" l="1"/>
  <c r="P242" i="13" l="1"/>
  <c r="Q242" i="13" l="1"/>
  <c r="J242" i="13" s="1"/>
  <c r="N242" i="13" s="1"/>
  <c r="R242" i="13"/>
  <c r="M242" i="13" l="1"/>
  <c r="T242" i="13" s="1"/>
  <c r="L242" i="13"/>
  <c r="I243" i="13" l="1"/>
  <c r="O243" i="13" s="1"/>
  <c r="AA243" i="13" s="1"/>
  <c r="K243" i="13" l="1"/>
  <c r="P243" i="13" s="1"/>
  <c r="Q243" i="13" s="1"/>
  <c r="J243" i="13" s="1"/>
  <c r="M243" i="13" s="1"/>
  <c r="T243" i="13" s="1"/>
  <c r="R243" i="13" l="1"/>
  <c r="N243" i="13"/>
  <c r="L243" i="13"/>
  <c r="I244" i="13" l="1"/>
  <c r="O244" i="13" s="1"/>
  <c r="AA244" i="13" s="1"/>
  <c r="K244" i="13" l="1"/>
  <c r="P244" i="13" s="1"/>
  <c r="R244" i="13" l="1"/>
  <c r="Q244" i="13"/>
  <c r="J244" i="13" s="1"/>
  <c r="N244" i="13" s="1"/>
  <c r="M244" i="13" l="1"/>
  <c r="T244" i="13" s="1"/>
  <c r="L244" i="13"/>
  <c r="I245" i="13" l="1"/>
  <c r="O245" i="13" s="1"/>
  <c r="AA245" i="13" s="1"/>
  <c r="K245" i="13" l="1"/>
  <c r="P245" i="13" l="1"/>
  <c r="R245" i="13" l="1"/>
  <c r="Q245" i="13"/>
  <c r="J245" i="13" s="1"/>
  <c r="N245" i="13" s="1"/>
  <c r="M245" i="13" l="1"/>
  <c r="T245" i="13" s="1"/>
  <c r="L245" i="13"/>
  <c r="I246" i="13" l="1"/>
  <c r="O246" i="13" s="1"/>
  <c r="AA246" i="13" s="1"/>
  <c r="K246" i="13" l="1"/>
  <c r="P246" i="13" s="1"/>
  <c r="Q246" i="13" s="1"/>
  <c r="J246" i="13" s="1"/>
  <c r="M246" i="13" s="1"/>
  <c r="T246" i="13" s="1"/>
  <c r="R246" i="13" l="1"/>
  <c r="N246" i="13"/>
  <c r="L246" i="13"/>
  <c r="I247" i="13" l="1"/>
  <c r="O247" i="13" s="1"/>
  <c r="AA247" i="13" s="1"/>
  <c r="K247" i="13" l="1"/>
  <c r="P247" i="13" s="1"/>
  <c r="Q247" i="13" l="1"/>
  <c r="J247" i="13" s="1"/>
  <c r="M247" i="13" s="1"/>
  <c r="T247" i="13" s="1"/>
  <c r="R247" i="13"/>
  <c r="N247" i="13" l="1"/>
  <c r="L247" i="13"/>
  <c r="I248" i="13" l="1"/>
  <c r="O248" i="13" s="1"/>
  <c r="AA248" i="13" s="1"/>
  <c r="K248" i="13" l="1"/>
  <c r="P248" i="13" s="1"/>
  <c r="R248" i="13" s="1"/>
  <c r="Q248" i="13" l="1"/>
  <c r="J248" i="13" s="1"/>
  <c r="M248" i="13" s="1"/>
  <c r="T248" i="13" s="1"/>
  <c r="L248" i="13" l="1"/>
  <c r="N248" i="13"/>
  <c r="I249" i="13" l="1"/>
  <c r="O249" i="13" s="1"/>
  <c r="AA249" i="13" s="1"/>
  <c r="K249" i="13" l="1"/>
  <c r="P249" i="13" s="1"/>
  <c r="R249" i="13" s="1"/>
  <c r="Q249" i="13" l="1"/>
  <c r="J249" i="13" s="1"/>
  <c r="L249" i="13" s="1"/>
  <c r="M249" i="13" l="1"/>
  <c r="T249" i="13" s="1"/>
  <c r="N249" i="13"/>
  <c r="I250" i="13" l="1"/>
  <c r="O250" i="13" s="1"/>
  <c r="AA250" i="13" s="1"/>
  <c r="K250" i="13" l="1"/>
  <c r="P250" i="13" s="1"/>
  <c r="Q250" i="13" s="1"/>
  <c r="J250" i="13" s="1"/>
  <c r="M250" i="13" s="1"/>
  <c r="T250" i="13" s="1"/>
  <c r="L250" i="13" l="1"/>
  <c r="R250" i="13"/>
  <c r="N250" i="13"/>
  <c r="I251" i="13" l="1"/>
  <c r="O251" i="13" s="1"/>
  <c r="AA251" i="13" s="1"/>
  <c r="K251" i="13" l="1"/>
  <c r="P251" i="13" s="1"/>
  <c r="R251" i="13" s="1"/>
  <c r="Q251" i="13" l="1"/>
  <c r="J251" i="13" s="1"/>
  <c r="N251" i="13" s="1"/>
  <c r="L251" i="13" l="1"/>
  <c r="M251" i="13"/>
  <c r="T251" i="13" s="1"/>
  <c r="I252" i="13" l="1"/>
  <c r="O252" i="13" s="1"/>
  <c r="AA252" i="13" s="1"/>
  <c r="K252" i="13" l="1"/>
  <c r="P252" i="13" s="1"/>
  <c r="R252" i="13" s="1"/>
  <c r="Q252" i="13" l="1"/>
  <c r="J252" i="13" s="1"/>
  <c r="L252" i="13" s="1"/>
  <c r="M252" i="13" l="1"/>
  <c r="T252" i="13" s="1"/>
  <c r="N252" i="13"/>
  <c r="I253" i="13" l="1"/>
  <c r="O253" i="13" s="1"/>
  <c r="AA253" i="13" s="1"/>
  <c r="K253" i="13" l="1"/>
  <c r="P253" i="13" s="1"/>
  <c r="R253" i="13" s="1"/>
  <c r="Q253" i="13" l="1"/>
  <c r="J253" i="13" s="1"/>
  <c r="M253" i="13" s="1"/>
  <c r="T253" i="13" s="1"/>
  <c r="N253" i="13" l="1"/>
  <c r="L253" i="13"/>
  <c r="I254" i="13" l="1"/>
  <c r="O254" i="13" s="1"/>
  <c r="AA254" i="13" s="1"/>
  <c r="K254" i="13" l="1"/>
  <c r="P254" i="13" s="1"/>
  <c r="Q254" i="13" s="1"/>
  <c r="J254" i="13" s="1"/>
  <c r="M254" i="13" s="1"/>
  <c r="T254" i="13" s="1"/>
  <c r="L254" i="13" l="1"/>
  <c r="N254" i="13"/>
  <c r="R254" i="13"/>
  <c r="I255" i="13" l="1"/>
  <c r="O255" i="13" s="1"/>
  <c r="AA255" i="13" s="1"/>
  <c r="K255" i="13" l="1"/>
  <c r="P255" i="13" s="1"/>
  <c r="Q255" i="13" s="1"/>
  <c r="J255" i="13" s="1"/>
  <c r="M255" i="13" s="1"/>
  <c r="T255" i="13" s="1"/>
  <c r="R255" i="13" l="1"/>
  <c r="L255" i="13"/>
  <c r="N255" i="13"/>
  <c r="I256" i="13" l="1"/>
  <c r="O256" i="13" s="1"/>
  <c r="K256" i="13" l="1"/>
  <c r="P256" i="13" s="1"/>
  <c r="R256" i="13" s="1"/>
  <c r="AA256" i="13"/>
  <c r="Q256" i="13" l="1"/>
  <c r="J256" i="13" s="1"/>
  <c r="L256" i="13" s="1"/>
  <c r="M256" i="13" l="1"/>
  <c r="T256" i="13" s="1"/>
  <c r="N256" i="13"/>
  <c r="I257" i="13" l="1"/>
  <c r="O257" i="13" s="1"/>
  <c r="AA257" i="13" s="1"/>
  <c r="K257" i="13" l="1"/>
  <c r="P257" i="13" s="1"/>
  <c r="Q257" i="13" s="1"/>
  <c r="J257" i="13" s="1"/>
  <c r="M257" i="13" s="1"/>
  <c r="T257" i="13" s="1"/>
  <c r="R257" i="13" l="1"/>
  <c r="L257" i="13"/>
  <c r="N257" i="13"/>
  <c r="I258" i="13" l="1"/>
  <c r="O258" i="13" s="1"/>
  <c r="AA258" i="13" s="1"/>
  <c r="K258" i="13" l="1"/>
  <c r="P258" i="13" s="1"/>
  <c r="Q258" i="13" s="1"/>
  <c r="J258" i="13" s="1"/>
  <c r="M258" i="13" s="1"/>
  <c r="T258" i="13" s="1"/>
  <c r="L258" i="13" l="1"/>
  <c r="R258" i="13"/>
  <c r="N258" i="13"/>
  <c r="I259" i="13" l="1"/>
  <c r="O259" i="13" s="1"/>
  <c r="K259" i="13" s="1"/>
  <c r="P259" i="13" s="1"/>
  <c r="R259" i="13" s="1"/>
  <c r="AA259" i="13" l="1"/>
  <c r="Q259" i="13"/>
  <c r="J259" i="13" s="1"/>
  <c r="M259" i="13" s="1"/>
  <c r="T259" i="13" s="1"/>
  <c r="N259" i="13" l="1"/>
  <c r="L259" i="13"/>
  <c r="I260" i="13" l="1"/>
  <c r="O260" i="13" s="1"/>
  <c r="AA260" i="13" s="1"/>
  <c r="K260" i="13" l="1"/>
  <c r="P260" i="13" s="1"/>
  <c r="Q260" i="13" s="1"/>
  <c r="J260" i="13" s="1"/>
  <c r="L260" i="13" s="1"/>
  <c r="R260" i="13" l="1"/>
  <c r="M260" i="13"/>
  <c r="T260" i="13" s="1"/>
  <c r="N260" i="13"/>
  <c r="I261" i="13" l="1"/>
  <c r="O261" i="13" s="1"/>
  <c r="AA261" i="13" s="1"/>
  <c r="K261" i="13" l="1"/>
  <c r="P261" i="13" s="1"/>
  <c r="Q261" i="13" s="1"/>
  <c r="J261" i="13" s="1"/>
  <c r="M261" i="13" s="1"/>
  <c r="T261" i="13" s="1"/>
  <c r="R261" i="13" l="1"/>
  <c r="L261" i="13"/>
  <c r="N261" i="13"/>
  <c r="I262" i="13" l="1"/>
  <c r="O262" i="13" s="1"/>
  <c r="AA262" i="13" s="1"/>
  <c r="K262" i="13" l="1"/>
  <c r="P262" i="13" s="1"/>
  <c r="Q262" i="13" s="1"/>
  <c r="J262" i="13" s="1"/>
  <c r="M262" i="13" s="1"/>
  <c r="T262" i="13" s="1"/>
  <c r="R262" i="13" l="1"/>
  <c r="N262" i="13"/>
  <c r="L262" i="13"/>
  <c r="I263" i="13" s="1"/>
  <c r="O263" i="13" s="1"/>
  <c r="AA263" i="13" s="1"/>
  <c r="K263" i="13" l="1"/>
  <c r="P263" i="13" s="1"/>
  <c r="Q263" i="13" s="1"/>
  <c r="J263" i="13" s="1"/>
  <c r="N263" i="13" s="1"/>
  <c r="R263" i="13" l="1"/>
  <c r="M263" i="13"/>
  <c r="T263" i="13" s="1"/>
  <c r="L263" i="13"/>
  <c r="I264" i="13" l="1"/>
  <c r="O264" i="13" s="1"/>
  <c r="AA264" i="13" s="1"/>
  <c r="K264" i="13" l="1"/>
  <c r="P264" i="13" s="1"/>
  <c r="Q264" i="13" l="1"/>
  <c r="J264" i="13" s="1"/>
  <c r="N264" i="13" s="1"/>
  <c r="R264" i="13"/>
  <c r="M264" i="13" l="1"/>
  <c r="T264" i="13" s="1"/>
  <c r="L264" i="13"/>
  <c r="I265" i="13" l="1"/>
  <c r="O265" i="13" s="1"/>
  <c r="AA265" i="13" s="1"/>
  <c r="K265" i="13" l="1"/>
  <c r="P265" i="13" s="1"/>
  <c r="Q265" i="13" s="1"/>
  <c r="J265" i="13" s="1"/>
  <c r="M265" i="13" s="1"/>
  <c r="T265" i="13" s="1"/>
  <c r="R265" i="13" l="1"/>
  <c r="N265" i="13"/>
  <c r="L265" i="13"/>
  <c r="I266" i="13" l="1"/>
  <c r="O266" i="13" s="1"/>
  <c r="AA266" i="13" s="1"/>
  <c r="K266" i="13" l="1"/>
  <c r="P266" i="13" s="1"/>
  <c r="Q266" i="13" l="1"/>
  <c r="J266" i="13" s="1"/>
  <c r="M266" i="13" s="1"/>
  <c r="T266" i="13" s="1"/>
  <c r="R266" i="13"/>
  <c r="N266" i="13" l="1"/>
  <c r="L266" i="13"/>
  <c r="I267" i="13" l="1"/>
  <c r="O267" i="13" s="1"/>
  <c r="AA267" i="13" s="1"/>
  <c r="K267" i="13" l="1"/>
  <c r="P267" i="13" s="1"/>
  <c r="R267" i="13" s="1"/>
  <c r="Q267" i="13" l="1"/>
  <c r="J267" i="13" s="1"/>
  <c r="M267" i="13" l="1"/>
  <c r="T267" i="13" s="1"/>
  <c r="N267" i="13"/>
  <c r="L267" i="13"/>
  <c r="I268" i="13" l="1"/>
  <c r="O268" i="13" s="1"/>
  <c r="AA268" i="13" s="1"/>
  <c r="K268" i="13" l="1"/>
  <c r="P268" i="13" s="1"/>
  <c r="R268" i="13" s="1"/>
  <c r="Q268" i="13" l="1"/>
  <c r="J268" i="13" s="1"/>
  <c r="M268" i="13" s="1"/>
  <c r="T268" i="13" s="1"/>
  <c r="N268" i="13" l="1"/>
  <c r="L268" i="13"/>
  <c r="I269" i="13" l="1"/>
  <c r="O269" i="13" s="1"/>
  <c r="AA269" i="13" s="1"/>
  <c r="K269" i="13" l="1"/>
  <c r="P269" i="13" s="1"/>
  <c r="R269" i="13" s="1"/>
  <c r="Q269" i="13" l="1"/>
  <c r="J269" i="13" s="1"/>
  <c r="M269" i="13" s="1"/>
  <c r="T269" i="13" s="1"/>
  <c r="N269" i="13" l="1"/>
  <c r="L269" i="13"/>
  <c r="I270" i="13" l="1"/>
  <c r="O270" i="13" s="1"/>
  <c r="AA270" i="13" s="1"/>
  <c r="K270" i="13" l="1"/>
  <c r="P270" i="13" l="1"/>
  <c r="R270" i="13" s="1"/>
  <c r="Q270" i="13" l="1"/>
  <c r="J270" i="13" s="1"/>
  <c r="L270" i="13" s="1"/>
  <c r="M270" i="13" l="1"/>
  <c r="T270" i="13" s="1"/>
  <c r="N270" i="13"/>
  <c r="I271" i="13" l="1"/>
  <c r="O271" i="13" s="1"/>
  <c r="AA271" i="13" s="1"/>
  <c r="K271" i="13" l="1"/>
  <c r="P271" i="13" s="1"/>
  <c r="Q271" i="13" s="1"/>
  <c r="J271" i="13" s="1"/>
  <c r="M271" i="13" s="1"/>
  <c r="T271" i="13" s="1"/>
  <c r="N271" i="13" l="1"/>
  <c r="L271" i="13"/>
  <c r="R271" i="13"/>
  <c r="I272" i="13" l="1"/>
  <c r="O272" i="13" s="1"/>
  <c r="AA272" i="13" s="1"/>
  <c r="K272" i="13" l="1"/>
  <c r="P272" i="13" s="1"/>
  <c r="Q272" i="13" s="1"/>
  <c r="J272" i="13" s="1"/>
  <c r="M272" i="13" s="1"/>
  <c r="T272" i="13" s="1"/>
  <c r="N272" i="13" l="1"/>
  <c r="R272" i="13"/>
  <c r="L272" i="13"/>
  <c r="I273" i="13" l="1"/>
  <c r="O273" i="13" s="1"/>
  <c r="AA273" i="13" s="1"/>
  <c r="K273" i="13" l="1"/>
  <c r="P273" i="13" s="1"/>
  <c r="R273" i="13" s="1"/>
  <c r="Q273" i="13" l="1"/>
  <c r="J273" i="13" s="1"/>
  <c r="M273" i="13" s="1"/>
  <c r="T273" i="13" s="1"/>
  <c r="L273" i="13" l="1"/>
  <c r="N273" i="13"/>
  <c r="I274" i="13" l="1"/>
  <c r="O274" i="13" s="1"/>
  <c r="AA274" i="13" s="1"/>
  <c r="K274" i="13" l="1"/>
  <c r="P274" i="13" s="1"/>
  <c r="Q274" i="13" s="1"/>
  <c r="J274" i="13" s="1"/>
  <c r="M274" i="13" s="1"/>
  <c r="T274" i="13" s="1"/>
  <c r="N274" i="13" l="1"/>
  <c r="R274" i="13"/>
  <c r="L274" i="13"/>
  <c r="I275" i="13" l="1"/>
  <c r="O275" i="13" s="1"/>
  <c r="AA275" i="13" s="1"/>
  <c r="K275" i="13" l="1"/>
  <c r="P275" i="13" s="1"/>
  <c r="Q275" i="13" s="1"/>
  <c r="J275" i="13" s="1"/>
  <c r="N275" i="13" s="1"/>
  <c r="R275" i="13" l="1"/>
  <c r="L275" i="13"/>
  <c r="M275" i="13"/>
  <c r="T275" i="13" s="1"/>
  <c r="I276" i="13" l="1"/>
  <c r="O276" i="13" s="1"/>
  <c r="AA276" i="13" s="1"/>
  <c r="K276" i="13" l="1"/>
  <c r="P276" i="13" s="1"/>
  <c r="Q276" i="13" s="1"/>
  <c r="J276" i="13" s="1"/>
  <c r="L276" i="13" s="1"/>
  <c r="M276" i="13" l="1"/>
  <c r="T276" i="13" s="1"/>
  <c r="N276" i="13"/>
  <c r="R276" i="13"/>
  <c r="I277" i="13" l="1"/>
  <c r="O277" i="13" s="1"/>
  <c r="AA277" i="13" s="1"/>
  <c r="K277" i="13" l="1"/>
  <c r="P277" i="13" s="1"/>
  <c r="R277" i="13" s="1"/>
  <c r="Q277" i="13" l="1"/>
  <c r="J277" i="13" s="1"/>
  <c r="M277" i="13" s="1"/>
  <c r="T277" i="13" s="1"/>
  <c r="N277" i="13" l="1"/>
  <c r="L277" i="13"/>
  <c r="I278" i="13" l="1"/>
  <c r="O278" i="13" s="1"/>
  <c r="AA278" i="13" s="1"/>
  <c r="K278" i="13" l="1"/>
  <c r="P278" i="13" s="1"/>
  <c r="R278" i="13" s="1"/>
  <c r="Q278" i="13" l="1"/>
  <c r="J278" i="13" s="1"/>
  <c r="M278" i="13" s="1"/>
  <c r="T278" i="13" s="1"/>
  <c r="N278" i="13" l="1"/>
  <c r="L278" i="13"/>
  <c r="I279" i="13" l="1"/>
  <c r="O279" i="13" s="1"/>
  <c r="AA279" i="13" s="1"/>
  <c r="K279" i="13" l="1"/>
  <c r="P279" i="13" s="1"/>
  <c r="R279" i="13" s="1"/>
  <c r="Q279" i="13" l="1"/>
  <c r="J279" i="13" s="1"/>
  <c r="M279" i="13" s="1"/>
  <c r="T279" i="13" s="1"/>
  <c r="N279" i="13" l="1"/>
  <c r="L279" i="13"/>
  <c r="I280" i="13" l="1"/>
  <c r="O280" i="13" s="1"/>
  <c r="K280" i="13" l="1"/>
  <c r="P280" i="13" s="1"/>
  <c r="R280" i="13" s="1"/>
  <c r="AA280" i="13"/>
  <c r="Q280" i="13" l="1"/>
  <c r="J280" i="13" s="1"/>
  <c r="M280" i="13" s="1"/>
  <c r="T280" i="13" s="1"/>
  <c r="L280" i="13" l="1"/>
  <c r="N280" i="13"/>
  <c r="I281" i="13" l="1"/>
  <c r="O281" i="13" s="1"/>
  <c r="AA281" i="13" s="1"/>
  <c r="K281" i="13" l="1"/>
  <c r="P281" i="13" s="1"/>
  <c r="Q281" i="13" s="1"/>
  <c r="J281" i="13" s="1"/>
  <c r="L281" i="13" s="1"/>
  <c r="R281" i="13" l="1"/>
  <c r="N281" i="13"/>
  <c r="M281" i="13"/>
  <c r="I282" i="13" l="1"/>
  <c r="O282" i="13" s="1"/>
  <c r="AA282" i="13" s="1"/>
  <c r="T281" i="13"/>
  <c r="K282" i="13" l="1"/>
  <c r="P282" i="13" s="1"/>
  <c r="R282" i="13" s="1"/>
  <c r="Q282" i="13" l="1"/>
  <c r="J282" i="13" s="1"/>
  <c r="M282" i="13" s="1"/>
  <c r="T282" i="13" s="1"/>
  <c r="L282" i="13" l="1"/>
  <c r="N282" i="13"/>
  <c r="I283" i="13" l="1"/>
  <c r="O283" i="13" s="1"/>
  <c r="AA283" i="13" s="1"/>
  <c r="K283" i="13" l="1"/>
  <c r="P283" i="13" s="1"/>
  <c r="Q283" i="13" s="1"/>
  <c r="J283" i="13" s="1"/>
  <c r="M283" i="13" s="1"/>
  <c r="T283" i="13" s="1"/>
  <c r="R283" i="13" l="1"/>
  <c r="L283" i="13"/>
  <c r="N283" i="13"/>
  <c r="I284" i="13" l="1"/>
  <c r="O284" i="13" s="1"/>
  <c r="AA284" i="13" s="1"/>
  <c r="K284" i="13" l="1"/>
  <c r="P284" i="13" s="1"/>
  <c r="R284" i="13" s="1"/>
  <c r="Q284" i="13" l="1"/>
  <c r="J284" i="13" s="1"/>
  <c r="M284" i="13" s="1"/>
  <c r="T284" i="13" s="1"/>
  <c r="L284" i="13" l="1"/>
  <c r="N284" i="13"/>
  <c r="I285" i="13" l="1"/>
  <c r="O285" i="13" s="1"/>
  <c r="AA285" i="13" s="1"/>
  <c r="K285" i="13" l="1"/>
  <c r="P285" i="13" s="1"/>
  <c r="Q285" i="13" s="1"/>
  <c r="J285" i="13" s="1"/>
  <c r="M285" i="13" s="1"/>
  <c r="T285" i="13" s="1"/>
  <c r="R285" i="13" l="1"/>
  <c r="L285" i="13"/>
  <c r="N285" i="13"/>
  <c r="I286" i="13" l="1"/>
  <c r="O286" i="13" s="1"/>
  <c r="AA286" i="13" s="1"/>
  <c r="K286" i="13" l="1"/>
  <c r="P286" i="13" s="1"/>
  <c r="R286" i="13" s="1"/>
  <c r="Q286" i="13" l="1"/>
  <c r="J286" i="13" s="1"/>
  <c r="M286" i="13" s="1"/>
  <c r="T286" i="13" s="1"/>
  <c r="L286" i="13" l="1"/>
  <c r="N286" i="13"/>
  <c r="I287" i="13" l="1"/>
  <c r="O287" i="13" s="1"/>
  <c r="AA287" i="13" s="1"/>
  <c r="K287" i="13" l="1"/>
  <c r="P287" i="13" s="1"/>
  <c r="Q287" i="13" s="1"/>
  <c r="J287" i="13" s="1"/>
  <c r="M287" i="13" s="1"/>
  <c r="T287" i="13" s="1"/>
  <c r="R287" i="13" l="1"/>
  <c r="N287" i="13"/>
  <c r="L287" i="13"/>
  <c r="I288" i="13" s="1"/>
  <c r="O288" i="13" s="1"/>
  <c r="AA288" i="13" s="1"/>
  <c r="K288" i="13" l="1"/>
  <c r="P288" i="13" s="1"/>
  <c r="R288" i="13" s="1"/>
  <c r="Q288" i="13" l="1"/>
  <c r="J288" i="13" s="1"/>
  <c r="N288" i="13" s="1"/>
  <c r="M288" i="13" l="1"/>
  <c r="T288" i="13" s="1"/>
  <c r="L288" i="13"/>
  <c r="I289" i="13" l="1"/>
  <c r="O289" i="13" s="1"/>
  <c r="AA289" i="13" s="1"/>
  <c r="K289" i="13" l="1"/>
  <c r="P289" i="13" s="1"/>
  <c r="R289" i="13" s="1"/>
  <c r="Q289" i="13" l="1"/>
  <c r="J289" i="13" s="1"/>
  <c r="L289" i="13" s="1"/>
  <c r="N289" i="13" l="1"/>
  <c r="M289" i="13"/>
  <c r="T289" i="13" s="1"/>
  <c r="I290" i="13" l="1"/>
  <c r="O290" i="13" s="1"/>
  <c r="AA290" i="13" s="1"/>
  <c r="K290" i="13" l="1"/>
  <c r="P290" i="13" s="1"/>
  <c r="Q290" i="13" s="1"/>
  <c r="J290" i="13" s="1"/>
  <c r="L290" i="13" s="1"/>
  <c r="N290" i="13" l="1"/>
  <c r="M290" i="13"/>
  <c r="T290" i="13" s="1"/>
  <c r="R290" i="13"/>
  <c r="I291" i="13" l="1"/>
  <c r="O291" i="13" s="1"/>
  <c r="AA291" i="13" s="1"/>
  <c r="K291" i="13" l="1"/>
  <c r="P291" i="13" s="1"/>
  <c r="R291" i="13" s="1"/>
  <c r="Q291" i="13" l="1"/>
  <c r="J291" i="13" s="1"/>
  <c r="M291" i="13" s="1"/>
  <c r="T291" i="13" s="1"/>
  <c r="L291" i="13" l="1"/>
  <c r="N291" i="13"/>
  <c r="I292" i="13" l="1"/>
  <c r="O292" i="13" s="1"/>
  <c r="AA292" i="13" s="1"/>
  <c r="K292" i="13" l="1"/>
  <c r="P292" i="13" s="1"/>
  <c r="Q292" i="13" s="1"/>
  <c r="J292" i="13" s="1"/>
  <c r="M292" i="13" s="1"/>
  <c r="T292" i="13" s="1"/>
  <c r="N292" i="13" l="1"/>
  <c r="R292" i="13"/>
  <c r="L292" i="13"/>
  <c r="I293" i="13" l="1"/>
  <c r="O293" i="13" s="1"/>
  <c r="K293" i="13" l="1"/>
  <c r="P293" i="13" s="1"/>
  <c r="Q293" i="13" s="1"/>
  <c r="J293" i="13" s="1"/>
  <c r="M293" i="13" s="1"/>
  <c r="T293" i="13" s="1"/>
  <c r="AA293" i="13"/>
  <c r="N293" i="13" l="1"/>
  <c r="R293" i="13"/>
  <c r="L293" i="13"/>
  <c r="I294" i="13" l="1"/>
  <c r="O294" i="13" s="1"/>
  <c r="AA294" i="13" s="1"/>
  <c r="K294" i="13" l="1"/>
  <c r="P294" i="13" s="1"/>
  <c r="R294" i="13" s="1"/>
  <c r="Q294" i="13" l="1"/>
  <c r="J294" i="13" s="1"/>
  <c r="L294" i="13" s="1"/>
  <c r="M294" i="13" l="1"/>
  <c r="T294" i="13" s="1"/>
  <c r="N294" i="13"/>
  <c r="I295" i="13" l="1"/>
  <c r="O295" i="13" s="1"/>
  <c r="AA295" i="13" s="1"/>
  <c r="K295" i="13" l="1"/>
  <c r="P295" i="13" s="1"/>
  <c r="R295" i="13" s="1"/>
  <c r="Q295" i="13" l="1"/>
  <c r="J295" i="13" s="1"/>
  <c r="M295" i="13" s="1"/>
  <c r="T295" i="13" s="1"/>
  <c r="L295" i="13" l="1"/>
  <c r="N295" i="13"/>
  <c r="I296" i="13" l="1"/>
  <c r="O296" i="13" s="1"/>
  <c r="AA296" i="13" s="1"/>
  <c r="K296" i="13" l="1"/>
  <c r="P296" i="13" s="1"/>
  <c r="R296" i="13" s="1"/>
  <c r="Q296" i="13" l="1"/>
  <c r="J296" i="13" s="1"/>
  <c r="M296" i="13" s="1"/>
  <c r="T296" i="13" s="1"/>
  <c r="N296" i="13" l="1"/>
  <c r="L296" i="13"/>
  <c r="I297" i="13" l="1"/>
  <c r="O297" i="13" s="1"/>
  <c r="AA297" i="13" s="1"/>
  <c r="K297" i="13" l="1"/>
  <c r="P297" i="13" s="1"/>
  <c r="Q297" i="13" s="1"/>
  <c r="J297" i="13" s="1"/>
  <c r="M297" i="13" s="1"/>
  <c r="T297" i="13" s="1"/>
  <c r="N297" i="13" l="1"/>
  <c r="L297" i="13"/>
  <c r="R297" i="13"/>
  <c r="I298" i="13" l="1"/>
  <c r="O298" i="13" s="1"/>
  <c r="AA298" i="13" s="1"/>
  <c r="K298" i="13" l="1"/>
  <c r="P298" i="13" s="1"/>
  <c r="Q298" i="13" s="1"/>
  <c r="J298" i="13" s="1"/>
  <c r="L298" i="13" s="1"/>
  <c r="R298" i="13" l="1"/>
  <c r="M298" i="13"/>
  <c r="T298" i="13" s="1"/>
  <c r="N298" i="13"/>
  <c r="I299" i="13" l="1"/>
  <c r="O299" i="13" s="1"/>
  <c r="AA299" i="13" s="1"/>
  <c r="K299" i="13" l="1"/>
  <c r="P299" i="13" s="1"/>
  <c r="R299" i="13" s="1"/>
  <c r="Q299" i="13" l="1"/>
  <c r="J299" i="13" s="1"/>
  <c r="M299" i="13" s="1"/>
  <c r="T299" i="13" s="1"/>
  <c r="L299" i="13" l="1"/>
  <c r="N299" i="13"/>
  <c r="I300" i="13" l="1"/>
  <c r="O300" i="13" s="1"/>
  <c r="AA300" i="13" s="1"/>
  <c r="K300" i="13" l="1"/>
  <c r="P300" i="13" s="1"/>
  <c r="Q300" i="13" s="1"/>
  <c r="J300" i="13" s="1"/>
  <c r="M300" i="13" s="1"/>
  <c r="T300" i="13" s="1"/>
  <c r="R300" i="13" l="1"/>
  <c r="N300" i="13"/>
  <c r="L300" i="13"/>
  <c r="I301" i="13" l="1"/>
  <c r="O301" i="13" s="1"/>
  <c r="AA301" i="13" s="1"/>
  <c r="K301" i="13" l="1"/>
  <c r="P301" i="13" s="1"/>
  <c r="R301" i="13" s="1"/>
  <c r="Q301" i="13" l="1"/>
  <c r="J301" i="13" s="1"/>
  <c r="L301" i="13" s="1"/>
  <c r="M301" i="13" l="1"/>
  <c r="T301" i="13" s="1"/>
  <c r="N301" i="13"/>
  <c r="I302" i="13" l="1"/>
  <c r="O302" i="13" s="1"/>
  <c r="K302" i="13" l="1"/>
  <c r="P302" i="13" s="1"/>
  <c r="Q302" i="13" s="1"/>
  <c r="J302" i="13" s="1"/>
  <c r="L302" i="13" s="1"/>
  <c r="AA302" i="13"/>
  <c r="N302" i="13" l="1"/>
  <c r="R302" i="13"/>
  <c r="M302" i="13"/>
  <c r="T302" i="13" s="1"/>
  <c r="I303" i="13" l="1"/>
  <c r="O303" i="13" s="1"/>
  <c r="AA303" i="13" s="1"/>
  <c r="K303" i="13" l="1"/>
  <c r="P303" i="13" s="1"/>
  <c r="Q303" i="13" l="1"/>
  <c r="J303" i="13" s="1"/>
  <c r="R303" i="13"/>
  <c r="N303" i="13" l="1"/>
  <c r="M303" i="13"/>
  <c r="T303" i="13" s="1"/>
  <c r="L303" i="13"/>
  <c r="I304" i="13" l="1"/>
  <c r="O304" i="13" s="1"/>
  <c r="AA304" i="13" s="1"/>
  <c r="K304" i="13" l="1"/>
  <c r="P304" i="13" s="1"/>
  <c r="Q304" i="13" l="1"/>
  <c r="J304" i="13" s="1"/>
  <c r="R304" i="13"/>
  <c r="M304" i="13" l="1"/>
  <c r="T304" i="13" s="1"/>
  <c r="N304" i="13"/>
  <c r="L304" i="13"/>
  <c r="I305" i="13" l="1"/>
  <c r="O305" i="13" s="1"/>
  <c r="AA305" i="13" s="1"/>
  <c r="K305" i="13" l="1"/>
  <c r="P305" i="13" s="1"/>
  <c r="R305" i="13" l="1"/>
  <c r="Q305" i="13"/>
  <c r="J305" i="13" s="1"/>
  <c r="M305" i="13" l="1"/>
  <c r="T305" i="13" s="1"/>
  <c r="N305" i="13"/>
  <c r="L305" i="13"/>
  <c r="I306" i="13" l="1"/>
  <c r="O306" i="13" s="1"/>
  <c r="AA306" i="13" s="1"/>
  <c r="K306" i="13" l="1"/>
  <c r="P306" i="13" s="1"/>
  <c r="R306" i="13" l="1"/>
  <c r="Q306" i="13"/>
  <c r="J306" i="13" s="1"/>
  <c r="M306" i="13" l="1"/>
  <c r="T306" i="13" s="1"/>
  <c r="N306" i="13"/>
  <c r="L306" i="13"/>
  <c r="I307" i="13" l="1"/>
  <c r="O307" i="13" s="1"/>
  <c r="K307" i="13" l="1"/>
  <c r="P307" i="13" s="1"/>
  <c r="R307" i="13" s="1"/>
  <c r="AA307" i="13"/>
  <c r="Q307" i="13" l="1"/>
  <c r="J307" i="13" s="1"/>
  <c r="L307" i="13" s="1"/>
  <c r="N307" i="13" l="1"/>
  <c r="M307" i="13"/>
  <c r="T307" i="13" s="1"/>
  <c r="I308" i="13" l="1"/>
  <c r="O308" i="13" s="1"/>
  <c r="AA308" i="13" s="1"/>
  <c r="K308" i="13" l="1"/>
  <c r="P308" i="13" s="1"/>
  <c r="R308" i="13" l="1"/>
  <c r="Q308" i="13"/>
  <c r="J308" i="13" s="1"/>
  <c r="M308" i="13" l="1"/>
  <c r="T308" i="13" s="1"/>
  <c r="N308" i="13"/>
  <c r="L308" i="13"/>
  <c r="I309" i="13" l="1"/>
  <c r="O309" i="13" s="1"/>
  <c r="K309" i="13" l="1"/>
  <c r="P309" i="13" s="1"/>
  <c r="AA309" i="13"/>
  <c r="R309" i="13" l="1"/>
  <c r="Q309" i="13"/>
  <c r="J309" i="13" s="1"/>
  <c r="M309" i="13" l="1"/>
  <c r="T309" i="13" s="1"/>
  <c r="N309" i="13"/>
  <c r="L309" i="13"/>
  <c r="I310" i="13" l="1"/>
  <c r="O310" i="13" s="1"/>
  <c r="AA310" i="13" s="1"/>
  <c r="K310" i="13" l="1"/>
  <c r="P310" i="13" s="1"/>
  <c r="R310" i="13" l="1"/>
  <c r="Q310" i="13"/>
  <c r="J310" i="13" s="1"/>
  <c r="M310" i="13" l="1"/>
  <c r="T310" i="13" s="1"/>
  <c r="N310" i="13"/>
  <c r="L310" i="13"/>
  <c r="I311" i="13" l="1"/>
  <c r="O311" i="13" s="1"/>
  <c r="AA311" i="13" s="1"/>
  <c r="K311" i="13" l="1"/>
  <c r="P311" i="13" s="1"/>
  <c r="R311" i="13" l="1"/>
  <c r="Q311" i="13"/>
  <c r="J311" i="13" s="1"/>
  <c r="M311" i="13" l="1"/>
  <c r="T311" i="13" s="1"/>
  <c r="N311" i="13"/>
  <c r="L311" i="13"/>
  <c r="I312" i="13" l="1"/>
  <c r="O312" i="13" s="1"/>
  <c r="AA312" i="13" s="1"/>
  <c r="K312" i="13" l="1"/>
  <c r="P312" i="13" s="1"/>
  <c r="R312" i="13" l="1"/>
  <c r="Q312" i="13"/>
  <c r="J312" i="13" s="1"/>
  <c r="M312" i="13" l="1"/>
  <c r="T312" i="13" s="1"/>
  <c r="N312" i="13"/>
  <c r="L312" i="13"/>
  <c r="I313" i="13" l="1"/>
  <c r="O313" i="13" s="1"/>
  <c r="AA313" i="13" s="1"/>
  <c r="K313" i="13" l="1"/>
  <c r="P313" i="13" s="1"/>
  <c r="Q313" i="13" l="1"/>
  <c r="J313" i="13" s="1"/>
  <c r="R313" i="13"/>
  <c r="M313" i="13" l="1"/>
  <c r="T313" i="13" s="1"/>
  <c r="N313" i="13"/>
  <c r="L313" i="13"/>
  <c r="I314" i="13" l="1"/>
  <c r="O314" i="13" s="1"/>
  <c r="AA314" i="13" s="1"/>
  <c r="K314" i="13" l="1"/>
  <c r="P314" i="13" s="1"/>
  <c r="Q314" i="13" s="1"/>
  <c r="J314" i="13" s="1"/>
  <c r="R314" i="13" l="1"/>
  <c r="L314" i="13"/>
  <c r="M314" i="13"/>
  <c r="T314" i="13" s="1"/>
  <c r="N314" i="13"/>
  <c r="I315" i="13" l="1"/>
  <c r="O315" i="13" s="1"/>
  <c r="AA315" i="13" s="1"/>
  <c r="K315" i="13" l="1"/>
  <c r="P315" i="13" l="1"/>
  <c r="R315" i="13" l="1"/>
  <c r="Q315" i="13"/>
  <c r="J315" i="13" s="1"/>
  <c r="M315" i="13" l="1"/>
  <c r="T315" i="13" s="1"/>
  <c r="N315" i="13"/>
  <c r="L315" i="13"/>
  <c r="I316" i="13" l="1"/>
  <c r="O316" i="13" s="1"/>
  <c r="AA316" i="13" s="1"/>
  <c r="K316" i="13" l="1"/>
  <c r="P316" i="13" s="1"/>
  <c r="Q316" i="13" s="1"/>
  <c r="J316" i="13" s="1"/>
  <c r="R316" i="13" l="1"/>
  <c r="L316" i="13"/>
  <c r="M316" i="13"/>
  <c r="T316" i="13" s="1"/>
  <c r="N316" i="13"/>
  <c r="I317" i="13" l="1"/>
  <c r="O317" i="13" s="1"/>
  <c r="AA317" i="13" s="1"/>
  <c r="K317" i="13" l="1"/>
  <c r="P317" i="13" l="1"/>
  <c r="R317" i="13" l="1"/>
  <c r="Q317" i="13"/>
  <c r="J317" i="13" s="1"/>
  <c r="M317" i="13" l="1"/>
  <c r="T317" i="13" s="1"/>
  <c r="N317" i="13"/>
  <c r="L317" i="13"/>
  <c r="I318" i="13" l="1"/>
  <c r="O318" i="13" s="1"/>
  <c r="AA318" i="13" s="1"/>
  <c r="K318" i="13" l="1"/>
  <c r="P318" i="13" s="1"/>
  <c r="Q318" i="13" l="1"/>
  <c r="J318" i="13" s="1"/>
  <c r="R318" i="13"/>
  <c r="M318" i="13" l="1"/>
  <c r="T318" i="13" s="1"/>
  <c r="N318" i="13"/>
  <c r="L318" i="13"/>
  <c r="I319" i="13" l="1"/>
  <c r="O319" i="13" s="1"/>
  <c r="AA319" i="13" s="1"/>
  <c r="K319" i="13" l="1"/>
  <c r="P319" i="13" s="1"/>
  <c r="R319" i="13" l="1"/>
  <c r="Q319" i="13"/>
  <c r="J319" i="13" s="1"/>
  <c r="M319" i="13" l="1"/>
  <c r="T319" i="13" s="1"/>
  <c r="N319" i="13"/>
  <c r="L319" i="13"/>
  <c r="I320" i="13" l="1"/>
  <c r="O320" i="13" s="1"/>
  <c r="AA320" i="13" s="1"/>
  <c r="K320" i="13" l="1"/>
  <c r="P320" i="13" s="1"/>
  <c r="R320" i="13" l="1"/>
  <c r="Q320" i="13"/>
  <c r="J320" i="13" s="1"/>
  <c r="M320" i="13" l="1"/>
  <c r="T320" i="13" s="1"/>
  <c r="N320" i="13"/>
  <c r="L320" i="13"/>
  <c r="I321" i="13" l="1"/>
  <c r="O321" i="13" s="1"/>
  <c r="K321" i="13" l="1"/>
  <c r="P321" i="13" s="1"/>
  <c r="AA321" i="13"/>
  <c r="Q321" i="13" l="1"/>
  <c r="J321" i="13" s="1"/>
  <c r="R321" i="13"/>
  <c r="M321" i="13" l="1"/>
  <c r="T321" i="13" s="1"/>
  <c r="N321" i="13"/>
  <c r="L321" i="13"/>
  <c r="I322" i="13" l="1"/>
  <c r="O322" i="13" s="1"/>
  <c r="AA322" i="13" s="1"/>
  <c r="K322" i="13" l="1"/>
  <c r="P322" i="13" s="1"/>
  <c r="Q322" i="13" l="1"/>
  <c r="J322" i="13" s="1"/>
  <c r="R322" i="13"/>
  <c r="M322" i="13" l="1"/>
  <c r="T322" i="13" s="1"/>
  <c r="N322" i="13"/>
  <c r="L322" i="13"/>
  <c r="I323" i="13" l="1"/>
  <c r="O323" i="13" s="1"/>
  <c r="K323" i="13" l="1"/>
  <c r="P323" i="13" s="1"/>
  <c r="Q323" i="13" s="1"/>
  <c r="J323" i="13" s="1"/>
  <c r="AA323" i="13"/>
  <c r="R323" i="13" l="1"/>
  <c r="L323" i="13"/>
  <c r="M323" i="13"/>
  <c r="T323" i="13" s="1"/>
  <c r="N323" i="13"/>
  <c r="I324" i="13" l="1"/>
  <c r="O324" i="13" s="1"/>
  <c r="AA324" i="13" s="1"/>
  <c r="K324" i="13" l="1"/>
  <c r="P324" i="13" l="1"/>
  <c r="R324" i="13" l="1"/>
  <c r="Q324" i="13"/>
  <c r="J324" i="13" s="1"/>
  <c r="M324" i="13" l="1"/>
  <c r="T324" i="13" s="1"/>
  <c r="N324" i="13"/>
  <c r="L324" i="13"/>
  <c r="I325" i="13" l="1"/>
  <c r="O325" i="13" s="1"/>
  <c r="K325" i="13" l="1"/>
  <c r="P325" i="13" s="1"/>
  <c r="AA325" i="13"/>
  <c r="R325" i="13" l="1"/>
  <c r="Q325" i="13"/>
  <c r="J325" i="13" s="1"/>
  <c r="M325" i="13" l="1"/>
  <c r="T325" i="13" s="1"/>
  <c r="N325" i="13"/>
  <c r="L325" i="13"/>
  <c r="I326" i="13" l="1"/>
  <c r="O326" i="13" s="1"/>
  <c r="AA326" i="13" s="1"/>
  <c r="K326" i="13" l="1"/>
  <c r="P326" i="13" s="1"/>
  <c r="Q326" i="13" l="1"/>
  <c r="J326" i="13" s="1"/>
  <c r="R326" i="13"/>
  <c r="M326" i="13" l="1"/>
  <c r="T326" i="13" s="1"/>
  <c r="N326" i="13"/>
  <c r="L326" i="13"/>
  <c r="I327" i="13" l="1"/>
  <c r="O327" i="13" s="1"/>
  <c r="AA327" i="13" s="1"/>
  <c r="K327" i="13" l="1"/>
  <c r="P327" i="13" s="1"/>
  <c r="R327" i="13" s="1"/>
  <c r="Q327" i="13" l="1"/>
  <c r="J327" i="13" s="1"/>
  <c r="L327" i="13" s="1"/>
  <c r="N327" i="13" l="1"/>
  <c r="M327" i="13"/>
  <c r="T327" i="13" s="1"/>
  <c r="I328" i="13" l="1"/>
  <c r="O328" i="13" s="1"/>
  <c r="AA328" i="13" s="1"/>
  <c r="K328" i="13" l="1"/>
  <c r="P328" i="13" s="1"/>
  <c r="R328" i="13" s="1"/>
  <c r="Q328" i="13" l="1"/>
  <c r="J328" i="13" s="1"/>
  <c r="M328" i="13" s="1"/>
  <c r="T328" i="13" s="1"/>
  <c r="N328" i="13" l="1"/>
  <c r="L328" i="13"/>
  <c r="I329" i="13" l="1"/>
  <c r="O329" i="13" s="1"/>
  <c r="AA329" i="13" s="1"/>
  <c r="K329" i="13" l="1"/>
  <c r="P329" i="13" s="1"/>
  <c r="Q329" i="13" l="1"/>
  <c r="J329" i="13" s="1"/>
  <c r="R329" i="13"/>
  <c r="M329" i="13" l="1"/>
  <c r="T329" i="13" s="1"/>
  <c r="L329" i="13"/>
  <c r="N329" i="13"/>
  <c r="I330" i="13" l="1"/>
  <c r="O330" i="13" s="1"/>
  <c r="K330" i="13" l="1"/>
  <c r="P330" i="13" s="1"/>
  <c r="AA330" i="13"/>
  <c r="Q330" i="13" l="1"/>
  <c r="J330" i="13" s="1"/>
  <c r="R330" i="13"/>
  <c r="M330" i="13" l="1"/>
  <c r="T330" i="13" s="1"/>
  <c r="N330" i="13"/>
  <c r="L330" i="13"/>
  <c r="I331" i="13" l="1"/>
  <c r="O331" i="13" s="1"/>
  <c r="AA331" i="13" s="1"/>
  <c r="K331" i="13" l="1"/>
  <c r="P331" i="13" s="1"/>
  <c r="R331" i="13" l="1"/>
  <c r="Q331" i="13"/>
  <c r="J331" i="13" s="1"/>
  <c r="N331" i="13" l="1"/>
  <c r="M331" i="13"/>
  <c r="T331" i="13" s="1"/>
  <c r="L331" i="13"/>
  <c r="I332" i="13" l="1"/>
  <c r="O332" i="13" s="1"/>
  <c r="AA332" i="13" s="1"/>
  <c r="K332" i="13" l="1"/>
  <c r="P332" i="13" s="1"/>
  <c r="Q332" i="13" l="1"/>
  <c r="J332" i="13" s="1"/>
  <c r="R332" i="13"/>
  <c r="N332" i="13" l="1"/>
  <c r="M332" i="13"/>
  <c r="T332" i="13" s="1"/>
  <c r="L332" i="13"/>
  <c r="I333" i="13" l="1"/>
  <c r="O333" i="13" s="1"/>
  <c r="AA333" i="13" s="1"/>
  <c r="K333" i="13" l="1"/>
  <c r="P333" i="13" s="1"/>
  <c r="R333" i="13" l="1"/>
  <c r="Q333" i="13"/>
  <c r="J333" i="13" s="1"/>
  <c r="N333" i="13" l="1"/>
  <c r="M333" i="13"/>
  <c r="T333" i="13" s="1"/>
  <c r="L333" i="13"/>
  <c r="I334" i="13" l="1"/>
  <c r="O334" i="13" s="1"/>
  <c r="AA334" i="13" s="1"/>
  <c r="K334" i="13" l="1"/>
  <c r="P334" i="13" s="1"/>
  <c r="R334" i="13" l="1"/>
  <c r="Q334" i="13"/>
  <c r="J334" i="13" s="1"/>
  <c r="N334" i="13" l="1"/>
  <c r="M334" i="13"/>
  <c r="T334" i="13" s="1"/>
  <c r="L334" i="13"/>
  <c r="I335" i="13" l="1"/>
  <c r="O335" i="13" s="1"/>
  <c r="AA335" i="13" s="1"/>
  <c r="K335" i="13" l="1"/>
  <c r="P335" i="13" s="1"/>
  <c r="R335" i="13" s="1"/>
  <c r="Q335" i="13" l="1"/>
  <c r="J335" i="13" s="1"/>
  <c r="L335" i="13" s="1"/>
  <c r="M335" i="13" l="1"/>
  <c r="T335" i="13" s="1"/>
  <c r="N335" i="13"/>
  <c r="I336" i="13" l="1"/>
  <c r="O336" i="13" s="1"/>
  <c r="AA336" i="13" s="1"/>
  <c r="K336" i="13" l="1"/>
  <c r="P336" i="13" s="1"/>
  <c r="Q336" i="13" s="1"/>
  <c r="J336" i="13" s="1"/>
  <c r="R336" i="13" l="1"/>
  <c r="M336" i="13"/>
  <c r="T336" i="13" s="1"/>
  <c r="N336" i="13"/>
  <c r="L336" i="13"/>
  <c r="I337" i="13" l="1"/>
  <c r="O337" i="13" s="1"/>
  <c r="AA337" i="13" s="1"/>
  <c r="K337" i="13" l="1"/>
  <c r="P337" i="13" s="1"/>
  <c r="Q337" i="13" s="1"/>
  <c r="J337" i="13" s="1"/>
  <c r="N337" i="13" s="1"/>
  <c r="R337" i="13" l="1"/>
  <c r="L337" i="13"/>
  <c r="M337" i="13"/>
  <c r="T337" i="13" s="1"/>
  <c r="I338" i="13" l="1"/>
  <c r="O338" i="13" s="1"/>
  <c r="AA338" i="13" s="1"/>
  <c r="K338" i="13" l="1"/>
  <c r="P338" i="13" s="1"/>
  <c r="R338" i="13" s="1"/>
  <c r="Q338" i="13" l="1"/>
  <c r="J338" i="13" s="1"/>
  <c r="M338" i="13" s="1"/>
  <c r="T338" i="13" s="1"/>
  <c r="N338" i="13" l="1"/>
  <c r="L338" i="13"/>
  <c r="I339" i="13" l="1"/>
  <c r="O339" i="13" s="1"/>
  <c r="AA339" i="13" s="1"/>
  <c r="K339" i="13" l="1"/>
  <c r="P339" i="13" s="1"/>
  <c r="Q339" i="13" l="1"/>
  <c r="J339" i="13" s="1"/>
  <c r="R339" i="13"/>
  <c r="M339" i="13" l="1"/>
  <c r="T339" i="13" s="1"/>
  <c r="N339" i="13"/>
  <c r="L339" i="13"/>
  <c r="I340" i="13" l="1"/>
  <c r="O340" i="13" s="1"/>
  <c r="AA340" i="13" s="1"/>
  <c r="K340" i="13" l="1"/>
  <c r="P340" i="13" s="1"/>
  <c r="R340" i="13" l="1"/>
  <c r="Q340" i="13"/>
  <c r="J340" i="13" s="1"/>
  <c r="N340" i="13" l="1"/>
  <c r="M340" i="13"/>
  <c r="T340" i="13" s="1"/>
  <c r="L340" i="13"/>
  <c r="I341" i="13" l="1"/>
  <c r="O341" i="13" s="1"/>
  <c r="AA341" i="13" s="1"/>
  <c r="K341" i="13" l="1"/>
  <c r="P341" i="13" s="1"/>
  <c r="Q341" i="13" l="1"/>
  <c r="J341" i="13" s="1"/>
  <c r="R341" i="13"/>
  <c r="N341" i="13" l="1"/>
  <c r="M341" i="13"/>
  <c r="T341" i="13" s="1"/>
  <c r="L341" i="13"/>
  <c r="I342" i="13" l="1"/>
  <c r="O342" i="13" s="1"/>
  <c r="AA342" i="13" s="1"/>
  <c r="K342" i="13" l="1"/>
  <c r="P342" i="13" s="1"/>
  <c r="R342" i="13" l="1"/>
  <c r="Q342" i="13"/>
  <c r="J342" i="13" s="1"/>
  <c r="N342" i="13" l="1"/>
  <c r="M342" i="13"/>
  <c r="T342" i="13" s="1"/>
  <c r="L342" i="13"/>
  <c r="I343" i="13" l="1"/>
  <c r="O343" i="13" s="1"/>
  <c r="AA343" i="13" s="1"/>
  <c r="K343" i="13" l="1"/>
  <c r="P343" i="13" s="1"/>
  <c r="R343" i="13" s="1"/>
  <c r="Q343" i="13" l="1"/>
  <c r="J343" i="13" s="1"/>
  <c r="M343" i="13" s="1"/>
  <c r="T343" i="13" s="1"/>
  <c r="N343" i="13" l="1"/>
  <c r="L343" i="13"/>
  <c r="I344" i="13" l="1"/>
  <c r="O344" i="13" s="1"/>
  <c r="AA344" i="13" s="1"/>
  <c r="K344" i="13" l="1"/>
  <c r="P344" i="13" s="1"/>
  <c r="R344" i="13" l="1"/>
  <c r="Q344" i="13"/>
  <c r="J344" i="13" s="1"/>
  <c r="N344" i="13" l="1"/>
  <c r="M344" i="13"/>
  <c r="T344" i="13" s="1"/>
  <c r="L344" i="13"/>
  <c r="I345" i="13" l="1"/>
  <c r="O345" i="13" s="1"/>
  <c r="AA345" i="13" s="1"/>
  <c r="K345" i="13" l="1"/>
  <c r="P345" i="13" s="1"/>
  <c r="Q345" i="13" l="1"/>
  <c r="J345" i="13" s="1"/>
  <c r="R345" i="13"/>
  <c r="N345" i="13" l="1"/>
  <c r="M345" i="13"/>
  <c r="T345" i="13" s="1"/>
  <c r="L345" i="13"/>
  <c r="I346" i="13" l="1"/>
  <c r="O346" i="13" s="1"/>
  <c r="AA346" i="13" s="1"/>
  <c r="K346" i="13" l="1"/>
  <c r="P346" i="13" s="1"/>
  <c r="Q346" i="13" s="1"/>
  <c r="J346" i="13" s="1"/>
  <c r="L346" i="13" s="1"/>
  <c r="R346" i="13" l="1"/>
  <c r="N346" i="13"/>
  <c r="M346" i="13"/>
  <c r="I347" i="13" l="1"/>
  <c r="O347" i="13" s="1"/>
  <c r="AA347" i="13" s="1"/>
  <c r="T346" i="13"/>
  <c r="K347" i="13" l="1"/>
  <c r="P347" i="13" s="1"/>
  <c r="Q347" i="13" l="1"/>
  <c r="J347" i="13" s="1"/>
  <c r="R347" i="13"/>
  <c r="N347" i="13" l="1"/>
  <c r="M347" i="13"/>
  <c r="T347" i="13" s="1"/>
  <c r="L347" i="13"/>
  <c r="I348" i="13" l="1"/>
  <c r="O348" i="13" s="1"/>
  <c r="AA348" i="13" s="1"/>
  <c r="K348" i="13" l="1"/>
  <c r="P348" i="13" s="1"/>
  <c r="R348" i="13" s="1"/>
  <c r="Q348" i="13" l="1"/>
  <c r="J348" i="13" s="1"/>
  <c r="L348" i="13" s="1"/>
  <c r="N348" i="13" l="1"/>
  <c r="M348" i="13"/>
  <c r="T348" i="13" s="1"/>
  <c r="I349" i="13" l="1"/>
  <c r="O349" i="13" s="1"/>
  <c r="AA349" i="13" s="1"/>
  <c r="K349" i="13" l="1"/>
  <c r="P349" i="13" s="1"/>
  <c r="R349" i="13" s="1"/>
  <c r="Q349" i="13" l="1"/>
  <c r="J349" i="13" s="1"/>
  <c r="N349" i="13" s="1"/>
  <c r="L349" i="13" l="1"/>
  <c r="M349" i="13"/>
  <c r="T349" i="13" s="1"/>
  <c r="I350" i="13" l="1"/>
  <c r="O350" i="13" s="1"/>
  <c r="AA350" i="13" s="1"/>
  <c r="K350" i="13" l="1"/>
  <c r="P350" i="13" s="1"/>
  <c r="Q350" i="13" s="1"/>
  <c r="J350" i="13" s="1"/>
  <c r="R350" i="13" l="1"/>
  <c r="N350" i="13"/>
  <c r="M350" i="13"/>
  <c r="T350" i="13" s="1"/>
  <c r="L350" i="13"/>
  <c r="I351" i="13" l="1"/>
  <c r="O351" i="13" s="1"/>
  <c r="AA351" i="13" s="1"/>
  <c r="K351" i="13" l="1"/>
  <c r="P351" i="13" s="1"/>
  <c r="R351" i="13" l="1"/>
  <c r="Q351" i="13"/>
  <c r="J351" i="13" s="1"/>
  <c r="M351" i="13" l="1"/>
  <c r="T351" i="13" s="1"/>
  <c r="N351" i="13"/>
  <c r="L351" i="13"/>
  <c r="I352" i="13" l="1"/>
  <c r="O352" i="13" s="1"/>
  <c r="AA352" i="13" s="1"/>
  <c r="K352" i="13" l="1"/>
  <c r="P352" i="13" s="1"/>
  <c r="R352" i="13" s="1"/>
  <c r="Q352" i="13" l="1"/>
  <c r="J352" i="13" s="1"/>
  <c r="N352" i="13" s="1"/>
  <c r="M352" i="13" l="1"/>
  <c r="T352" i="13" s="1"/>
  <c r="L352" i="13"/>
  <c r="I353" i="13" l="1"/>
  <c r="O353" i="13" s="1"/>
  <c r="AA353" i="13" s="1"/>
  <c r="K353" i="13" l="1"/>
  <c r="P353" i="13" s="1"/>
  <c r="Q353" i="13" s="1"/>
  <c r="J353" i="13" s="1"/>
  <c r="R353" i="13" l="1"/>
  <c r="L353" i="13"/>
  <c r="M353" i="13"/>
  <c r="T353" i="13" s="1"/>
  <c r="N353" i="13"/>
  <c r="I354" i="13" l="1"/>
  <c r="O354" i="13" s="1"/>
  <c r="AA354" i="13" s="1"/>
  <c r="K354" i="13" l="1"/>
  <c r="P354" i="13" s="1"/>
  <c r="Q354" i="13" l="1"/>
  <c r="J354" i="13" s="1"/>
  <c r="R354" i="13"/>
  <c r="L354" i="13" l="1"/>
  <c r="M354" i="13"/>
  <c r="T354" i="13" s="1"/>
  <c r="N354" i="13"/>
  <c r="I355" i="13" l="1"/>
  <c r="O355" i="13" s="1"/>
  <c r="AA355" i="13" s="1"/>
  <c r="K355" i="13" l="1"/>
  <c r="P355" i="13" l="1"/>
  <c r="R355" i="13" l="1"/>
  <c r="Q355" i="13"/>
  <c r="J355" i="13" s="1"/>
  <c r="N355" i="13" l="1"/>
  <c r="M355" i="13"/>
  <c r="T355" i="13" s="1"/>
  <c r="L355" i="13"/>
  <c r="I356" i="13" l="1"/>
  <c r="O356" i="13" s="1"/>
  <c r="AA356" i="13" s="1"/>
  <c r="K356" i="13" l="1"/>
  <c r="P356" i="13" s="1"/>
  <c r="R356" i="13" l="1"/>
  <c r="Q356" i="13"/>
  <c r="J356" i="13" s="1"/>
  <c r="N356" i="13" l="1"/>
  <c r="M356" i="13"/>
  <c r="T356" i="13" s="1"/>
  <c r="L356" i="13"/>
  <c r="I357" i="13" l="1"/>
  <c r="O357" i="13" s="1"/>
  <c r="AA357" i="13" s="1"/>
  <c r="K357" i="13" l="1"/>
  <c r="P357" i="13" s="1"/>
  <c r="R357" i="13" l="1"/>
  <c r="Q357" i="13"/>
  <c r="J357" i="13" s="1"/>
  <c r="N357" i="13" l="1"/>
  <c r="M357" i="13"/>
  <c r="T357" i="13" s="1"/>
  <c r="L357" i="13"/>
  <c r="I358" i="13" l="1"/>
  <c r="O358" i="13" s="1"/>
  <c r="AA358" i="13" s="1"/>
  <c r="K358" i="13" l="1"/>
  <c r="P358" i="13" s="1"/>
  <c r="R358" i="13" s="1"/>
  <c r="Q358" i="13" l="1"/>
  <c r="J358" i="13" s="1"/>
  <c r="L358" i="13" s="1"/>
  <c r="M358" i="13" l="1"/>
  <c r="T358" i="13" s="1"/>
  <c r="N358" i="13"/>
  <c r="I359" i="13" l="1"/>
  <c r="O359" i="13" s="1"/>
  <c r="AA359" i="13" s="1"/>
  <c r="K359" i="13" l="1"/>
  <c r="P359" i="13" s="1"/>
  <c r="Q359" i="13" s="1"/>
  <c r="J359" i="13" s="1"/>
  <c r="M359" i="13" s="1"/>
  <c r="T359" i="13" s="1"/>
  <c r="R359" i="13" l="1"/>
  <c r="L359" i="13"/>
  <c r="N359" i="13"/>
  <c r="I360" i="13" l="1"/>
  <c r="O360" i="13" s="1"/>
  <c r="AA360" i="13" s="1"/>
  <c r="K360" i="13" l="1"/>
  <c r="P360" i="13" s="1"/>
  <c r="R360" i="13" s="1"/>
  <c r="Q360" i="13" l="1"/>
  <c r="J360" i="13" s="1"/>
  <c r="L360" i="13" s="1"/>
  <c r="M360" i="13" l="1"/>
  <c r="T360" i="13" s="1"/>
  <c r="N360" i="13"/>
  <c r="I361" i="13" l="1"/>
  <c r="O361" i="13" s="1"/>
  <c r="AA361" i="13" s="1"/>
  <c r="K361" i="13" l="1"/>
  <c r="P361" i="13" s="1"/>
  <c r="R361" i="13" s="1"/>
  <c r="Q361" i="13" l="1"/>
  <c r="J361" i="13" s="1"/>
  <c r="N361" i="13" s="1"/>
  <c r="L361" i="13" l="1"/>
  <c r="M361" i="13"/>
  <c r="T361" i="13" s="1"/>
  <c r="I362" i="13" l="1"/>
  <c r="O362" i="13" s="1"/>
  <c r="AA362" i="13" s="1"/>
  <c r="K362" i="13" l="1"/>
  <c r="P362" i="13" s="1"/>
  <c r="R362" i="13" s="1"/>
  <c r="Q362" i="13" l="1"/>
  <c r="J362" i="13" s="1"/>
  <c r="N362" i="13" s="1"/>
  <c r="L362" i="13" l="1"/>
  <c r="M362" i="13"/>
  <c r="T362" i="13" s="1"/>
  <c r="I363" i="13" l="1"/>
  <c r="O363" i="13" s="1"/>
  <c r="AA363" i="13" s="1"/>
  <c r="K363" i="13" l="1"/>
  <c r="P363" i="13" s="1"/>
  <c r="R363" i="13" s="1"/>
  <c r="Q363" i="13" l="1"/>
  <c r="J363" i="13" s="1"/>
  <c r="N363" i="13" s="1"/>
  <c r="L363" i="13" l="1"/>
  <c r="M363" i="13"/>
  <c r="T363" i="13" s="1"/>
  <c r="I364" i="13" l="1"/>
  <c r="O364" i="13" s="1"/>
  <c r="AA364" i="13" s="1"/>
  <c r="K364" i="13" l="1"/>
  <c r="P364" i="13" s="1"/>
  <c r="Q364" i="13" s="1"/>
  <c r="J364" i="13" s="1"/>
  <c r="R364" i="13" l="1"/>
  <c r="M364" i="13"/>
  <c r="T364" i="13" s="1"/>
  <c r="N364" i="13"/>
  <c r="L364" i="13"/>
  <c r="I365" i="13" l="1"/>
  <c r="O365" i="13" s="1"/>
  <c r="AA365" i="13" s="1"/>
  <c r="K365" i="13" l="1"/>
  <c r="P365" i="13" s="1"/>
  <c r="R365" i="13" s="1"/>
  <c r="Q365" i="13" l="1"/>
  <c r="J365" i="13" s="1"/>
  <c r="L365" i="13" s="1"/>
  <c r="M365" i="13" l="1"/>
  <c r="T365" i="13" s="1"/>
  <c r="N365" i="13"/>
  <c r="I366" i="13" l="1"/>
  <c r="O366" i="13" s="1"/>
  <c r="K366" i="13" l="1"/>
  <c r="P366" i="13" s="1"/>
  <c r="Q366" i="13" s="1"/>
  <c r="J366" i="13" s="1"/>
  <c r="AA366" i="13"/>
  <c r="R366" i="13" l="1"/>
  <c r="M366" i="13"/>
  <c r="T366" i="13" s="1"/>
  <c r="N366" i="13"/>
  <c r="L366" i="13"/>
  <c r="I367" i="13" l="1"/>
  <c r="O367" i="13" s="1"/>
  <c r="AA367" i="13" s="1"/>
  <c r="K367" i="13" l="1"/>
  <c r="P367" i="13" s="1"/>
  <c r="R367" i="13" s="1"/>
  <c r="Q367" i="13" l="1"/>
  <c r="J367" i="13" s="1"/>
  <c r="L367" i="13" s="1"/>
  <c r="M367" i="13" l="1"/>
  <c r="T367" i="13" s="1"/>
  <c r="N367" i="13"/>
  <c r="I368" i="13" l="1"/>
  <c r="O368" i="13" s="1"/>
  <c r="AA368" i="13" s="1"/>
  <c r="K368" i="13" l="1"/>
  <c r="P368" i="13" s="1"/>
  <c r="R368" i="13" s="1"/>
  <c r="Q368" i="13" l="1"/>
  <c r="J368" i="13" s="1"/>
  <c r="M368" i="13" s="1"/>
  <c r="T368" i="13" s="1"/>
  <c r="N368" i="13" l="1"/>
  <c r="L368" i="13"/>
  <c r="I369" i="13" l="1"/>
  <c r="O369" i="13" s="1"/>
  <c r="AA369" i="13" s="1"/>
  <c r="K369" i="13" l="1"/>
  <c r="P369" i="13" s="1"/>
  <c r="Q369" i="13" s="1"/>
  <c r="J369" i="13" s="1"/>
  <c r="R369" i="13" l="1"/>
  <c r="M369" i="13"/>
  <c r="T369" i="13" s="1"/>
  <c r="N369" i="13"/>
  <c r="L369" i="13"/>
  <c r="I370" i="13" l="1"/>
  <c r="O370" i="13" s="1"/>
  <c r="AA370" i="13" s="1"/>
  <c r="K370" i="13" l="1"/>
  <c r="P370" i="13" s="1"/>
  <c r="R370" i="13" l="1"/>
  <c r="Q370" i="13"/>
  <c r="J370" i="13" s="1"/>
  <c r="M370" i="13" l="1"/>
  <c r="T370" i="13" s="1"/>
  <c r="N370" i="13"/>
  <c r="L370" i="13"/>
  <c r="I371" i="13" l="1"/>
  <c r="O371" i="13" s="1"/>
  <c r="AA371" i="13" s="1"/>
  <c r="K371" i="13" l="1"/>
  <c r="P371" i="13" s="1"/>
  <c r="R371" i="13" l="1"/>
  <c r="Q371" i="13"/>
  <c r="J371" i="13" s="1"/>
  <c r="M371" i="13" l="1"/>
  <c r="T371" i="13" s="1"/>
  <c r="N371" i="13"/>
  <c r="L371" i="13"/>
  <c r="I372" i="13" l="1"/>
  <c r="O372" i="13" s="1"/>
  <c r="AA372" i="13" s="1"/>
  <c r="K372" i="13" l="1"/>
  <c r="P372" i="13" s="1"/>
  <c r="R372" i="13" s="1"/>
  <c r="Q372" i="13" l="1"/>
  <c r="J372" i="13" s="1"/>
  <c r="N372" i="13" s="1"/>
  <c r="L372" i="13" l="1"/>
  <c r="M372" i="13"/>
  <c r="T372" i="13" s="1"/>
  <c r="I373" i="13" l="1"/>
  <c r="O373" i="13" s="1"/>
  <c r="K373" i="13" l="1"/>
  <c r="P373" i="13" s="1"/>
  <c r="Q373" i="13" s="1"/>
  <c r="J373" i="13" s="1"/>
  <c r="AA373" i="13"/>
  <c r="R373" i="13" l="1"/>
  <c r="N373" i="13"/>
  <c r="M373" i="13"/>
  <c r="T373" i="13" s="1"/>
  <c r="L373" i="13"/>
  <c r="I374" i="13" l="1"/>
  <c r="O374" i="13" s="1"/>
  <c r="AA374" i="13" s="1"/>
  <c r="K374" i="13" l="1"/>
  <c r="P374" i="13" s="1"/>
  <c r="R374" i="13" l="1"/>
  <c r="Q374" i="13"/>
  <c r="J374" i="13" s="1"/>
  <c r="N374" i="13" l="1"/>
  <c r="M374" i="13"/>
  <c r="T374" i="13" s="1"/>
  <c r="L374" i="13"/>
  <c r="I375" i="13" l="1"/>
  <c r="O375" i="13" s="1"/>
  <c r="AA375" i="13" s="1"/>
  <c r="K375" i="13" l="1"/>
  <c r="P375" i="13" s="1"/>
  <c r="Q375" i="13" l="1"/>
  <c r="J375" i="13" s="1"/>
  <c r="R375" i="13"/>
  <c r="N375" i="13" l="1"/>
  <c r="M375" i="13"/>
  <c r="T375" i="13" s="1"/>
  <c r="L375" i="13"/>
  <c r="I376" i="13" l="1"/>
  <c r="O376" i="13" s="1"/>
  <c r="AA376" i="13" s="1"/>
  <c r="K376" i="13" l="1"/>
  <c r="P376" i="13" s="1"/>
  <c r="R376" i="13" l="1"/>
  <c r="Q376" i="13"/>
  <c r="J376" i="13" s="1"/>
  <c r="N376" i="13" l="1"/>
  <c r="M376" i="13"/>
  <c r="T376" i="13" s="1"/>
  <c r="L376" i="13"/>
  <c r="I377" i="13" l="1"/>
  <c r="O377" i="13" s="1"/>
  <c r="AA377" i="13" s="1"/>
  <c r="K377" i="13" l="1"/>
  <c r="P377" i="13" s="1"/>
  <c r="Q377" i="13" l="1"/>
  <c r="J377" i="13" s="1"/>
  <c r="R377" i="13"/>
  <c r="N377" i="13" l="1"/>
  <c r="M377" i="13"/>
  <c r="T377" i="13" s="1"/>
  <c r="L377" i="13"/>
  <c r="I378" i="13" l="1"/>
  <c r="O378" i="13" s="1"/>
  <c r="AA378" i="13" s="1"/>
  <c r="K378" i="13" l="1"/>
  <c r="P378" i="13" s="1"/>
  <c r="R378" i="13" l="1"/>
  <c r="Q378" i="13"/>
  <c r="J378" i="13" s="1"/>
  <c r="M378" i="13" l="1"/>
  <c r="T378" i="13" s="1"/>
  <c r="N378" i="13"/>
  <c r="L378" i="13"/>
  <c r="I379" i="13" l="1"/>
  <c r="O379" i="13" s="1"/>
  <c r="AA379" i="13" s="1"/>
  <c r="K379" i="13" l="1"/>
  <c r="P379" i="13" s="1"/>
  <c r="Q379" i="13" l="1"/>
  <c r="J379" i="13" s="1"/>
  <c r="R379" i="13"/>
  <c r="M379" i="13" l="1"/>
  <c r="T379" i="13" s="1"/>
  <c r="N379" i="13"/>
  <c r="L379" i="13"/>
  <c r="I380" i="13" l="1"/>
  <c r="O380" i="13" s="1"/>
  <c r="AA380" i="13" s="1"/>
  <c r="K380" i="13" l="1"/>
  <c r="P380" i="13" s="1"/>
  <c r="Q380" i="13" l="1"/>
  <c r="J380" i="13" s="1"/>
  <c r="R380" i="13"/>
  <c r="N380" i="13" l="1"/>
  <c r="M380" i="13"/>
  <c r="T380" i="13" s="1"/>
  <c r="L380" i="13"/>
  <c r="I381" i="13" l="1"/>
  <c r="O381" i="13" s="1"/>
  <c r="AA381" i="13" s="1"/>
  <c r="K381" i="13" l="1"/>
  <c r="P381" i="13" s="1"/>
  <c r="Q381" i="13" s="1"/>
  <c r="J381" i="13" s="1"/>
  <c r="L381" i="13" s="1"/>
  <c r="R381" i="13" l="1"/>
  <c r="N381" i="13"/>
  <c r="M381" i="13"/>
  <c r="T381" i="13" s="1"/>
  <c r="I382" i="13" l="1"/>
  <c r="O382" i="13" s="1"/>
  <c r="K382" i="13" l="1"/>
  <c r="P382" i="13" s="1"/>
  <c r="AA382" i="13"/>
  <c r="R382" i="13" l="1"/>
  <c r="Q382" i="13"/>
  <c r="J382" i="13" s="1"/>
  <c r="M382" i="13" l="1"/>
  <c r="T382" i="13" s="1"/>
  <c r="N382" i="13"/>
  <c r="L382" i="13"/>
  <c r="I383" i="13" l="1"/>
  <c r="O383" i="13" s="1"/>
  <c r="AA383" i="13" s="1"/>
  <c r="K383" i="13" l="1"/>
  <c r="P383" i="13" s="1"/>
  <c r="R383" i="13" l="1"/>
  <c r="Q383" i="13"/>
  <c r="J383" i="13" s="1"/>
  <c r="M383" i="13" l="1"/>
  <c r="T383" i="13" s="1"/>
  <c r="N383" i="13"/>
  <c r="L383" i="13"/>
  <c r="I384" i="13" l="1"/>
  <c r="O384" i="13" s="1"/>
  <c r="AA384" i="13" s="1"/>
  <c r="K384" i="13" l="1"/>
  <c r="P384" i="13" s="1"/>
  <c r="Q384" i="13" l="1"/>
  <c r="J384" i="13" s="1"/>
  <c r="R384" i="13"/>
  <c r="N384" i="13" l="1"/>
  <c r="M384" i="13"/>
  <c r="T384" i="13" s="1"/>
  <c r="L384" i="13"/>
  <c r="I385" i="13" l="1"/>
  <c r="O385" i="13" s="1"/>
  <c r="AA385" i="13" s="1"/>
  <c r="K385" i="13" l="1"/>
  <c r="P385" i="13" s="1"/>
  <c r="R385" i="13" s="1"/>
  <c r="Q385" i="13" l="1"/>
  <c r="J385" i="13" s="1"/>
  <c r="L385" i="13" s="1"/>
  <c r="N385" i="13" l="1"/>
  <c r="M385" i="13"/>
  <c r="T385" i="13" s="1"/>
  <c r="I386" i="13" l="1"/>
  <c r="O386" i="13" s="1"/>
  <c r="AA386" i="13" s="1"/>
  <c r="K386" i="13" l="1"/>
  <c r="P386" i="13" s="1"/>
  <c r="R386" i="13" s="1"/>
  <c r="Q386" i="13" l="1"/>
  <c r="J386" i="13" s="1"/>
  <c r="L386" i="13" s="1"/>
  <c r="N386" i="13" l="1"/>
  <c r="M386" i="13"/>
  <c r="T386" i="13" s="1"/>
  <c r="I387" i="13" l="1"/>
  <c r="O387" i="13" s="1"/>
  <c r="AA387" i="13" s="1"/>
  <c r="K387" i="13" l="1"/>
  <c r="P387" i="13" s="1"/>
  <c r="Q387" i="13" s="1"/>
  <c r="J387" i="13" s="1"/>
  <c r="R387" i="13" l="1"/>
  <c r="N387" i="13"/>
  <c r="M387" i="13"/>
  <c r="T387" i="13" s="1"/>
  <c r="L387" i="13"/>
  <c r="I388" i="13" l="1"/>
  <c r="O388" i="13" s="1"/>
  <c r="AA388" i="13" s="1"/>
  <c r="K388" i="13" l="1"/>
  <c r="P388" i="13" s="1"/>
  <c r="Q388" i="13" l="1"/>
  <c r="J388" i="13" s="1"/>
  <c r="R388" i="13"/>
  <c r="N388" i="13" l="1"/>
  <c r="M388" i="13"/>
  <c r="T388" i="13" s="1"/>
  <c r="L388" i="13"/>
  <c r="I389" i="13" l="1"/>
  <c r="O389" i="13" s="1"/>
  <c r="AA389" i="13" s="1"/>
  <c r="K389" i="13" l="1"/>
  <c r="P389" i="13" s="1"/>
  <c r="R389" i="13" s="1"/>
  <c r="Q389" i="13" l="1"/>
  <c r="J389" i="13" s="1"/>
  <c r="M389" i="13" s="1"/>
  <c r="T389" i="13" s="1"/>
  <c r="N389" i="13" l="1"/>
  <c r="L389" i="13"/>
  <c r="I390" i="13" l="1"/>
  <c r="O390" i="13" s="1"/>
  <c r="K390" i="13" l="1"/>
  <c r="P390" i="13" s="1"/>
  <c r="R390" i="13" s="1"/>
  <c r="AA390" i="13"/>
  <c r="Q390" i="13" l="1"/>
  <c r="J390" i="13" s="1"/>
  <c r="M390" i="13" s="1"/>
  <c r="T390" i="13" s="1"/>
  <c r="N390" i="13" l="1"/>
  <c r="L390" i="13"/>
  <c r="I391" i="13" l="1"/>
  <c r="O391" i="13" s="1"/>
  <c r="K391" i="13" l="1"/>
  <c r="P391" i="13" s="1"/>
  <c r="R391" i="13" s="1"/>
  <c r="AA391" i="13"/>
  <c r="Q391" i="13" l="1"/>
  <c r="J391" i="13" s="1"/>
  <c r="N391" i="13" s="1"/>
  <c r="L391" i="13" l="1"/>
  <c r="M391" i="13"/>
  <c r="T391" i="13" s="1"/>
  <c r="I392" i="13" l="1"/>
  <c r="O392" i="13" s="1"/>
  <c r="AA392" i="13" s="1"/>
  <c r="K392" i="13" l="1"/>
  <c r="P392" i="13" s="1"/>
  <c r="R392" i="13" s="1"/>
  <c r="Q392" i="13" l="1"/>
  <c r="J392" i="13" s="1"/>
  <c r="N392" i="13" s="1"/>
  <c r="L392" i="13" l="1"/>
  <c r="M392" i="13"/>
  <c r="T392" i="13" s="1"/>
  <c r="I393" i="13" l="1"/>
  <c r="O393" i="13" s="1"/>
  <c r="AA393" i="13" l="1"/>
  <c r="AB390" i="13"/>
  <c r="K393" i="13"/>
  <c r="P393" i="13" s="1"/>
  <c r="R393" i="13" s="1"/>
  <c r="Q393" i="13" l="1"/>
  <c r="J393" i="13" s="1"/>
  <c r="N393" i="13" s="1"/>
  <c r="L393" i="13" l="1"/>
  <c r="M393" i="13"/>
  <c r="T393" i="13" s="1"/>
  <c r="I394" i="13" l="1"/>
  <c r="O394" i="13" s="1"/>
  <c r="AA394" i="13" l="1"/>
  <c r="AB391" i="13"/>
  <c r="K394" i="13"/>
  <c r="P394" i="13" s="1"/>
  <c r="Q394" i="13" s="1"/>
  <c r="J394" i="13" s="1"/>
  <c r="L394" i="13" s="1"/>
  <c r="N394" i="13" l="1"/>
  <c r="R394" i="13"/>
  <c r="M394" i="13"/>
  <c r="T394" i="13" s="1"/>
  <c r="I395" i="13" l="1"/>
  <c r="O395" i="13" s="1"/>
  <c r="AA395" i="13" l="1"/>
  <c r="AB392" i="13"/>
  <c r="K395" i="13"/>
  <c r="P395" i="13" s="1"/>
  <c r="Q395" i="13" s="1"/>
  <c r="J395" i="13" s="1"/>
  <c r="R395" i="13" l="1"/>
  <c r="N395" i="13"/>
  <c r="M395" i="13"/>
  <c r="T395" i="13" s="1"/>
  <c r="L395" i="13"/>
  <c r="I396" i="13" l="1"/>
  <c r="O396" i="13" s="1"/>
  <c r="AA396" i="13" l="1"/>
  <c r="AB393" i="13"/>
  <c r="K396" i="13"/>
  <c r="P396" i="13" s="1"/>
  <c r="Q396" i="13" s="1"/>
  <c r="J396" i="13" s="1"/>
  <c r="R396" i="13" l="1"/>
  <c r="L396" i="13"/>
  <c r="M396" i="13"/>
  <c r="T396" i="13" s="1"/>
  <c r="N396" i="13"/>
  <c r="I397" i="13" l="1"/>
  <c r="O397" i="13" s="1"/>
  <c r="AA397" i="13" l="1"/>
  <c r="AB394" i="13"/>
  <c r="K397" i="13"/>
  <c r="P397" i="13" s="1"/>
  <c r="R397" i="13" l="1"/>
  <c r="Q397" i="13"/>
  <c r="J397" i="13" s="1"/>
  <c r="L397" i="13" s="1"/>
  <c r="N397" i="13" l="1"/>
  <c r="M397" i="13"/>
  <c r="T397" i="13" s="1"/>
  <c r="I398" i="13" l="1"/>
  <c r="O398" i="13" s="1"/>
  <c r="AA398" i="13" l="1"/>
  <c r="AB395" i="13"/>
  <c r="K398" i="13"/>
  <c r="P398" i="13" s="1"/>
  <c r="R398" i="13" l="1"/>
  <c r="Q398" i="13"/>
  <c r="J398" i="13" s="1"/>
  <c r="M398" i="13" l="1"/>
  <c r="T398" i="13" s="1"/>
  <c r="N398" i="13"/>
  <c r="L398" i="13"/>
  <c r="I399" i="13" l="1"/>
  <c r="O399" i="13" s="1"/>
  <c r="AA399" i="13" l="1"/>
  <c r="AB396" i="13"/>
  <c r="K399" i="13"/>
  <c r="P399" i="13" s="1"/>
  <c r="Q399" i="13" l="1"/>
  <c r="J399" i="13" s="1"/>
  <c r="R399" i="13"/>
  <c r="N399" i="13" l="1"/>
  <c r="M399" i="13"/>
  <c r="T399" i="13" s="1"/>
  <c r="L399" i="13"/>
  <c r="I400" i="13" l="1"/>
  <c r="O400" i="13" s="1"/>
  <c r="AA400" i="13" l="1"/>
  <c r="AB397" i="13"/>
  <c r="K400" i="13"/>
  <c r="P400" i="13" s="1"/>
  <c r="Q400" i="13" l="1"/>
  <c r="J400" i="13" s="1"/>
  <c r="R400" i="13"/>
  <c r="N400" i="13" l="1"/>
  <c r="M400" i="13"/>
  <c r="T400" i="13" s="1"/>
  <c r="L400" i="13"/>
  <c r="I401" i="13" l="1"/>
  <c r="O401" i="13" s="1"/>
  <c r="AA401" i="13" l="1"/>
  <c r="AB398" i="13"/>
  <c r="K401" i="13"/>
  <c r="P401" i="13" s="1"/>
  <c r="R401" i="13" s="1"/>
  <c r="Q401" i="13" l="1"/>
  <c r="J401" i="13" s="1"/>
  <c r="L401" i="13" s="1"/>
  <c r="M401" i="13" l="1"/>
  <c r="T401" i="13" s="1"/>
  <c r="N401" i="13"/>
  <c r="I402" i="13" l="1"/>
  <c r="O402" i="13" s="1"/>
  <c r="AA402" i="13" l="1"/>
  <c r="AB399" i="13"/>
  <c r="K402" i="13"/>
  <c r="P402" i="13" s="1"/>
  <c r="R402" i="13" s="1"/>
  <c r="Q402" i="13" l="1"/>
  <c r="J402" i="13" s="1"/>
  <c r="M402" i="13" s="1"/>
  <c r="T402" i="13" s="1"/>
  <c r="L402" i="13" l="1"/>
  <c r="N402" i="13"/>
  <c r="I403" i="13" l="1"/>
  <c r="O403" i="13" s="1"/>
  <c r="AA403" i="13" l="1"/>
  <c r="AB400" i="13"/>
  <c r="K403" i="13"/>
  <c r="P403" i="13" s="1"/>
  <c r="Q403" i="13" s="1"/>
  <c r="J403" i="13" s="1"/>
  <c r="M403" i="13" s="1"/>
  <c r="T403" i="13" s="1"/>
  <c r="R403" i="13" l="1"/>
  <c r="L403" i="13"/>
  <c r="N403" i="13"/>
  <c r="I404" i="13" l="1"/>
  <c r="O404" i="13" s="1"/>
  <c r="AA404" i="13" l="1"/>
  <c r="AB401" i="13"/>
  <c r="K404" i="13"/>
  <c r="P404" i="13" s="1"/>
  <c r="Q404" i="13" s="1"/>
  <c r="J404" i="13" s="1"/>
  <c r="R404" i="13" l="1"/>
  <c r="L404" i="13"/>
  <c r="M404" i="13"/>
  <c r="T404" i="13" s="1"/>
  <c r="N404" i="13"/>
  <c r="I405" i="13" l="1"/>
  <c r="O405" i="13" s="1"/>
  <c r="AA405" i="13" l="1"/>
  <c r="AB402" i="13"/>
  <c r="K405" i="13"/>
  <c r="P405" i="13" l="1"/>
  <c r="Q405" i="13" l="1"/>
  <c r="J405" i="13" s="1"/>
  <c r="R405" i="13"/>
  <c r="M405" i="13" l="1"/>
  <c r="T405" i="13" s="1"/>
  <c r="N405" i="13"/>
  <c r="L405" i="13"/>
  <c r="I406" i="13" l="1"/>
  <c r="O406" i="13" s="1"/>
  <c r="AA406" i="13" l="1"/>
  <c r="AB403" i="13"/>
  <c r="K406" i="13"/>
  <c r="P406" i="13" s="1"/>
  <c r="R406" i="13" l="1"/>
  <c r="Q406" i="13"/>
  <c r="J406" i="13" s="1"/>
  <c r="M406" i="13" l="1"/>
  <c r="T406" i="13" s="1"/>
  <c r="N406" i="13"/>
  <c r="L406" i="13"/>
  <c r="I407" i="13" l="1"/>
  <c r="O407" i="13" s="1"/>
  <c r="AA407" i="13" l="1"/>
  <c r="AB404" i="13"/>
  <c r="K407" i="13"/>
  <c r="P407" i="13" s="1"/>
  <c r="R407" i="13" l="1"/>
  <c r="Q407" i="13"/>
  <c r="J407" i="13" s="1"/>
  <c r="N407" i="13" l="1"/>
  <c r="M407" i="13"/>
  <c r="T407" i="13" s="1"/>
  <c r="L407" i="13"/>
  <c r="I408" i="13" l="1"/>
  <c r="O408" i="13" s="1"/>
  <c r="AA408" i="13" l="1"/>
  <c r="AB405" i="13"/>
  <c r="K408" i="13"/>
  <c r="P408" i="13" s="1"/>
  <c r="Q408" i="13" l="1"/>
  <c r="J408" i="13" s="1"/>
  <c r="R408" i="13"/>
  <c r="N408" i="13" l="1"/>
  <c r="M408" i="13"/>
  <c r="T408" i="13" s="1"/>
  <c r="L408" i="13"/>
  <c r="I409" i="13" l="1"/>
  <c r="O409" i="13" s="1"/>
  <c r="AA409" i="13" l="1"/>
  <c r="AB406" i="13"/>
  <c r="K409" i="13"/>
  <c r="P409" i="13" s="1"/>
  <c r="R409" i="13" s="1"/>
  <c r="Q409" i="13" l="1"/>
  <c r="J409" i="13" s="1"/>
  <c r="L409" i="13" s="1"/>
  <c r="N409" i="13" l="1"/>
  <c r="M409" i="13"/>
  <c r="T409" i="13" s="1"/>
  <c r="I410" i="13" l="1"/>
  <c r="O410" i="13" s="1"/>
  <c r="AA410" i="13" l="1"/>
  <c r="AB407" i="13"/>
  <c r="K410" i="13"/>
  <c r="P410" i="13" s="1"/>
  <c r="R410" i="13" s="1"/>
  <c r="Q410" i="13" l="1"/>
  <c r="J410" i="13" s="1"/>
  <c r="N410" i="13" s="1"/>
  <c r="L410" i="13" l="1"/>
  <c r="M410" i="13"/>
  <c r="T410" i="13" s="1"/>
  <c r="I411" i="13" l="1"/>
  <c r="O411" i="13" s="1"/>
  <c r="AA411" i="13" l="1"/>
  <c r="AB408" i="13"/>
  <c r="K411" i="13"/>
  <c r="P411" i="13" s="1"/>
  <c r="R411" i="13" s="1"/>
  <c r="Q411" i="13" l="1"/>
  <c r="J411" i="13" s="1"/>
  <c r="N411" i="13" s="1"/>
  <c r="L411" i="13" l="1"/>
  <c r="M411" i="13"/>
  <c r="T411" i="13" s="1"/>
  <c r="I412" i="13" l="1"/>
  <c r="O412" i="13" s="1"/>
  <c r="AA412" i="13" l="1"/>
  <c r="AB409" i="13"/>
  <c r="K412" i="13"/>
  <c r="P412" i="13" s="1"/>
  <c r="Q412" i="13" s="1"/>
  <c r="J412" i="13" s="1"/>
  <c r="R412" i="13" l="1"/>
  <c r="M412" i="13"/>
  <c r="T412" i="13" s="1"/>
  <c r="N412" i="13"/>
  <c r="L412" i="13"/>
  <c r="I413" i="13" l="1"/>
  <c r="O413" i="13" s="1"/>
  <c r="AA413" i="13" l="1"/>
  <c r="AB410" i="13"/>
  <c r="K413" i="13"/>
  <c r="P413" i="13" s="1"/>
  <c r="R413" i="13" l="1"/>
  <c r="Q413" i="13"/>
  <c r="J413" i="13" s="1"/>
  <c r="M413" i="13" l="1"/>
  <c r="T413" i="13" s="1"/>
  <c r="N413" i="13"/>
  <c r="L413" i="13"/>
  <c r="I414" i="13" l="1"/>
  <c r="O414" i="13" s="1"/>
  <c r="AA414" i="13" l="1"/>
  <c r="AB411" i="13"/>
  <c r="K414" i="13"/>
  <c r="P414" i="13" s="1"/>
  <c r="R414" i="13" l="1"/>
  <c r="Q414" i="13"/>
  <c r="J414" i="13" s="1"/>
  <c r="M414" i="13" l="1"/>
  <c r="T414" i="13" s="1"/>
  <c r="N414" i="13"/>
  <c r="L414" i="13"/>
  <c r="I415" i="13" l="1"/>
  <c r="O415" i="13" s="1"/>
  <c r="AA415" i="13" l="1"/>
  <c r="AB412" i="13"/>
  <c r="K415" i="13"/>
  <c r="P415" i="13" s="1"/>
  <c r="Q415" i="13" s="1"/>
  <c r="J415" i="13" s="1"/>
  <c r="N415" i="13" s="1"/>
  <c r="R415" i="13" l="1"/>
  <c r="L415" i="13"/>
  <c r="M415" i="13"/>
  <c r="T415" i="13" s="1"/>
  <c r="I416" i="13" l="1"/>
  <c r="O416" i="13" s="1"/>
  <c r="AA416" i="13" l="1"/>
  <c r="AB413" i="13"/>
  <c r="K416" i="13"/>
  <c r="P416" i="13" l="1"/>
  <c r="R416" i="13" l="1"/>
  <c r="Q416" i="13"/>
  <c r="J416" i="13" s="1"/>
  <c r="M416" i="13" l="1"/>
  <c r="T416" i="13" s="1"/>
  <c r="N416" i="13"/>
  <c r="L416" i="13"/>
  <c r="I417" i="13" l="1"/>
  <c r="O417" i="13" s="1"/>
  <c r="K417" i="13" l="1"/>
  <c r="P417" i="13" s="1"/>
  <c r="AA417" i="13"/>
  <c r="AB414" i="13"/>
  <c r="Q417" i="13" l="1"/>
  <c r="J417" i="13" s="1"/>
  <c r="R417" i="13"/>
  <c r="M417" i="13" l="1"/>
  <c r="T417" i="13" s="1"/>
  <c r="N417" i="13"/>
  <c r="L417" i="13"/>
  <c r="I418" i="13" l="1"/>
  <c r="O418" i="13" s="1"/>
  <c r="AA418" i="13" l="1"/>
  <c r="AB415" i="13"/>
  <c r="K418" i="13"/>
  <c r="P418" i="13" s="1"/>
  <c r="R418" i="13" l="1"/>
  <c r="Q418" i="13"/>
  <c r="J418" i="13" s="1"/>
  <c r="M418" i="13" l="1"/>
  <c r="T418" i="13" s="1"/>
  <c r="N418" i="13"/>
  <c r="L418" i="13"/>
  <c r="I419" i="13" l="1"/>
  <c r="O419" i="13" s="1"/>
  <c r="K419" i="13" l="1"/>
  <c r="P419" i="13" s="1"/>
  <c r="AA419" i="13"/>
  <c r="AB416" i="13"/>
  <c r="Q419" i="13" l="1"/>
  <c r="J419" i="13" s="1"/>
  <c r="R419" i="13"/>
  <c r="M419" i="13" l="1"/>
  <c r="T419" i="13" s="1"/>
  <c r="N419" i="13"/>
  <c r="L419" i="13"/>
  <c r="I420" i="13" l="1"/>
  <c r="O420" i="13" s="1"/>
  <c r="AA420" i="13" l="1"/>
  <c r="AB417" i="13"/>
  <c r="K420" i="13"/>
  <c r="P420" i="13" s="1"/>
  <c r="Q420" i="13" s="1"/>
  <c r="J420" i="13" s="1"/>
  <c r="N420" i="13" s="1"/>
  <c r="R420" i="13" l="1"/>
  <c r="L420" i="13"/>
  <c r="M420" i="13"/>
  <c r="T420" i="13" s="1"/>
  <c r="I421" i="13" l="1"/>
  <c r="O421" i="13" s="1"/>
  <c r="AA421" i="13" l="1"/>
  <c r="AB418" i="13"/>
  <c r="K421" i="13"/>
  <c r="P421" i="13" l="1"/>
  <c r="Q421" i="13" l="1"/>
  <c r="J421" i="13" s="1"/>
  <c r="R421" i="13"/>
  <c r="M421" i="13" l="1"/>
  <c r="T421" i="13" s="1"/>
  <c r="N421" i="13"/>
  <c r="L421" i="13"/>
  <c r="I422" i="13" l="1"/>
  <c r="O422" i="13" s="1"/>
  <c r="AA422" i="13" l="1"/>
  <c r="AB419" i="13"/>
  <c r="K422" i="13"/>
  <c r="P422" i="13" s="1"/>
  <c r="R422" i="13" s="1"/>
  <c r="Q422" i="13" l="1"/>
  <c r="J422" i="13" s="1"/>
  <c r="L422" i="13" s="1"/>
  <c r="N422" i="13" l="1"/>
  <c r="M422" i="13"/>
  <c r="T422" i="13" s="1"/>
  <c r="I423" i="13" l="1"/>
  <c r="O423" i="13" s="1"/>
  <c r="K423" i="13" l="1"/>
  <c r="P423" i="13" s="1"/>
  <c r="AA423" i="13"/>
  <c r="AB420" i="13"/>
  <c r="Q423" i="13" l="1"/>
  <c r="J423" i="13" s="1"/>
  <c r="R423" i="13"/>
  <c r="N423" i="13" l="1"/>
  <c r="M423" i="13"/>
  <c r="T423" i="13" s="1"/>
  <c r="L423" i="13"/>
  <c r="I424" i="13" l="1"/>
  <c r="O424" i="13" s="1"/>
  <c r="AA424" i="13" l="1"/>
  <c r="AB421" i="13"/>
  <c r="K424" i="13"/>
  <c r="P424" i="13" s="1"/>
  <c r="Q424" i="13" l="1"/>
  <c r="J424" i="13" s="1"/>
  <c r="R424" i="13"/>
  <c r="N424" i="13" l="1"/>
  <c r="M424" i="13"/>
  <c r="T424" i="13" s="1"/>
  <c r="L424" i="13"/>
  <c r="I425" i="13" l="1"/>
  <c r="O425" i="13" s="1"/>
  <c r="AA425" i="13" l="1"/>
  <c r="AB422" i="13"/>
  <c r="K425" i="13"/>
  <c r="P425" i="13" s="1"/>
  <c r="Q425" i="13" l="1"/>
  <c r="J425" i="13" s="1"/>
  <c r="R425" i="13"/>
  <c r="N425" i="13" l="1"/>
  <c r="M425" i="13"/>
  <c r="T425" i="13" s="1"/>
  <c r="L425" i="13"/>
  <c r="I426" i="13" l="1"/>
  <c r="O426" i="13" s="1"/>
  <c r="AA426" i="13" l="1"/>
  <c r="AB423" i="13"/>
  <c r="K426" i="13"/>
  <c r="P426" i="13" s="1"/>
  <c r="Q426" i="13" s="1"/>
  <c r="J426" i="13" s="1"/>
  <c r="L426" i="13" s="1"/>
  <c r="R426" i="13" l="1"/>
  <c r="N426" i="13"/>
  <c r="M426" i="13"/>
  <c r="T426" i="13" s="1"/>
  <c r="I427" i="13" l="1"/>
  <c r="O427" i="13" s="1"/>
  <c r="AA427" i="13" l="1"/>
  <c r="AB424" i="13"/>
  <c r="K427" i="13"/>
  <c r="P427" i="13" s="1"/>
  <c r="R427" i="13" l="1"/>
  <c r="Q427" i="13"/>
  <c r="J427" i="13" s="1"/>
  <c r="N427" i="13" l="1"/>
  <c r="M427" i="13"/>
  <c r="T427" i="13" s="1"/>
  <c r="L427" i="13"/>
  <c r="I428" i="13" l="1"/>
  <c r="O428" i="13" s="1"/>
  <c r="AA428" i="13" l="1"/>
  <c r="AB425" i="13"/>
  <c r="K428" i="13"/>
  <c r="P428" i="13" s="1"/>
  <c r="R428" i="13" l="1"/>
  <c r="Q428" i="13"/>
  <c r="J428" i="13" s="1"/>
  <c r="N428" i="13" l="1"/>
  <c r="M428" i="13"/>
  <c r="T428" i="13" s="1"/>
  <c r="L428" i="13"/>
  <c r="I429" i="13" l="1"/>
  <c r="O429" i="13" s="1"/>
  <c r="AA429" i="13" l="1"/>
  <c r="AB426" i="13"/>
  <c r="K429" i="13"/>
  <c r="P429" i="13" s="1"/>
  <c r="Q429" i="13" s="1"/>
  <c r="J429" i="13" s="1"/>
  <c r="N429" i="13" s="1"/>
  <c r="R429" i="13" l="1"/>
  <c r="L429" i="13"/>
  <c r="M429" i="13"/>
  <c r="T429" i="13" s="1"/>
  <c r="I430" i="13" l="1"/>
  <c r="O430" i="13" s="1"/>
  <c r="AA430" i="13" l="1"/>
  <c r="AB427" i="13"/>
  <c r="K430" i="13"/>
  <c r="P430" i="13" s="1"/>
  <c r="Q430" i="13" l="1"/>
  <c r="J430" i="13" s="1"/>
  <c r="R430" i="13"/>
  <c r="N430" i="13" l="1"/>
  <c r="M430" i="13"/>
  <c r="T430" i="13" s="1"/>
  <c r="L430" i="13"/>
  <c r="I431" i="13" l="1"/>
  <c r="O431" i="13" s="1"/>
  <c r="AA431" i="13" l="1"/>
  <c r="AB428" i="13"/>
  <c r="K431" i="13"/>
  <c r="P431" i="13" s="1"/>
  <c r="Q431" i="13" l="1"/>
  <c r="J431" i="13" s="1"/>
  <c r="R431" i="13"/>
  <c r="N431" i="13" l="1"/>
  <c r="M431" i="13"/>
  <c r="T431" i="13" s="1"/>
  <c r="L431" i="13"/>
  <c r="I432" i="13" l="1"/>
  <c r="O432" i="13" s="1"/>
  <c r="AA432" i="13" l="1"/>
  <c r="AB429" i="13"/>
  <c r="K432" i="13"/>
  <c r="P432" i="13" s="1"/>
  <c r="Q432" i="13" s="1"/>
  <c r="J432" i="13" s="1"/>
  <c r="R432" i="13" l="1"/>
  <c r="L432" i="13"/>
  <c r="M432" i="13"/>
  <c r="T432" i="13" s="1"/>
  <c r="N432" i="13"/>
  <c r="I433" i="13" l="1"/>
  <c r="O433" i="13" s="1"/>
  <c r="AA433" i="13" l="1"/>
  <c r="AB430" i="13"/>
  <c r="K433" i="13"/>
  <c r="P433" i="13" s="1"/>
  <c r="R433" i="13" l="1"/>
  <c r="Q433" i="13"/>
  <c r="J433" i="13" s="1"/>
  <c r="L433" i="13" l="1"/>
  <c r="M433" i="13"/>
  <c r="T433" i="13" s="1"/>
  <c r="N433" i="13"/>
  <c r="I434" i="13" l="1"/>
  <c r="O434" i="13" s="1"/>
  <c r="AA434" i="13" l="1"/>
  <c r="AB431" i="13"/>
  <c r="K434" i="13"/>
  <c r="P434" i="13" l="1"/>
  <c r="Q434" i="13" l="1"/>
  <c r="J434" i="13" s="1"/>
  <c r="R434" i="13"/>
  <c r="N434" i="13" l="1"/>
  <c r="M434" i="13"/>
  <c r="T434" i="13" s="1"/>
  <c r="L434" i="13"/>
  <c r="I435" i="13" l="1"/>
  <c r="O435" i="13" s="1"/>
  <c r="AA435" i="13" l="1"/>
  <c r="AB432" i="13"/>
  <c r="K435" i="13"/>
  <c r="P435" i="13" s="1"/>
  <c r="Q435" i="13" l="1"/>
  <c r="J435" i="13" s="1"/>
  <c r="R435" i="13"/>
  <c r="N435" i="13" l="1"/>
  <c r="M435" i="13"/>
  <c r="T435" i="13" s="1"/>
  <c r="L435" i="13"/>
  <c r="I436" i="13" l="1"/>
  <c r="O436" i="13" s="1"/>
  <c r="AA436" i="13" l="1"/>
  <c r="AB433" i="13"/>
  <c r="K436" i="13"/>
  <c r="P436" i="13" s="1"/>
  <c r="Q436" i="13" l="1"/>
  <c r="J436" i="13" s="1"/>
  <c r="R436" i="13"/>
  <c r="N436" i="13" l="1"/>
  <c r="M436" i="13"/>
  <c r="T436" i="13" s="1"/>
  <c r="L436" i="13"/>
  <c r="I437" i="13" l="1"/>
  <c r="O437" i="13" s="1"/>
  <c r="AA437" i="13" l="1"/>
  <c r="AB434" i="13"/>
  <c r="K437" i="13"/>
  <c r="P437" i="13" s="1"/>
  <c r="R437" i="13" s="1"/>
  <c r="Q437" i="13" l="1"/>
  <c r="J437" i="13" s="1"/>
  <c r="M437" i="13" s="1"/>
  <c r="T437" i="13" s="1"/>
  <c r="N437" i="13" l="1"/>
  <c r="L437" i="13"/>
  <c r="I438" i="13" l="1"/>
  <c r="O438" i="13" s="1"/>
  <c r="AA438" i="13" l="1"/>
  <c r="AB435" i="13"/>
  <c r="K438" i="13"/>
  <c r="P438" i="13" s="1"/>
  <c r="Q438" i="13" l="1"/>
  <c r="J438" i="13" s="1"/>
  <c r="R438" i="13"/>
  <c r="N438" i="13" l="1"/>
  <c r="M438" i="13"/>
  <c r="T438" i="13" s="1"/>
  <c r="L438" i="13"/>
  <c r="I439" i="13" l="1"/>
  <c r="O439" i="13" s="1"/>
  <c r="AA439" i="13" l="1"/>
  <c r="AB436" i="13"/>
  <c r="K439" i="13"/>
  <c r="P439" i="13" s="1"/>
  <c r="Q439" i="13" s="1"/>
  <c r="J439" i="13" s="1"/>
  <c r="L439" i="13" l="1"/>
  <c r="R439" i="13"/>
  <c r="N439" i="13"/>
  <c r="M439" i="13"/>
  <c r="T439" i="13" s="1"/>
  <c r="I440" i="13" l="1"/>
  <c r="O440" i="13" s="1"/>
  <c r="AA440" i="13" l="1"/>
  <c r="AB437" i="13"/>
  <c r="K440" i="13"/>
  <c r="P440" i="13" s="1"/>
  <c r="R440" i="13" l="1"/>
  <c r="Q440" i="13"/>
  <c r="J440" i="13" s="1"/>
  <c r="N440" i="13" l="1"/>
  <c r="M440" i="13"/>
  <c r="T440" i="13" s="1"/>
  <c r="L440" i="13"/>
  <c r="I441" i="13" l="1"/>
  <c r="O441" i="13" s="1"/>
  <c r="AA441" i="13" l="1"/>
  <c r="AB438" i="13"/>
  <c r="K441" i="13"/>
  <c r="P441" i="13" s="1"/>
  <c r="R441" i="13" l="1"/>
  <c r="Q441" i="13"/>
  <c r="J441" i="13" s="1"/>
  <c r="M441" i="13" l="1"/>
  <c r="T441" i="13" s="1"/>
  <c r="N441" i="13"/>
  <c r="L441" i="13"/>
  <c r="I442" i="13" l="1"/>
  <c r="O442" i="13" s="1"/>
  <c r="K442" i="13" l="1"/>
  <c r="P442" i="13" s="1"/>
  <c r="AA442" i="13"/>
  <c r="AB439" i="13"/>
  <c r="R442" i="13" l="1"/>
  <c r="Q442" i="13"/>
  <c r="J442" i="13" s="1"/>
  <c r="M442" i="13" l="1"/>
  <c r="T442" i="13" s="1"/>
  <c r="N442" i="13"/>
  <c r="L442" i="13"/>
  <c r="I443" i="13" l="1"/>
  <c r="O443" i="13" s="1"/>
  <c r="K443" i="13" l="1"/>
  <c r="P443" i="13" s="1"/>
  <c r="AA443" i="13"/>
  <c r="AB440" i="13"/>
  <c r="Q443" i="13" l="1"/>
  <c r="J443" i="13" s="1"/>
  <c r="R443" i="13"/>
  <c r="M443" i="13" l="1"/>
  <c r="T443" i="13" s="1"/>
  <c r="N443" i="13"/>
  <c r="L443" i="13"/>
  <c r="I444" i="13" l="1"/>
  <c r="O444" i="13" s="1"/>
  <c r="AA444" i="13" l="1"/>
  <c r="AB441" i="13"/>
  <c r="K444" i="13"/>
  <c r="P444" i="13" s="1"/>
  <c r="Q444" i="13" s="1"/>
  <c r="J444" i="13" s="1"/>
  <c r="N444" i="13" s="1"/>
  <c r="R444" i="13" l="1"/>
  <c r="L444" i="13"/>
  <c r="M444" i="13"/>
  <c r="T444" i="13" s="1"/>
  <c r="I445" i="13" l="1"/>
  <c r="O445" i="13" s="1"/>
  <c r="AA445" i="13" l="1"/>
  <c r="AB442" i="13"/>
  <c r="K445" i="13"/>
  <c r="P445" i="13" l="1"/>
  <c r="R445" i="13" l="1"/>
  <c r="Q445" i="13"/>
  <c r="J445" i="13" s="1"/>
  <c r="N445" i="13" l="1"/>
  <c r="M445" i="13"/>
  <c r="T445" i="13" s="1"/>
  <c r="L445" i="13"/>
  <c r="I446" i="13" l="1"/>
  <c r="O446" i="13" s="1"/>
  <c r="AA446" i="13" l="1"/>
  <c r="AB443" i="13"/>
  <c r="K446" i="13"/>
  <c r="P446" i="13" s="1"/>
  <c r="R446" i="13" l="1"/>
  <c r="Q446" i="13"/>
  <c r="J446" i="13" s="1"/>
  <c r="N446" i="13" l="1"/>
  <c r="M446" i="13"/>
  <c r="T446" i="13" s="1"/>
  <c r="L446" i="13"/>
  <c r="I447" i="13" l="1"/>
  <c r="O447" i="13" s="1"/>
  <c r="AA447" i="13" l="1"/>
  <c r="AB444" i="13"/>
  <c r="K447" i="13"/>
  <c r="P447" i="13" s="1"/>
  <c r="R447" i="13" l="1"/>
  <c r="Q447" i="13"/>
  <c r="J447" i="13" s="1"/>
  <c r="N447" i="13" l="1"/>
  <c r="M447" i="13"/>
  <c r="T447" i="13" s="1"/>
  <c r="L447" i="13"/>
  <c r="I448" i="13" l="1"/>
  <c r="O448" i="13" s="1"/>
  <c r="AA448" i="13" l="1"/>
  <c r="AB445" i="13"/>
  <c r="K448" i="13"/>
  <c r="P448" i="13" s="1"/>
  <c r="Q448" i="13" l="1"/>
  <c r="J448" i="13" s="1"/>
  <c r="R448" i="13"/>
  <c r="N448" i="13" l="1"/>
  <c r="M448" i="13"/>
  <c r="T448" i="13" s="1"/>
  <c r="L448" i="13"/>
  <c r="I449" i="13" l="1"/>
  <c r="O449" i="13" s="1"/>
  <c r="AA449" i="13" l="1"/>
  <c r="AB446" i="13"/>
  <c r="K449" i="13"/>
  <c r="P449" i="13" s="1"/>
  <c r="R449" i="13" s="1"/>
  <c r="Q449" i="13" l="1"/>
  <c r="J449" i="13" s="1"/>
  <c r="L449" i="13" s="1"/>
  <c r="N449" i="13" l="1"/>
  <c r="M449" i="13"/>
  <c r="T449" i="13" s="1"/>
  <c r="I450" i="13" l="1"/>
  <c r="O450" i="13" s="1"/>
  <c r="AA450" i="13" l="1"/>
  <c r="AB447" i="13"/>
  <c r="K450" i="13"/>
  <c r="P450" i="13" s="1"/>
  <c r="Q450" i="13" l="1"/>
  <c r="J450" i="13" s="1"/>
  <c r="R450" i="13"/>
  <c r="M450" i="13" l="1"/>
  <c r="T450" i="13" s="1"/>
  <c r="N450" i="13"/>
  <c r="L450" i="13"/>
  <c r="I451" i="13" l="1"/>
  <c r="O451" i="13" s="1"/>
  <c r="AA451" i="13" l="1"/>
  <c r="AB448" i="13"/>
  <c r="K451" i="13"/>
  <c r="P451" i="13" s="1"/>
  <c r="Q451" i="13" l="1"/>
  <c r="J451" i="13" s="1"/>
  <c r="R451" i="13"/>
  <c r="M451" i="13" l="1"/>
  <c r="T451" i="13" s="1"/>
  <c r="N451" i="13"/>
  <c r="L451" i="13"/>
  <c r="I452" i="13" l="1"/>
  <c r="O452" i="13" s="1"/>
  <c r="AA452" i="13" l="1"/>
  <c r="AB449" i="13"/>
  <c r="K452" i="13"/>
  <c r="P452" i="13" s="1"/>
  <c r="R452" i="13" l="1"/>
  <c r="Q452" i="13"/>
  <c r="J452" i="13" s="1"/>
  <c r="M452" i="13" l="1"/>
  <c r="T452" i="13" s="1"/>
  <c r="N452" i="13"/>
  <c r="L452" i="13"/>
  <c r="I453" i="13" l="1"/>
  <c r="O453" i="13" s="1"/>
  <c r="AA453" i="13" l="1"/>
  <c r="AB450" i="13"/>
  <c r="K453" i="13"/>
  <c r="P453" i="13" s="1"/>
  <c r="Q453" i="13" s="1"/>
  <c r="J453" i="13" s="1"/>
  <c r="R453" i="13" l="1"/>
  <c r="L453" i="13"/>
  <c r="M453" i="13"/>
  <c r="T453" i="13" s="1"/>
  <c r="N453" i="13"/>
  <c r="I454" i="13" l="1"/>
  <c r="O454" i="13" s="1"/>
  <c r="AA454" i="13" l="1"/>
  <c r="AB451" i="13"/>
  <c r="K454" i="13"/>
  <c r="P454" i="13" l="1"/>
  <c r="R454" i="13" l="1"/>
  <c r="Q454" i="13"/>
  <c r="J454" i="13" s="1"/>
  <c r="M454" i="13" l="1"/>
  <c r="T454" i="13" s="1"/>
  <c r="N454" i="13"/>
  <c r="L454" i="13"/>
  <c r="I455" i="13" l="1"/>
  <c r="O455" i="13" s="1"/>
  <c r="AA455" i="13" l="1"/>
  <c r="AB452" i="13"/>
  <c r="K455" i="13"/>
  <c r="P455" i="13" s="1"/>
  <c r="R455" i="13" l="1"/>
  <c r="Q455" i="13"/>
  <c r="J455" i="13" s="1"/>
  <c r="M455" i="13" l="1"/>
  <c r="T455" i="13" s="1"/>
  <c r="N455" i="13"/>
  <c r="L455" i="13"/>
  <c r="I456" i="13" l="1"/>
  <c r="O456" i="13" s="1"/>
  <c r="K456" i="13" l="1"/>
  <c r="P456" i="13" s="1"/>
  <c r="AA456" i="13"/>
  <c r="AB453" i="13"/>
  <c r="R456" i="13" l="1"/>
  <c r="Q456" i="13"/>
  <c r="J456" i="13" s="1"/>
  <c r="M456" i="13" l="1"/>
  <c r="T456" i="13" s="1"/>
  <c r="N456" i="13"/>
  <c r="L456" i="13"/>
  <c r="I457" i="13" l="1"/>
  <c r="O457" i="13" s="1"/>
  <c r="K457" i="13" l="1"/>
  <c r="P457" i="13" s="1"/>
  <c r="AA457" i="13"/>
  <c r="AB454" i="13"/>
  <c r="Q457" i="13" l="1"/>
  <c r="J457" i="13" s="1"/>
  <c r="R457" i="13"/>
  <c r="M457" i="13" l="1"/>
  <c r="T457" i="13" s="1"/>
  <c r="N457" i="13"/>
  <c r="L457" i="13"/>
  <c r="I458" i="13" l="1"/>
  <c r="O458" i="13" s="1"/>
  <c r="AA458" i="13" l="1"/>
  <c r="AB455" i="13"/>
  <c r="K458" i="13"/>
  <c r="P458" i="13" s="1"/>
  <c r="R458" i="13" l="1"/>
  <c r="Q458" i="13"/>
  <c r="J458" i="13" s="1"/>
  <c r="M458" i="13" l="1"/>
  <c r="T458" i="13" s="1"/>
  <c r="N458" i="13"/>
  <c r="L458" i="13"/>
  <c r="I459" i="13" l="1"/>
  <c r="O459" i="13" s="1"/>
  <c r="K459" i="13" l="1"/>
  <c r="P459" i="13" s="1"/>
  <c r="AA459" i="13"/>
  <c r="AB456" i="13"/>
  <c r="R459" i="13" l="1"/>
  <c r="Q459" i="13"/>
  <c r="J459" i="13" s="1"/>
  <c r="M459" i="13" l="1"/>
  <c r="T459" i="13" s="1"/>
  <c r="N459" i="13"/>
  <c r="L459" i="13"/>
  <c r="I460" i="13" l="1"/>
  <c r="O460" i="13" s="1"/>
  <c r="AA460" i="13" l="1"/>
  <c r="AB457" i="13"/>
  <c r="K460" i="13"/>
  <c r="P460" i="13" s="1"/>
  <c r="R460" i="13" s="1"/>
  <c r="Q460" i="13" l="1"/>
  <c r="J460" i="13" s="1"/>
  <c r="N460" i="13" s="1"/>
  <c r="M460" i="13" l="1"/>
  <c r="T460" i="13" s="1"/>
  <c r="L460" i="13"/>
  <c r="I461" i="13" l="1"/>
  <c r="O461" i="13" s="1"/>
  <c r="AA461" i="13" l="1"/>
  <c r="AB458" i="13"/>
  <c r="K461" i="13"/>
  <c r="P461" i="13" s="1"/>
  <c r="R461" i="13" s="1"/>
  <c r="Q461" i="13" l="1"/>
  <c r="J461" i="13" s="1"/>
  <c r="L461" i="13" s="1"/>
  <c r="M461" i="13" l="1"/>
  <c r="T461" i="13" s="1"/>
  <c r="N461" i="13"/>
  <c r="I462" i="13" l="1"/>
  <c r="O462" i="13" s="1"/>
  <c r="K462" i="13" l="1"/>
  <c r="P462" i="13" s="1"/>
  <c r="R462" i="13" s="1"/>
  <c r="AA462" i="13"/>
  <c r="AB459" i="13"/>
  <c r="Q462" i="13" l="1"/>
  <c r="J462" i="13" s="1"/>
  <c r="M462" i="13" s="1"/>
  <c r="T462" i="13" s="1"/>
  <c r="N462" i="13" l="1"/>
  <c r="L462" i="13"/>
  <c r="I463" i="13" l="1"/>
  <c r="O463" i="13" s="1"/>
  <c r="AA463" i="13" s="1"/>
  <c r="AB460" i="13" l="1"/>
  <c r="K463" i="13"/>
  <c r="P463" i="13" s="1"/>
  <c r="Q463" i="13" s="1"/>
  <c r="J463" i="13" s="1"/>
  <c r="R463" i="13" l="1"/>
  <c r="M463" i="13"/>
  <c r="T463" i="13" s="1"/>
  <c r="N463" i="13"/>
  <c r="L463" i="13"/>
  <c r="I464" i="13" l="1"/>
  <c r="O464" i="13" s="1"/>
  <c r="AA464" i="13" l="1"/>
  <c r="AB461" i="13"/>
  <c r="K464" i="13"/>
  <c r="P464" i="13" s="1"/>
  <c r="Q464" i="13" l="1"/>
  <c r="J464" i="13" s="1"/>
  <c r="R464" i="13"/>
  <c r="N464" i="13" l="1"/>
  <c r="M464" i="13"/>
  <c r="T464" i="13" s="1"/>
  <c r="L464" i="13"/>
  <c r="I465" i="13" l="1"/>
  <c r="O465" i="13" s="1"/>
  <c r="AA465" i="13" l="1"/>
  <c r="AB462" i="13"/>
  <c r="K465" i="13"/>
  <c r="P465" i="13" s="1"/>
  <c r="R465" i="13" s="1"/>
  <c r="Q465" i="13" l="1"/>
  <c r="J465" i="13" s="1"/>
  <c r="L465" i="13" s="1"/>
  <c r="M465" i="13" l="1"/>
  <c r="T465" i="13" s="1"/>
  <c r="N465" i="13"/>
  <c r="I466" i="13" l="1"/>
  <c r="O466" i="13" s="1"/>
  <c r="AA466" i="13" l="1"/>
  <c r="AB463" i="13"/>
  <c r="K466" i="13"/>
  <c r="P466" i="13" s="1"/>
  <c r="Q466" i="13" s="1"/>
  <c r="J466" i="13" s="1"/>
  <c r="R466" i="13" l="1"/>
  <c r="N466" i="13"/>
  <c r="M466" i="13"/>
  <c r="T466" i="13" s="1"/>
  <c r="L466" i="13"/>
  <c r="I467" i="13" l="1"/>
  <c r="O467" i="13" s="1"/>
  <c r="AA467" i="13" l="1"/>
  <c r="AB464" i="13"/>
  <c r="K467" i="13"/>
  <c r="P467" i="13" s="1"/>
  <c r="Q467" i="13" s="1"/>
  <c r="J467" i="13" s="1"/>
  <c r="R467" i="13" l="1"/>
  <c r="L467" i="13"/>
  <c r="M467" i="13"/>
  <c r="T467" i="13" s="1"/>
  <c r="N467" i="13"/>
  <c r="I468" i="13" l="1"/>
  <c r="O468" i="13" s="1"/>
  <c r="AA468" i="13" l="1"/>
  <c r="AB465" i="13"/>
  <c r="K468" i="13"/>
  <c r="P468" i="13" l="1"/>
  <c r="R468" i="13" l="1"/>
  <c r="Q468" i="13"/>
  <c r="J468" i="13" s="1"/>
  <c r="M468" i="13" l="1"/>
  <c r="T468" i="13" s="1"/>
  <c r="N468" i="13"/>
  <c r="L468" i="13"/>
  <c r="I469" i="13" l="1"/>
  <c r="O469" i="13" s="1"/>
  <c r="AA469" i="13" l="1"/>
  <c r="AB466" i="13"/>
  <c r="K469" i="13"/>
  <c r="P469" i="13" s="1"/>
  <c r="Q469" i="13" l="1"/>
  <c r="J469" i="13" s="1"/>
  <c r="R469" i="13"/>
  <c r="M469" i="13" l="1"/>
  <c r="T469" i="13" s="1"/>
  <c r="N469" i="13"/>
  <c r="L469" i="13"/>
  <c r="I470" i="13" l="1"/>
  <c r="O470" i="13" s="1"/>
  <c r="AA470" i="13" l="1"/>
  <c r="AB467" i="13"/>
  <c r="K470" i="13"/>
  <c r="P470" i="13" s="1"/>
  <c r="Q470" i="13" l="1"/>
  <c r="J470" i="13" s="1"/>
  <c r="R470" i="13"/>
  <c r="N470" i="13" l="1"/>
  <c r="M470" i="13"/>
  <c r="T470" i="13" s="1"/>
  <c r="L470" i="13"/>
  <c r="I471" i="13" l="1"/>
  <c r="O471" i="13" s="1"/>
  <c r="AA471" i="13" l="1"/>
  <c r="AB468" i="13"/>
  <c r="K471" i="13"/>
  <c r="P471" i="13" s="1"/>
  <c r="R471" i="13" l="1"/>
  <c r="Q471" i="13"/>
  <c r="J471" i="13" s="1"/>
  <c r="N471" i="13" l="1"/>
  <c r="M471" i="13"/>
  <c r="T471" i="13" s="1"/>
  <c r="L471" i="13"/>
  <c r="I472" i="13" l="1"/>
  <c r="O472" i="13" s="1"/>
  <c r="AA472" i="13" l="1"/>
  <c r="AB469" i="13"/>
  <c r="K472" i="13"/>
  <c r="P472" i="13" s="1"/>
  <c r="Q472" i="13" l="1"/>
  <c r="J472" i="13" s="1"/>
  <c r="R472" i="13"/>
  <c r="M472" i="13" l="1"/>
  <c r="T472" i="13" s="1"/>
  <c r="N472" i="13"/>
  <c r="L472" i="13"/>
  <c r="I473" i="13" l="1"/>
  <c r="O473" i="13" s="1"/>
  <c r="AA473" i="13" l="1"/>
  <c r="AB470" i="13"/>
  <c r="K473" i="13"/>
  <c r="P473" i="13" s="1"/>
  <c r="R473" i="13" s="1"/>
  <c r="Q473" i="13" l="1"/>
  <c r="J473" i="13" s="1"/>
  <c r="N473" i="13" s="1"/>
  <c r="L473" i="13" l="1"/>
  <c r="M473" i="13"/>
  <c r="T473" i="13" s="1"/>
  <c r="I474" i="13" l="1"/>
  <c r="O474" i="13" s="1"/>
  <c r="AA474" i="13" l="1"/>
  <c r="AB471" i="13"/>
  <c r="K474" i="13"/>
  <c r="P474" i="13" s="1"/>
  <c r="Q474" i="13" l="1"/>
  <c r="J474" i="13" s="1"/>
  <c r="R474" i="13"/>
  <c r="M474" i="13" l="1"/>
  <c r="T474" i="13" s="1"/>
  <c r="N474" i="13"/>
  <c r="L474" i="13"/>
  <c r="I475" i="13" l="1"/>
  <c r="O475" i="13" s="1"/>
  <c r="AA475" i="13" l="1"/>
  <c r="AB472" i="13"/>
  <c r="K475" i="13"/>
  <c r="P475" i="13" s="1"/>
  <c r="Q475" i="13" l="1"/>
  <c r="J475" i="13" s="1"/>
  <c r="R475" i="13"/>
  <c r="M475" i="13" l="1"/>
  <c r="T475" i="13" s="1"/>
  <c r="L475" i="13"/>
  <c r="N475" i="13"/>
  <c r="I476" i="13" l="1"/>
  <c r="O476" i="13" s="1"/>
  <c r="AA476" i="13" l="1"/>
  <c r="AB473" i="13"/>
  <c r="K476" i="13"/>
  <c r="P476" i="13" s="1"/>
  <c r="R476" i="13" l="1"/>
  <c r="Q476" i="13"/>
  <c r="J476" i="13" s="1"/>
  <c r="M476" i="13" l="1"/>
  <c r="T476" i="13" s="1"/>
  <c r="N476" i="13"/>
  <c r="L476" i="13"/>
  <c r="I477" i="13" l="1"/>
  <c r="O477" i="13" s="1"/>
  <c r="AA477" i="13" l="1"/>
  <c r="AB474" i="13"/>
  <c r="K477" i="13"/>
  <c r="P477" i="13" s="1"/>
  <c r="Q477" i="13" s="1"/>
  <c r="J477" i="13" s="1"/>
  <c r="N477" i="13" s="1"/>
  <c r="R477" i="13" l="1"/>
  <c r="L477" i="13"/>
  <c r="M477" i="13"/>
  <c r="T477" i="13" s="1"/>
  <c r="I478" i="13" l="1"/>
  <c r="O478" i="13" s="1"/>
  <c r="AA478" i="13" l="1"/>
  <c r="AB475" i="13"/>
  <c r="K478" i="13"/>
  <c r="P478" i="13" s="1"/>
  <c r="Q478" i="13" l="1"/>
  <c r="J478" i="13" s="1"/>
  <c r="R478" i="13"/>
  <c r="M478" i="13" l="1"/>
  <c r="T478" i="13" s="1"/>
  <c r="N478" i="13"/>
  <c r="L478" i="13"/>
  <c r="I479" i="13" l="1"/>
  <c r="O479" i="13" s="1"/>
  <c r="AA479" i="13" l="1"/>
  <c r="AB476" i="13"/>
  <c r="K479" i="13"/>
  <c r="P479" i="13" s="1"/>
  <c r="R479" i="13" l="1"/>
  <c r="Q479" i="13"/>
  <c r="J479" i="13" s="1"/>
  <c r="M479" i="13" l="1"/>
  <c r="T479" i="13" s="1"/>
  <c r="N479" i="13"/>
  <c r="L479" i="13"/>
  <c r="I480" i="13" l="1"/>
  <c r="O480" i="13" s="1"/>
  <c r="AA480" i="13" l="1"/>
  <c r="AB477" i="13"/>
  <c r="K480" i="13"/>
  <c r="P480" i="13" s="1"/>
  <c r="Q480" i="13" l="1"/>
  <c r="J480" i="13" s="1"/>
  <c r="R480" i="13"/>
  <c r="M480" i="13" l="1"/>
  <c r="T480" i="13" s="1"/>
  <c r="N480" i="13"/>
  <c r="L480" i="13"/>
  <c r="I481" i="13" l="1"/>
  <c r="O481" i="13" s="1"/>
  <c r="AA481" i="13" l="1"/>
  <c r="AB478" i="13"/>
  <c r="K481" i="13"/>
  <c r="P481" i="13" s="1"/>
  <c r="R481" i="13" l="1"/>
  <c r="Q481" i="13"/>
  <c r="J481" i="13" s="1"/>
  <c r="N481" i="13" l="1"/>
  <c r="M481" i="13"/>
  <c r="T481" i="13" s="1"/>
  <c r="L481" i="13"/>
  <c r="I482" i="13" l="1"/>
  <c r="O482" i="13" s="1"/>
  <c r="AA482" i="13" l="1"/>
  <c r="AB479" i="13"/>
  <c r="K482" i="13"/>
  <c r="P482" i="13" s="1"/>
  <c r="R482" i="13" l="1"/>
  <c r="Q482" i="13"/>
  <c r="J482" i="13" s="1"/>
  <c r="N482" i="13" l="1"/>
  <c r="M482" i="13"/>
  <c r="T482" i="13" s="1"/>
  <c r="L482" i="13"/>
  <c r="I483" i="13" l="1"/>
  <c r="O483" i="13" s="1"/>
  <c r="AA483" i="13" l="1"/>
  <c r="AB480" i="13"/>
  <c r="K483" i="13"/>
  <c r="P483" i="13" s="1"/>
  <c r="Q483" i="13" l="1"/>
  <c r="J483" i="13" s="1"/>
  <c r="R483" i="13"/>
  <c r="N483" i="13" l="1"/>
  <c r="M483" i="13"/>
  <c r="T483" i="13" s="1"/>
  <c r="L483" i="13"/>
  <c r="I484" i="13" l="1"/>
  <c r="O484" i="13" s="1"/>
  <c r="AA484" i="13" l="1"/>
  <c r="AB481" i="13"/>
  <c r="K484" i="13"/>
  <c r="P484" i="13" s="1"/>
  <c r="Q484" i="13" l="1"/>
  <c r="J484" i="13" s="1"/>
  <c r="R484" i="13"/>
  <c r="M484" i="13" l="1"/>
  <c r="T484" i="13" s="1"/>
  <c r="N484" i="13"/>
  <c r="L484" i="13"/>
  <c r="I485" i="13" l="1"/>
  <c r="O485" i="13" s="1"/>
  <c r="AA485" i="13" l="1"/>
  <c r="AB482" i="13"/>
  <c r="K485" i="13"/>
  <c r="P485" i="13" s="1"/>
  <c r="R485" i="13" l="1"/>
  <c r="Q485" i="13"/>
  <c r="J485" i="13" s="1"/>
  <c r="M485" i="13" l="1"/>
  <c r="T485" i="13" s="1"/>
  <c r="N485" i="13"/>
  <c r="L485" i="13"/>
  <c r="I486" i="13" l="1"/>
  <c r="O486" i="13" s="1"/>
  <c r="AA486" i="13" l="1"/>
  <c r="AB483" i="13"/>
  <c r="K486" i="13"/>
  <c r="P486" i="13" s="1"/>
  <c r="Q486" i="13" l="1"/>
  <c r="J486" i="13" s="1"/>
  <c r="R486" i="13"/>
  <c r="M486" i="13" l="1"/>
  <c r="T486" i="13" s="1"/>
  <c r="N486" i="13"/>
  <c r="L486" i="13"/>
  <c r="I487" i="13" l="1"/>
  <c r="O487" i="13" s="1"/>
  <c r="AA487" i="13" l="1"/>
  <c r="AB484" i="13"/>
  <c r="K487" i="13"/>
  <c r="P487" i="13" s="1"/>
  <c r="R487" i="13" l="1"/>
  <c r="Q487" i="13"/>
  <c r="J487" i="13" s="1"/>
  <c r="N487" i="13" l="1"/>
  <c r="M487" i="13"/>
  <c r="T487" i="13" s="1"/>
  <c r="L487" i="13"/>
  <c r="I488" i="13" l="1"/>
  <c r="O488" i="13" s="1"/>
  <c r="AA488" i="13" l="1"/>
  <c r="AB485" i="13"/>
  <c r="K488" i="13"/>
  <c r="P488" i="13" s="1"/>
  <c r="Q488" i="13" l="1"/>
  <c r="J488" i="13" s="1"/>
  <c r="R488" i="13"/>
  <c r="M488" i="13" l="1"/>
  <c r="T488" i="13" s="1"/>
  <c r="N488" i="13"/>
  <c r="L488" i="13"/>
  <c r="I489" i="13" l="1"/>
  <c r="O489" i="13" s="1"/>
  <c r="AA489" i="13" l="1"/>
  <c r="AB486" i="13"/>
  <c r="K489" i="13"/>
  <c r="P489" i="13" s="1"/>
  <c r="R489" i="13" l="1"/>
  <c r="Q489" i="13"/>
  <c r="J489" i="13" s="1"/>
  <c r="M489" i="13" l="1"/>
  <c r="T489" i="13" s="1"/>
  <c r="N489" i="13"/>
  <c r="L489" i="13"/>
  <c r="I490" i="13" l="1"/>
  <c r="O490" i="13" s="1"/>
  <c r="AA490" i="13" l="1"/>
  <c r="AB487" i="13"/>
  <c r="K490" i="13"/>
  <c r="P490" i="13" s="1"/>
  <c r="R490" i="13" l="1"/>
  <c r="Q490" i="13"/>
  <c r="J490" i="13" s="1"/>
  <c r="N490" i="13" l="1"/>
  <c r="M490" i="13"/>
  <c r="T490" i="13" s="1"/>
  <c r="L490" i="13"/>
  <c r="I491" i="13" l="1"/>
  <c r="O491" i="13" s="1"/>
  <c r="AA491" i="13" l="1"/>
  <c r="AB488" i="13"/>
  <c r="K491" i="13"/>
  <c r="P491" i="13" s="1"/>
  <c r="Q491" i="13" l="1"/>
  <c r="J491" i="13" s="1"/>
  <c r="R491" i="13"/>
  <c r="M491" i="13" l="1"/>
  <c r="T491" i="13" s="1"/>
  <c r="N491" i="13"/>
  <c r="L491" i="13"/>
  <c r="I492" i="13" l="1"/>
  <c r="O492" i="13" s="1"/>
  <c r="AA492" i="13" l="1"/>
  <c r="AB489" i="13"/>
  <c r="K492" i="13"/>
  <c r="P492" i="13" s="1"/>
  <c r="R492" i="13" l="1"/>
  <c r="Q492" i="13"/>
  <c r="J492" i="13" s="1"/>
  <c r="M492" i="13" l="1"/>
  <c r="T492" i="13" s="1"/>
  <c r="N492" i="13"/>
  <c r="L492" i="13"/>
  <c r="I493" i="13" l="1"/>
  <c r="O493" i="13" s="1"/>
  <c r="AA493" i="13" l="1"/>
  <c r="AB490" i="13"/>
  <c r="K493" i="13"/>
  <c r="P493" i="13" s="1"/>
  <c r="R493" i="13" s="1"/>
  <c r="Q493" i="13" l="1"/>
  <c r="J493" i="13" s="1"/>
  <c r="L493" i="13" s="1"/>
  <c r="N493" i="13" l="1"/>
  <c r="M493" i="13"/>
  <c r="T493" i="13" s="1"/>
  <c r="I494" i="13" l="1"/>
  <c r="O494" i="13" s="1"/>
  <c r="K494" i="13" l="1"/>
  <c r="P494" i="13" s="1"/>
  <c r="Q494" i="13" s="1"/>
  <c r="J494" i="13" s="1"/>
  <c r="AA494" i="13"/>
  <c r="AB491" i="13"/>
  <c r="R494" i="13" l="1"/>
  <c r="L494" i="13"/>
  <c r="M494" i="13"/>
  <c r="T494" i="13" s="1"/>
  <c r="N494" i="13"/>
  <c r="I495" i="13" l="1"/>
  <c r="O495" i="13" s="1"/>
  <c r="AA495" i="13" l="1"/>
  <c r="AB492" i="13"/>
  <c r="K495" i="13"/>
  <c r="P495" i="13" l="1"/>
  <c r="R495" i="13" l="1"/>
  <c r="Q495" i="13"/>
  <c r="J495" i="13" s="1"/>
  <c r="M495" i="13" l="1"/>
  <c r="T495" i="13" s="1"/>
  <c r="N495" i="13"/>
  <c r="L495" i="13"/>
  <c r="I496" i="13" l="1"/>
  <c r="O496" i="13" s="1"/>
  <c r="K496" i="13" l="1"/>
  <c r="P496" i="13" s="1"/>
  <c r="AA496" i="13"/>
  <c r="AB493" i="13"/>
  <c r="Q496" i="13" l="1"/>
  <c r="J496" i="13" s="1"/>
  <c r="R496" i="13"/>
  <c r="M496" i="13" l="1"/>
  <c r="T496" i="13" s="1"/>
  <c r="N496" i="13"/>
  <c r="L496" i="13"/>
  <c r="I497" i="13" l="1"/>
  <c r="O497" i="13" s="1"/>
  <c r="AA497" i="13" l="1"/>
  <c r="AB494" i="13"/>
  <c r="K497" i="13"/>
  <c r="P497" i="13" s="1"/>
  <c r="Q497" i="13" l="1"/>
  <c r="J497" i="13" s="1"/>
  <c r="R497" i="13"/>
  <c r="M497" i="13" l="1"/>
  <c r="T497" i="13" s="1"/>
  <c r="N497" i="13"/>
  <c r="L497" i="13"/>
  <c r="I498" i="13" l="1"/>
  <c r="O498" i="13" s="1"/>
  <c r="AA498" i="13" l="1"/>
  <c r="AB495" i="13"/>
  <c r="K498" i="13"/>
  <c r="P498" i="13" s="1"/>
  <c r="R498" i="13" l="1"/>
  <c r="Q498" i="13"/>
  <c r="J498" i="13" s="1"/>
  <c r="N498" i="13" l="1"/>
  <c r="M498" i="13"/>
  <c r="T498" i="13" s="1"/>
  <c r="L498" i="13"/>
  <c r="I499" i="13" l="1"/>
  <c r="O499" i="13" s="1"/>
  <c r="AA499" i="13" l="1"/>
  <c r="AB496" i="13"/>
  <c r="K499" i="13"/>
  <c r="P499" i="13" s="1"/>
  <c r="Q499" i="13" l="1"/>
  <c r="J499" i="13" s="1"/>
  <c r="R499" i="13"/>
  <c r="N499" i="13" l="1"/>
  <c r="M499" i="13"/>
  <c r="T499" i="13" s="1"/>
  <c r="L499" i="13"/>
  <c r="I500" i="13" l="1"/>
  <c r="O500" i="13" s="1"/>
  <c r="AA500" i="13" l="1"/>
  <c r="AB497" i="13"/>
  <c r="K500" i="13"/>
  <c r="P500" i="13" s="1"/>
  <c r="Q500" i="13" l="1"/>
  <c r="J500" i="13" s="1"/>
  <c r="R500" i="13"/>
  <c r="N500" i="13" l="1"/>
  <c r="M500" i="13"/>
  <c r="T500" i="13" s="1"/>
  <c r="L500" i="13"/>
  <c r="I501" i="13" l="1"/>
  <c r="O501" i="13" s="1"/>
  <c r="AA501" i="13" l="1"/>
  <c r="AB498" i="13"/>
  <c r="K501" i="13"/>
  <c r="P501" i="13" s="1"/>
  <c r="R501" i="13" l="1"/>
  <c r="Q501" i="13"/>
  <c r="J501" i="13" s="1"/>
  <c r="N501" i="13" l="1"/>
  <c r="M501" i="13"/>
  <c r="T501" i="13" s="1"/>
  <c r="L501" i="13"/>
  <c r="I502" i="13" l="1"/>
  <c r="O502" i="13" s="1"/>
  <c r="AA502" i="13" l="1"/>
  <c r="AB499" i="13"/>
  <c r="K502" i="13"/>
  <c r="P502" i="13" s="1"/>
  <c r="Q502" i="13" s="1"/>
  <c r="J502" i="13" s="1"/>
  <c r="L502" i="13" s="1"/>
  <c r="R502" i="13" l="1"/>
  <c r="N502" i="13"/>
  <c r="M502" i="13"/>
  <c r="T502" i="13" s="1"/>
  <c r="I503" i="13" l="1"/>
  <c r="O503" i="13" s="1"/>
  <c r="AA503" i="13" l="1"/>
  <c r="AB500" i="13"/>
  <c r="K503" i="13"/>
  <c r="P503" i="13" s="1"/>
  <c r="R503" i="13" s="1"/>
  <c r="Q503" i="13" l="1"/>
  <c r="J503" i="13" s="1"/>
  <c r="M503" i="13" s="1"/>
  <c r="T503" i="13" s="1"/>
  <c r="N503" i="13" l="1"/>
  <c r="L503" i="13"/>
  <c r="I504" i="13" l="1"/>
  <c r="O504" i="13" s="1"/>
  <c r="K504" i="13" l="1"/>
  <c r="P504" i="13" s="1"/>
  <c r="Q504" i="13" s="1"/>
  <c r="J504" i="13" s="1"/>
  <c r="AA504" i="13"/>
  <c r="AB501" i="13"/>
  <c r="R504" i="13" l="1"/>
  <c r="M504" i="13"/>
  <c r="T504" i="13" s="1"/>
  <c r="N504" i="13"/>
  <c r="L504" i="13"/>
  <c r="I505" i="13" l="1"/>
  <c r="O505" i="13" s="1"/>
  <c r="AA505" i="13" l="1"/>
  <c r="AB502" i="13"/>
  <c r="K505" i="13"/>
  <c r="P505" i="13" s="1"/>
  <c r="Q505" i="13" l="1"/>
  <c r="J505" i="13" s="1"/>
  <c r="R505" i="13"/>
  <c r="N505" i="13" l="1"/>
  <c r="M505" i="13"/>
  <c r="T505" i="13" s="1"/>
  <c r="L505" i="13"/>
  <c r="I506" i="13" l="1"/>
  <c r="O506" i="13" s="1"/>
  <c r="AA506" i="13" l="1"/>
  <c r="AB503" i="13"/>
  <c r="K506" i="13"/>
  <c r="P506" i="13" s="1"/>
  <c r="R506" i="13" s="1"/>
  <c r="Q506" i="13" l="1"/>
  <c r="J506" i="13" s="1"/>
  <c r="L506" i="13" s="1"/>
  <c r="N506" i="13" l="1"/>
  <c r="M506" i="13"/>
  <c r="T506" i="13" s="1"/>
  <c r="I507" i="13" l="1"/>
  <c r="O507" i="13" s="1"/>
  <c r="AA507" i="13" l="1"/>
  <c r="AB504" i="13"/>
  <c r="K507" i="13"/>
  <c r="P507" i="13" s="1"/>
  <c r="R507" i="13" s="1"/>
  <c r="Q507" i="13" l="1"/>
  <c r="J507" i="13" s="1"/>
  <c r="M507" i="13" s="1"/>
  <c r="T507" i="13" s="1"/>
  <c r="N507" i="13" l="1"/>
  <c r="L507" i="13"/>
  <c r="I508" i="13" l="1"/>
  <c r="O508" i="13" s="1"/>
  <c r="AA508" i="13" l="1"/>
  <c r="AB505" i="13"/>
  <c r="K508" i="13"/>
  <c r="P508" i="13" s="1"/>
  <c r="R508" i="13" s="1"/>
  <c r="Q508" i="13" l="1"/>
  <c r="J508" i="13" s="1"/>
  <c r="M508" i="13" s="1"/>
  <c r="T508" i="13" s="1"/>
  <c r="L508" i="13" l="1"/>
  <c r="N508" i="13"/>
  <c r="I509" i="13" l="1"/>
  <c r="O509" i="13" s="1"/>
  <c r="AA509" i="13" l="1"/>
  <c r="AB506" i="13"/>
  <c r="K509" i="13"/>
  <c r="P509" i="13" s="1"/>
  <c r="R509" i="13" s="1"/>
  <c r="Q509" i="13" l="1"/>
  <c r="J509" i="13" s="1"/>
  <c r="M509" i="13" s="1"/>
  <c r="T509" i="13" s="1"/>
  <c r="N509" i="13" l="1"/>
  <c r="L509" i="13"/>
  <c r="I510" i="13" l="1"/>
  <c r="O510" i="13" s="1"/>
  <c r="AA510" i="13" l="1"/>
  <c r="AB507" i="13"/>
  <c r="K510" i="13"/>
  <c r="P510" i="13" s="1"/>
  <c r="R510" i="13" s="1"/>
  <c r="Q510" i="13" l="1"/>
  <c r="J510" i="13" s="1"/>
  <c r="M510" i="13" s="1"/>
  <c r="T510" i="13" s="1"/>
  <c r="L510" i="13" l="1"/>
  <c r="N510" i="13"/>
  <c r="I511" i="13" l="1"/>
  <c r="O511" i="13" s="1"/>
  <c r="AA511" i="13" l="1"/>
  <c r="AB508" i="13"/>
  <c r="K511" i="13"/>
  <c r="P511" i="13" s="1"/>
  <c r="R511" i="13" s="1"/>
  <c r="Q511" i="13" l="1"/>
  <c r="J511" i="13" s="1"/>
  <c r="N511" i="13" s="1"/>
  <c r="L511" i="13" l="1"/>
  <c r="M511" i="13"/>
  <c r="T511" i="13" s="1"/>
  <c r="I512" i="13" l="1"/>
  <c r="O512" i="13" s="1"/>
  <c r="AA512" i="13" l="1"/>
  <c r="AB509" i="13"/>
  <c r="K512" i="13"/>
  <c r="P512" i="13" s="1"/>
  <c r="R512" i="13" s="1"/>
  <c r="Q512" i="13" l="1"/>
  <c r="J512" i="13" s="1"/>
  <c r="M512" i="13" s="1"/>
  <c r="T512" i="13" s="1"/>
  <c r="N512" i="13" l="1"/>
  <c r="L512" i="13"/>
  <c r="I513" i="13" l="1"/>
  <c r="O513" i="13" s="1"/>
  <c r="AA513" i="13" l="1"/>
  <c r="AB510" i="13"/>
  <c r="K513" i="13"/>
  <c r="P513" i="13" s="1"/>
  <c r="R513" i="13" s="1"/>
  <c r="Q513" i="13" l="1"/>
  <c r="J513" i="13" s="1"/>
  <c r="L513" i="13" s="1"/>
  <c r="N513" i="13" l="1"/>
  <c r="M513" i="13"/>
  <c r="T513" i="13" s="1"/>
  <c r="I514" i="13" l="1"/>
  <c r="O514" i="13" s="1"/>
  <c r="AA514" i="13" l="1"/>
  <c r="AB511" i="13"/>
  <c r="K514" i="13"/>
  <c r="P514" i="13" s="1"/>
  <c r="Q514" i="13" s="1"/>
  <c r="J514" i="13" s="1"/>
  <c r="M514" i="13" s="1"/>
  <c r="T514" i="13" s="1"/>
  <c r="N514" i="13" l="1"/>
  <c r="L514" i="13"/>
  <c r="R514" i="13"/>
  <c r="I515" i="13" l="1"/>
  <c r="O515" i="13" s="1"/>
  <c r="AA515" i="13" l="1"/>
  <c r="AB512" i="13"/>
  <c r="K515" i="13"/>
  <c r="P515" i="13" s="1"/>
  <c r="Q515" i="13" s="1"/>
  <c r="J515" i="13" s="1"/>
  <c r="M515" i="13" s="1"/>
  <c r="T515" i="13" s="1"/>
  <c r="R515" i="13" l="1"/>
  <c r="L515" i="13"/>
  <c r="N515" i="13"/>
  <c r="I516" i="13" l="1"/>
  <c r="O516" i="13" s="1"/>
  <c r="AA516" i="13" l="1"/>
  <c r="AB513" i="13"/>
  <c r="K516" i="13"/>
  <c r="P516" i="13" s="1"/>
  <c r="R516" i="13" l="1"/>
  <c r="Q516" i="13"/>
  <c r="J516" i="13" s="1"/>
  <c r="N516" i="13" l="1"/>
  <c r="M516" i="13"/>
  <c r="T516" i="13" s="1"/>
  <c r="L516" i="13"/>
  <c r="I517" i="13" l="1"/>
  <c r="O517" i="13" s="1"/>
  <c r="AA517" i="13" l="1"/>
  <c r="AB514" i="13"/>
  <c r="K517" i="13"/>
  <c r="P517" i="13" s="1"/>
  <c r="R517" i="13" l="1"/>
  <c r="Q517" i="13"/>
  <c r="J517" i="13" s="1"/>
  <c r="N517" i="13" l="1"/>
  <c r="M517" i="13"/>
  <c r="T517" i="13" s="1"/>
  <c r="L517" i="13"/>
  <c r="I518" i="13" l="1"/>
  <c r="O518" i="13" s="1"/>
  <c r="AA518" i="13" l="1"/>
  <c r="AB515" i="13"/>
  <c r="K518" i="13"/>
  <c r="P518" i="13" s="1"/>
  <c r="R518" i="13" l="1"/>
  <c r="Q518" i="13"/>
  <c r="J518" i="13" s="1"/>
  <c r="N518" i="13" l="1"/>
  <c r="M518" i="13"/>
  <c r="T518" i="13" s="1"/>
  <c r="L518" i="13"/>
  <c r="I519" i="13" l="1"/>
  <c r="O519" i="13" s="1"/>
  <c r="AA519" i="13" l="1"/>
  <c r="AB516" i="13"/>
  <c r="K519" i="13"/>
  <c r="P519" i="13" s="1"/>
  <c r="Q519" i="13" l="1"/>
  <c r="J519" i="13" s="1"/>
  <c r="R519" i="13"/>
  <c r="M519" i="13" l="1"/>
  <c r="T519" i="13" s="1"/>
  <c r="N519" i="13"/>
  <c r="L519" i="13"/>
  <c r="I520" i="13" l="1"/>
  <c r="O520" i="13" s="1"/>
  <c r="AA520" i="13" l="1"/>
  <c r="AB517" i="13"/>
  <c r="K520" i="13"/>
  <c r="P520" i="13" s="1"/>
  <c r="Q520" i="13" l="1"/>
  <c r="J520" i="13" s="1"/>
  <c r="R520" i="13"/>
  <c r="N520" i="13" l="1"/>
  <c r="M520" i="13"/>
  <c r="T520" i="13" s="1"/>
  <c r="L520" i="13"/>
  <c r="I521" i="13" l="1"/>
  <c r="O521" i="13" s="1"/>
  <c r="AA521" i="13" l="1"/>
  <c r="AB518" i="13"/>
  <c r="K521" i="13"/>
  <c r="P521" i="13" s="1"/>
  <c r="Q521" i="13" s="1"/>
  <c r="J521" i="13" s="1"/>
  <c r="M521" i="13" s="1"/>
  <c r="T521" i="13" s="1"/>
  <c r="R521" i="13" l="1"/>
  <c r="N521" i="13"/>
  <c r="L521" i="13"/>
  <c r="I522" i="13" l="1"/>
  <c r="O522" i="13" s="1"/>
  <c r="K522" i="13" s="1"/>
  <c r="P522" i="13" s="1"/>
  <c r="AB519" i="13" l="1"/>
  <c r="AA522" i="13"/>
  <c r="R522" i="13"/>
  <c r="Q522" i="13"/>
  <c r="J522" i="13" s="1"/>
  <c r="N522" i="13" l="1"/>
  <c r="M522" i="13"/>
  <c r="T522" i="13" s="1"/>
  <c r="L522" i="13"/>
  <c r="I523" i="13" l="1"/>
  <c r="O523" i="13" s="1"/>
  <c r="AA523" i="13" l="1"/>
  <c r="AB520" i="13"/>
  <c r="K523" i="13"/>
  <c r="P523" i="13" s="1"/>
  <c r="R523" i="13" l="1"/>
  <c r="Q523" i="13"/>
  <c r="J523" i="13" s="1"/>
  <c r="L523" i="13" l="1"/>
  <c r="M523" i="13"/>
  <c r="T523" i="13" s="1"/>
  <c r="N523" i="13"/>
  <c r="I524" i="13" l="1"/>
  <c r="O524" i="13" s="1"/>
  <c r="AA524" i="13" l="1"/>
  <c r="AB521" i="13"/>
  <c r="K524" i="13"/>
  <c r="P524" i="13" l="1"/>
  <c r="R524" i="13" l="1"/>
  <c r="Q524" i="13"/>
  <c r="J524" i="13" s="1"/>
  <c r="N524" i="13" l="1"/>
  <c r="M524" i="13"/>
  <c r="T524" i="13" s="1"/>
  <c r="L524" i="13"/>
  <c r="I525" i="13" l="1"/>
  <c r="O525" i="13" s="1"/>
  <c r="AA525" i="13" l="1"/>
  <c r="AB522" i="13"/>
  <c r="K525" i="13"/>
  <c r="P525" i="13" s="1"/>
  <c r="Q525" i="13" l="1"/>
  <c r="J525" i="13" s="1"/>
  <c r="R525" i="13"/>
  <c r="M525" i="13" l="1"/>
  <c r="T525" i="13" s="1"/>
  <c r="N525" i="13"/>
  <c r="L525" i="13"/>
  <c r="I526" i="13" l="1"/>
  <c r="O526" i="13" s="1"/>
  <c r="AA526" i="13" l="1"/>
  <c r="AB523" i="13"/>
  <c r="K526" i="13"/>
  <c r="P526" i="13" s="1"/>
  <c r="R526" i="13" l="1"/>
  <c r="Q526" i="13"/>
  <c r="J526" i="13" s="1"/>
  <c r="M526" i="13" l="1"/>
  <c r="T526" i="13" s="1"/>
  <c r="N526" i="13"/>
  <c r="L526" i="13"/>
  <c r="I527" i="13" l="1"/>
  <c r="O527" i="13" s="1"/>
  <c r="AA527" i="13" l="1"/>
  <c r="AB524" i="13"/>
  <c r="K527" i="13"/>
  <c r="P527" i="13" s="1"/>
  <c r="Q527" i="13" s="1"/>
  <c r="J527" i="13" s="1"/>
  <c r="R527" i="13" l="1"/>
  <c r="L527" i="13"/>
  <c r="M527" i="13"/>
  <c r="T527" i="13" s="1"/>
  <c r="N527" i="13"/>
  <c r="I528" i="13" l="1"/>
  <c r="O528" i="13" s="1"/>
  <c r="AA528" i="13" l="1"/>
  <c r="AB525" i="13"/>
  <c r="K528" i="13"/>
  <c r="P528" i="13" s="1"/>
  <c r="R528" i="13" l="1"/>
  <c r="Q528" i="13"/>
  <c r="J528" i="13" s="1"/>
  <c r="L528" i="13" l="1"/>
  <c r="M528" i="13"/>
  <c r="T528" i="13" s="1"/>
  <c r="N528" i="13"/>
  <c r="I529" i="13" l="1"/>
  <c r="O529" i="13" s="1"/>
  <c r="AA529" i="13" l="1"/>
  <c r="AB526" i="13"/>
  <c r="K529" i="13"/>
  <c r="P529" i="13" l="1"/>
  <c r="Q529" i="13" l="1"/>
  <c r="J529" i="13" s="1"/>
  <c r="R529" i="13"/>
  <c r="N529" i="13" l="1"/>
  <c r="M529" i="13"/>
  <c r="T529" i="13" s="1"/>
  <c r="L529" i="13"/>
  <c r="I530" i="13" l="1"/>
  <c r="O530" i="13" s="1"/>
  <c r="AA530" i="13" l="1"/>
  <c r="AB527" i="13"/>
  <c r="K530" i="13"/>
  <c r="P530" i="13" s="1"/>
  <c r="Q530" i="13" s="1"/>
  <c r="J530" i="13" s="1"/>
  <c r="R530" i="13" l="1"/>
  <c r="L530" i="13"/>
  <c r="M530" i="13"/>
  <c r="T530" i="13" s="1"/>
  <c r="N530" i="13"/>
  <c r="I531" i="13" l="1"/>
  <c r="O531" i="13" s="1"/>
  <c r="AA531" i="13" l="1"/>
  <c r="AB528" i="13"/>
  <c r="K531" i="13"/>
  <c r="P531" i="13" l="1"/>
  <c r="R531" i="13" l="1"/>
  <c r="Q531" i="13"/>
  <c r="J531" i="13" s="1"/>
  <c r="M531" i="13" l="1"/>
  <c r="T531" i="13" s="1"/>
  <c r="N531" i="13"/>
  <c r="L531" i="13"/>
  <c r="I532" i="13" l="1"/>
  <c r="O532" i="13" s="1"/>
  <c r="AA532" i="13" l="1"/>
  <c r="AB529" i="13"/>
  <c r="K532" i="13"/>
  <c r="P532" i="13" s="1"/>
  <c r="Q532" i="13" s="1"/>
  <c r="J532" i="13" s="1"/>
  <c r="R532" i="13" l="1"/>
  <c r="L532" i="13"/>
  <c r="M532" i="13"/>
  <c r="T532" i="13" s="1"/>
  <c r="N532" i="13"/>
  <c r="I533" i="13" l="1"/>
  <c r="O533" i="13" s="1"/>
  <c r="AA533" i="13" l="1"/>
  <c r="AB530" i="13"/>
  <c r="K533" i="13"/>
  <c r="P533" i="13" l="1"/>
  <c r="R533" i="13" l="1"/>
  <c r="Q533" i="13"/>
  <c r="J533" i="13" s="1"/>
  <c r="M533" i="13" l="1"/>
  <c r="T533" i="13" s="1"/>
  <c r="N533" i="13"/>
  <c r="L533" i="13"/>
  <c r="I534" i="13" l="1"/>
  <c r="O534" i="13" s="1"/>
  <c r="AA534" i="13" l="1"/>
  <c r="AB531" i="13"/>
  <c r="K534" i="13"/>
  <c r="P534" i="13" s="1"/>
  <c r="R534" i="13" l="1"/>
  <c r="Q534" i="13"/>
  <c r="J534" i="13" s="1"/>
  <c r="M534" i="13" l="1"/>
  <c r="T534" i="13" s="1"/>
  <c r="N534" i="13"/>
  <c r="L534" i="13"/>
  <c r="I535" i="13" l="1"/>
  <c r="O535" i="13" s="1"/>
  <c r="K535" i="13" l="1"/>
  <c r="P535" i="13" s="1"/>
  <c r="R535" i="13" s="1"/>
  <c r="AA535" i="13"/>
  <c r="AB532" i="13"/>
  <c r="Q535" i="13" l="1"/>
  <c r="J535" i="13" s="1"/>
  <c r="L535" i="13" s="1"/>
  <c r="M535" i="13" l="1"/>
  <c r="T535" i="13" s="1"/>
  <c r="N535" i="13"/>
  <c r="I536" i="13" l="1"/>
  <c r="O536" i="13" s="1"/>
  <c r="AA536" i="13" s="1"/>
  <c r="AB533" i="13" l="1"/>
  <c r="K536" i="13"/>
  <c r="P536" i="13" s="1"/>
  <c r="R536" i="13" l="1"/>
  <c r="Q536" i="13"/>
  <c r="J536" i="13" s="1"/>
  <c r="M536" i="13" l="1"/>
  <c r="T536" i="13" s="1"/>
  <c r="N536" i="13"/>
  <c r="L536" i="13"/>
  <c r="I537" i="13" l="1"/>
  <c r="O537" i="13" s="1"/>
  <c r="AA537" i="13" l="1"/>
  <c r="AB534" i="13"/>
  <c r="K537" i="13"/>
  <c r="P537" i="13" s="1"/>
  <c r="R537" i="13" s="1"/>
  <c r="Q537" i="13" l="1"/>
  <c r="J537" i="13" s="1"/>
  <c r="L537" i="13" s="1"/>
  <c r="N537" i="13" l="1"/>
  <c r="M537" i="13"/>
  <c r="T537" i="13" s="1"/>
  <c r="I538" i="13" l="1"/>
  <c r="O538" i="13" s="1"/>
  <c r="AA538" i="13" l="1"/>
  <c r="AB535" i="13"/>
  <c r="K538" i="13"/>
  <c r="P538" i="13" s="1"/>
  <c r="Q538" i="13" l="1"/>
  <c r="J538" i="13" s="1"/>
  <c r="R538" i="13"/>
  <c r="M538" i="13" l="1"/>
  <c r="T538" i="13" s="1"/>
  <c r="N538" i="13"/>
  <c r="L538" i="13"/>
  <c r="I539" i="13" l="1"/>
  <c r="O539" i="13" s="1"/>
  <c r="AA539" i="13" l="1"/>
  <c r="AB536" i="13"/>
  <c r="K539" i="13"/>
  <c r="P539" i="13" s="1"/>
  <c r="Q539" i="13" l="1"/>
  <c r="J539" i="13" s="1"/>
  <c r="R539" i="13"/>
  <c r="N539" i="13" l="1"/>
  <c r="M539" i="13"/>
  <c r="T539" i="13" s="1"/>
  <c r="L539" i="13"/>
  <c r="I540" i="13" l="1"/>
  <c r="O540" i="13" s="1"/>
  <c r="AA540" i="13" l="1"/>
  <c r="AB537" i="13"/>
  <c r="K540" i="13"/>
  <c r="P540" i="13" s="1"/>
  <c r="Q540" i="13" s="1"/>
  <c r="J540" i="13" s="1"/>
  <c r="R540" i="13" l="1"/>
  <c r="L540" i="13"/>
  <c r="M540" i="13"/>
  <c r="T540" i="13" s="1"/>
  <c r="N540" i="13"/>
  <c r="I541" i="13" l="1"/>
  <c r="O541" i="13" s="1"/>
  <c r="AA541" i="13" l="1"/>
  <c r="AB538" i="13"/>
  <c r="K541" i="13"/>
  <c r="P541" i="13" l="1"/>
  <c r="Q541" i="13" l="1"/>
  <c r="J541" i="13" s="1"/>
  <c r="R541" i="13"/>
  <c r="N541" i="13" l="1"/>
  <c r="M541" i="13"/>
  <c r="T541" i="13" s="1"/>
  <c r="L541" i="13"/>
  <c r="I542" i="13" l="1"/>
  <c r="O542" i="13" s="1"/>
  <c r="AA542" i="13" l="1"/>
  <c r="AB539" i="13"/>
  <c r="K542" i="13"/>
  <c r="P542" i="13" s="1"/>
  <c r="Q542" i="13" s="1"/>
  <c r="J542" i="13" s="1"/>
  <c r="R542" i="13" l="1"/>
  <c r="L542" i="13"/>
  <c r="M542" i="13"/>
  <c r="T542" i="13" s="1"/>
  <c r="N542" i="13"/>
  <c r="I543" i="13" l="1"/>
  <c r="O543" i="13" s="1"/>
  <c r="AA543" i="13" l="1"/>
  <c r="AB540" i="13"/>
  <c r="K543" i="13"/>
  <c r="P543" i="13" s="1"/>
  <c r="Q543" i="13" l="1"/>
  <c r="J543" i="13" s="1"/>
  <c r="R543" i="13"/>
  <c r="L543" i="13" l="1"/>
  <c r="M543" i="13"/>
  <c r="T543" i="13" s="1"/>
  <c r="N543" i="13"/>
  <c r="I544" i="13" l="1"/>
  <c r="O544" i="13" s="1"/>
  <c r="AA544" i="13" l="1"/>
  <c r="AB541" i="13"/>
  <c r="K544" i="13"/>
  <c r="P544" i="13" s="1"/>
  <c r="R544" i="13" l="1"/>
  <c r="Q544" i="13"/>
  <c r="J544" i="13" s="1"/>
  <c r="L544" i="13" s="1"/>
  <c r="N544" i="13" l="1"/>
  <c r="M544" i="13"/>
  <c r="T544" i="13" s="1"/>
  <c r="I545" i="13" l="1"/>
  <c r="O545" i="13" s="1"/>
  <c r="AA545" i="13" l="1"/>
  <c r="AB542" i="13"/>
  <c r="K545" i="13"/>
  <c r="P545" i="13" s="1"/>
  <c r="R545" i="13" s="1"/>
  <c r="Q545" i="13" l="1"/>
  <c r="J545" i="13" s="1"/>
  <c r="L545" i="13" s="1"/>
  <c r="N545" i="13" l="1"/>
  <c r="M545" i="13"/>
  <c r="T545" i="13" s="1"/>
  <c r="I546" i="13" l="1"/>
  <c r="O546" i="13" s="1"/>
  <c r="AA546" i="13" l="1"/>
  <c r="AB543" i="13"/>
  <c r="K546" i="13"/>
  <c r="P546" i="13" s="1"/>
  <c r="Q546" i="13" l="1"/>
  <c r="J546" i="13" s="1"/>
  <c r="R546" i="13"/>
  <c r="N546" i="13" l="1"/>
  <c r="M546" i="13"/>
  <c r="T546" i="13" s="1"/>
  <c r="L546" i="13"/>
  <c r="I547" i="13" l="1"/>
  <c r="O547" i="13" s="1"/>
  <c r="AA547" i="13" l="1"/>
  <c r="AB544" i="13"/>
  <c r="K547" i="13"/>
  <c r="P547" i="13" s="1"/>
  <c r="Q547" i="13" l="1"/>
  <c r="J547" i="13" s="1"/>
  <c r="R547" i="13"/>
  <c r="N547" i="13" l="1"/>
  <c r="M547" i="13"/>
  <c r="T547" i="13" s="1"/>
  <c r="L547" i="13"/>
  <c r="I548" i="13" l="1"/>
  <c r="O548" i="13" s="1"/>
  <c r="AA548" i="13" l="1"/>
  <c r="AB545" i="13"/>
  <c r="K548" i="13"/>
  <c r="P548" i="13" s="1"/>
  <c r="Q548" i="13" l="1"/>
  <c r="J548" i="13" s="1"/>
  <c r="R548" i="13"/>
  <c r="M548" i="13" l="1"/>
  <c r="T548" i="13" s="1"/>
  <c r="N548" i="13"/>
  <c r="L548" i="13"/>
  <c r="I549" i="13" l="1"/>
  <c r="O549" i="13" s="1"/>
  <c r="AA549" i="13" l="1"/>
  <c r="AB546" i="13"/>
  <c r="K549" i="13"/>
  <c r="P549" i="13" s="1"/>
  <c r="R549" i="13" l="1"/>
  <c r="Q549" i="13"/>
  <c r="J549" i="13" s="1"/>
  <c r="N549" i="13" l="1"/>
  <c r="M549" i="13"/>
  <c r="T549" i="13" s="1"/>
  <c r="L549" i="13"/>
  <c r="I550" i="13" l="1"/>
  <c r="O550" i="13" s="1"/>
  <c r="AA550" i="13" l="1"/>
  <c r="AB547" i="13"/>
  <c r="K550" i="13"/>
  <c r="P550" i="13" s="1"/>
  <c r="R550" i="13" l="1"/>
  <c r="Q550" i="13"/>
  <c r="J550" i="13" s="1"/>
  <c r="N550" i="13" l="1"/>
  <c r="M550" i="13"/>
  <c r="T550" i="13" s="1"/>
  <c r="L550" i="13"/>
  <c r="I551" i="13" l="1"/>
  <c r="O551" i="13" s="1"/>
  <c r="AA551" i="13" l="1"/>
  <c r="AB548" i="13"/>
  <c r="K551" i="13"/>
  <c r="P551" i="13" s="1"/>
  <c r="R551" i="13" l="1"/>
  <c r="Q551" i="13"/>
  <c r="J551" i="13" s="1"/>
  <c r="M551" i="13" l="1"/>
  <c r="T551" i="13" s="1"/>
  <c r="N551" i="13"/>
  <c r="L551" i="13"/>
  <c r="I552" i="13" l="1"/>
  <c r="O552" i="13" s="1"/>
  <c r="AA552" i="13" l="1"/>
  <c r="AB549" i="13"/>
  <c r="K552" i="13"/>
  <c r="P552" i="13" s="1"/>
  <c r="Q552" i="13" l="1"/>
  <c r="J552" i="13" s="1"/>
  <c r="R552" i="13"/>
  <c r="N552" i="13" l="1"/>
  <c r="M552" i="13"/>
  <c r="T552" i="13" s="1"/>
  <c r="L552" i="13"/>
  <c r="I553" i="13" l="1"/>
  <c r="O553" i="13" s="1"/>
  <c r="AA553" i="13" l="1"/>
  <c r="AB550" i="13"/>
  <c r="K553" i="13"/>
  <c r="P553" i="13" s="1"/>
  <c r="Q553" i="13" s="1"/>
  <c r="J553" i="13" s="1"/>
  <c r="R553" i="13" l="1"/>
  <c r="L553" i="13"/>
  <c r="M553" i="13"/>
  <c r="T553" i="13" s="1"/>
  <c r="N553" i="13"/>
  <c r="I554" i="13" l="1"/>
  <c r="O554" i="13" s="1"/>
  <c r="AA554" i="13" l="1"/>
  <c r="AB551" i="13"/>
  <c r="K554" i="13"/>
  <c r="P554" i="13" s="1"/>
  <c r="Q554" i="13" l="1"/>
  <c r="J554" i="13" s="1"/>
  <c r="R554" i="13"/>
  <c r="L554" i="13" l="1"/>
  <c r="M554" i="13"/>
  <c r="T554" i="13" s="1"/>
  <c r="N554" i="13"/>
  <c r="I555" i="13" l="1"/>
  <c r="O555" i="13" s="1"/>
  <c r="AA555" i="13" l="1"/>
  <c r="AB552" i="13"/>
  <c r="K555" i="13"/>
  <c r="P555" i="13" l="1"/>
  <c r="R555" i="13" l="1"/>
  <c r="Q555" i="13"/>
  <c r="J555" i="13" s="1"/>
  <c r="N555" i="13" l="1"/>
  <c r="M555" i="13"/>
  <c r="T555" i="13" s="1"/>
  <c r="L555" i="13"/>
  <c r="I556" i="13" l="1"/>
  <c r="O556" i="13" s="1"/>
  <c r="AA556" i="13" l="1"/>
  <c r="AB553" i="13"/>
  <c r="K556" i="13"/>
  <c r="P556" i="13" s="1"/>
  <c r="Q556" i="13" s="1"/>
  <c r="J556" i="13" s="1"/>
  <c r="L556" i="13" l="1"/>
  <c r="R556" i="13"/>
  <c r="N556" i="13"/>
  <c r="M556" i="13"/>
  <c r="T556" i="13" s="1"/>
  <c r="I557" i="13" l="1"/>
  <c r="O557" i="13" s="1"/>
  <c r="AA557" i="13" l="1"/>
  <c r="AB554" i="13"/>
  <c r="K557" i="13"/>
  <c r="P557" i="13" s="1"/>
  <c r="R557" i="13" l="1"/>
  <c r="Q557" i="13"/>
  <c r="J557" i="13" s="1"/>
  <c r="N557" i="13" l="1"/>
  <c r="M557" i="13"/>
  <c r="T557" i="13" s="1"/>
  <c r="L557" i="13"/>
  <c r="I558" i="13" l="1"/>
  <c r="O558" i="13" s="1"/>
  <c r="AA558" i="13" l="1"/>
  <c r="AB555" i="13"/>
  <c r="K558" i="13"/>
  <c r="P558" i="13" s="1"/>
  <c r="Q558" i="13" l="1"/>
  <c r="J558" i="13" s="1"/>
  <c r="R558" i="13"/>
  <c r="M558" i="13" l="1"/>
  <c r="T558" i="13" s="1"/>
  <c r="L558" i="13"/>
  <c r="N558" i="13"/>
  <c r="I559" i="13" l="1"/>
  <c r="O559" i="13" s="1"/>
  <c r="AA559" i="13" l="1"/>
  <c r="AB556" i="13"/>
  <c r="K559" i="13"/>
  <c r="P559" i="13" s="1"/>
  <c r="Q559" i="13" l="1"/>
  <c r="J559" i="13" s="1"/>
  <c r="R559" i="13"/>
  <c r="N559" i="13" l="1"/>
  <c r="M559" i="13"/>
  <c r="T559" i="13" s="1"/>
  <c r="L559" i="13"/>
  <c r="I560" i="13" l="1"/>
  <c r="O560" i="13" s="1"/>
  <c r="AA560" i="13" l="1"/>
  <c r="AB557" i="13"/>
  <c r="K560" i="13"/>
  <c r="P560" i="13" s="1"/>
  <c r="R560" i="13" l="1"/>
  <c r="Q560" i="13"/>
  <c r="J560" i="13" s="1"/>
  <c r="M560" i="13" l="1"/>
  <c r="T560" i="13" s="1"/>
  <c r="N560" i="13"/>
  <c r="L560" i="13"/>
  <c r="I561" i="13" l="1"/>
  <c r="O561" i="13" s="1"/>
  <c r="AA561" i="13" l="1"/>
  <c r="AB558" i="13"/>
  <c r="K561" i="13"/>
  <c r="P561" i="13" s="1"/>
  <c r="Q561" i="13" l="1"/>
  <c r="J561" i="13" s="1"/>
  <c r="R561" i="13"/>
  <c r="N561" i="13" l="1"/>
  <c r="M561" i="13"/>
  <c r="T561" i="13" s="1"/>
  <c r="L561" i="13"/>
  <c r="I562" i="13" l="1"/>
  <c r="O562" i="13" s="1"/>
  <c r="AA562" i="13" l="1"/>
  <c r="AB559" i="13"/>
  <c r="K562" i="13"/>
  <c r="P562" i="13" s="1"/>
  <c r="R562" i="13" s="1"/>
  <c r="Q562" i="13" l="1"/>
  <c r="J562" i="13" s="1"/>
  <c r="L562" i="13" s="1"/>
  <c r="N562" i="13" l="1"/>
  <c r="M562" i="13"/>
  <c r="T562" i="13" s="1"/>
  <c r="I563" i="13" l="1"/>
  <c r="O563" i="13" s="1"/>
  <c r="AA563" i="13" s="1"/>
  <c r="AB560" i="13" l="1"/>
  <c r="K563" i="13"/>
  <c r="P563" i="13" s="1"/>
  <c r="R563" i="13" l="1"/>
  <c r="Q563" i="13"/>
  <c r="J563" i="13" s="1"/>
  <c r="N563" i="13" l="1"/>
  <c r="M563" i="13"/>
  <c r="T563" i="13" s="1"/>
  <c r="L563" i="13"/>
  <c r="I564" i="13" l="1"/>
  <c r="O564" i="13" s="1"/>
  <c r="AA564" i="13" l="1"/>
  <c r="AB561" i="13"/>
  <c r="K564" i="13"/>
  <c r="P564" i="13" s="1"/>
  <c r="R564" i="13" l="1"/>
  <c r="Q564" i="13"/>
  <c r="J564" i="13" s="1"/>
  <c r="N564" i="13" l="1"/>
  <c r="M564" i="13"/>
  <c r="T564" i="13" s="1"/>
  <c r="L564" i="13"/>
  <c r="I565" i="13" l="1"/>
  <c r="O565" i="13" s="1"/>
  <c r="AA565" i="13" l="1"/>
  <c r="AB562" i="13"/>
  <c r="K565" i="13"/>
  <c r="P565" i="13" s="1"/>
  <c r="R565" i="13" l="1"/>
  <c r="Q565" i="13"/>
  <c r="J565" i="13" s="1"/>
  <c r="N565" i="13" l="1"/>
  <c r="M565" i="13"/>
  <c r="T565" i="13" s="1"/>
  <c r="L565" i="13"/>
  <c r="I566" i="13" l="1"/>
  <c r="O566" i="13" s="1"/>
  <c r="AA566" i="13" l="1"/>
  <c r="AB563" i="13"/>
  <c r="K566" i="13"/>
  <c r="P566" i="13" s="1"/>
  <c r="R566" i="13" l="1"/>
  <c r="Q566" i="13"/>
  <c r="J566" i="13" s="1"/>
  <c r="N566" i="13" l="1"/>
  <c r="M566" i="13"/>
  <c r="T566" i="13" s="1"/>
  <c r="L566" i="13"/>
  <c r="I567" i="13" l="1"/>
  <c r="O567" i="13" s="1"/>
  <c r="AA567" i="13" l="1"/>
  <c r="AB564" i="13"/>
  <c r="K567" i="13"/>
  <c r="P567" i="13" s="1"/>
  <c r="R567" i="13" s="1"/>
  <c r="Q567" i="13" l="1"/>
  <c r="J567" i="13" s="1"/>
  <c r="L567" i="13" s="1"/>
  <c r="N567" i="13" l="1"/>
  <c r="M567" i="13"/>
  <c r="T567" i="13" s="1"/>
  <c r="I568" i="13" l="1"/>
  <c r="O568" i="13" s="1"/>
  <c r="AA568" i="13" l="1"/>
  <c r="AB565" i="13"/>
  <c r="K568" i="13"/>
  <c r="P568" i="13" s="1"/>
  <c r="R568" i="13" l="1"/>
  <c r="Q568" i="13"/>
  <c r="J568" i="13" s="1"/>
  <c r="N568" i="13" l="1"/>
  <c r="M568" i="13"/>
  <c r="T568" i="13" s="1"/>
  <c r="L568" i="13"/>
  <c r="I569" i="13" l="1"/>
  <c r="O569" i="13" s="1"/>
  <c r="AA569" i="13" l="1"/>
  <c r="AB566" i="13"/>
  <c r="K569" i="13"/>
  <c r="P569" i="13" s="1"/>
  <c r="Q569" i="13" l="1"/>
  <c r="J569" i="13" s="1"/>
  <c r="R569" i="13"/>
  <c r="N569" i="13" l="1"/>
  <c r="M569" i="13"/>
  <c r="T569" i="13" s="1"/>
  <c r="L569" i="13"/>
  <c r="I570" i="13" l="1"/>
  <c r="O570" i="13" s="1"/>
  <c r="AA570" i="13" l="1"/>
  <c r="AB567" i="13"/>
  <c r="K570" i="13"/>
  <c r="P570" i="13" s="1"/>
  <c r="Q570" i="13" l="1"/>
  <c r="J570" i="13" s="1"/>
  <c r="R570" i="13"/>
  <c r="N570" i="13" l="1"/>
  <c r="M570" i="13"/>
  <c r="T570" i="13" s="1"/>
  <c r="L570" i="13"/>
  <c r="I571" i="13" l="1"/>
  <c r="O571" i="13" s="1"/>
  <c r="AA571" i="13" l="1"/>
  <c r="AB568" i="13"/>
  <c r="K571" i="13"/>
  <c r="P571" i="13" s="1"/>
  <c r="Q571" i="13" l="1"/>
  <c r="J571" i="13" s="1"/>
  <c r="R571" i="13"/>
  <c r="N571" i="13" l="1"/>
  <c r="M571" i="13"/>
  <c r="T571" i="13" s="1"/>
  <c r="L571" i="13"/>
  <c r="I572" i="13" l="1"/>
  <c r="O572" i="13" s="1"/>
  <c r="AA572" i="13" l="1"/>
  <c r="AB569" i="13"/>
  <c r="K572" i="13"/>
  <c r="P572" i="13" s="1"/>
  <c r="Q572" i="13" s="1"/>
  <c r="J572" i="13" s="1"/>
  <c r="R572" i="13" l="1"/>
  <c r="L572" i="13"/>
  <c r="M572" i="13"/>
  <c r="T572" i="13" s="1"/>
  <c r="N572" i="13"/>
  <c r="I573" i="13" l="1"/>
  <c r="O573" i="13" s="1"/>
  <c r="AA573" i="13" l="1"/>
  <c r="AB570" i="13"/>
  <c r="K573" i="13"/>
  <c r="P573" i="13" l="1"/>
  <c r="R573" i="13" l="1"/>
  <c r="Q573" i="13"/>
  <c r="J573" i="13" s="1"/>
  <c r="N573" i="13" l="1"/>
  <c r="M573" i="13"/>
  <c r="T573" i="13" s="1"/>
  <c r="L573" i="13"/>
  <c r="I574" i="13" l="1"/>
  <c r="O574" i="13" s="1"/>
  <c r="AA574" i="13" l="1"/>
  <c r="AB571" i="13"/>
  <c r="K574" i="13"/>
  <c r="P574" i="13" s="1"/>
  <c r="Q574" i="13" s="1"/>
  <c r="J574" i="13" s="1"/>
  <c r="R574" i="13" l="1"/>
  <c r="L574" i="13"/>
  <c r="M574" i="13"/>
  <c r="T574" i="13" s="1"/>
  <c r="N574" i="13"/>
  <c r="I575" i="13" l="1"/>
  <c r="O575" i="13" s="1"/>
  <c r="AA575" i="13" l="1"/>
  <c r="AB572" i="13"/>
  <c r="K575" i="13"/>
  <c r="P575" i="13" l="1"/>
  <c r="Q575" i="13" l="1"/>
  <c r="J575" i="13" s="1"/>
  <c r="R575" i="13"/>
  <c r="M575" i="13" l="1"/>
  <c r="T575" i="13" s="1"/>
  <c r="N575" i="13"/>
  <c r="L575" i="13"/>
  <c r="I576" i="13" l="1"/>
  <c r="O576" i="13" s="1"/>
  <c r="AA576" i="13" l="1"/>
  <c r="AB573" i="13"/>
  <c r="K576" i="13"/>
  <c r="P576" i="13" s="1"/>
  <c r="Q576" i="13" l="1"/>
  <c r="J576" i="13" s="1"/>
  <c r="R576" i="13"/>
  <c r="M576" i="13" l="1"/>
  <c r="T576" i="13" s="1"/>
  <c r="N576" i="13"/>
  <c r="L576" i="13"/>
  <c r="I577" i="13" l="1"/>
  <c r="O577" i="13" s="1"/>
  <c r="AA577" i="13" l="1"/>
  <c r="AB574" i="13"/>
  <c r="K577" i="13"/>
  <c r="P577" i="13" s="1"/>
  <c r="Q577" i="13" l="1"/>
  <c r="J577" i="13" s="1"/>
  <c r="R577" i="13"/>
  <c r="M577" i="13" l="1"/>
  <c r="T577" i="13" s="1"/>
  <c r="N577" i="13"/>
  <c r="L577" i="13"/>
  <c r="I578" i="13" l="1"/>
  <c r="O578" i="13" s="1"/>
  <c r="AA578" i="13" l="1"/>
  <c r="AB575" i="13"/>
  <c r="K578" i="13"/>
  <c r="P578" i="13" s="1"/>
  <c r="Q578" i="13" s="1"/>
  <c r="J578" i="13" s="1"/>
  <c r="R578" i="13" l="1"/>
  <c r="L578" i="13"/>
  <c r="M578" i="13"/>
  <c r="T578" i="13" s="1"/>
  <c r="N578" i="13"/>
  <c r="I579" i="13" l="1"/>
  <c r="O579" i="13" s="1"/>
  <c r="AA579" i="13" l="1"/>
  <c r="AB576" i="13"/>
  <c r="K579" i="13"/>
  <c r="P579" i="13" s="1"/>
  <c r="Q579" i="13" l="1"/>
  <c r="J579" i="13" s="1"/>
  <c r="R579" i="13"/>
  <c r="L579" i="13" l="1"/>
  <c r="M579" i="13"/>
  <c r="T579" i="13" s="1"/>
  <c r="N579" i="13"/>
  <c r="I580" i="13" l="1"/>
  <c r="O580" i="13" s="1"/>
  <c r="AA580" i="13" l="1"/>
  <c r="AB577" i="13"/>
  <c r="K580" i="13"/>
  <c r="P580" i="13" s="1"/>
  <c r="R580" i="13" l="1"/>
  <c r="Q580" i="13"/>
  <c r="J580" i="13" s="1"/>
  <c r="M580" i="13" s="1"/>
  <c r="T580" i="13" s="1"/>
  <c r="L580" i="13" l="1"/>
  <c r="N580" i="13"/>
  <c r="I581" i="13" l="1"/>
  <c r="O581" i="13" s="1"/>
  <c r="AA581" i="13" l="1"/>
  <c r="AB578" i="13"/>
  <c r="K581" i="13"/>
  <c r="P581" i="13" l="1"/>
  <c r="R581" i="13" l="1"/>
  <c r="Q581" i="13"/>
  <c r="J581" i="13" s="1"/>
  <c r="M581" i="13" l="1"/>
  <c r="T581" i="13" s="1"/>
  <c r="N581" i="13"/>
  <c r="L581" i="13"/>
  <c r="I582" i="13" l="1"/>
  <c r="O582" i="13" s="1"/>
  <c r="AA582" i="13" l="1"/>
  <c r="AB579" i="13"/>
  <c r="K582" i="13"/>
  <c r="P582" i="13" s="1"/>
  <c r="R582" i="13" l="1"/>
  <c r="Q582" i="13"/>
  <c r="J582" i="13" s="1"/>
  <c r="N582" i="13" l="1"/>
  <c r="M582" i="13"/>
  <c r="T582" i="13" s="1"/>
  <c r="L582" i="13"/>
  <c r="I583" i="13" l="1"/>
  <c r="O583" i="13" s="1"/>
  <c r="AA583" i="13" l="1"/>
  <c r="AB580" i="13"/>
  <c r="K583" i="13"/>
  <c r="P583" i="13" s="1"/>
  <c r="R583" i="13" l="1"/>
  <c r="Q583" i="13"/>
  <c r="J583" i="13" s="1"/>
  <c r="N583" i="13" l="1"/>
  <c r="M583" i="13"/>
  <c r="T583" i="13" s="1"/>
  <c r="L583" i="13"/>
  <c r="I584" i="13" l="1"/>
  <c r="O584" i="13" s="1"/>
  <c r="AA584" i="13" l="1"/>
  <c r="AB581" i="13"/>
  <c r="K584" i="13"/>
  <c r="P584" i="13" s="1"/>
  <c r="R584" i="13" s="1"/>
  <c r="Q584" i="13" l="1"/>
  <c r="J584" i="13" s="1"/>
  <c r="L584" i="13" s="1"/>
  <c r="N584" i="13" l="1"/>
  <c r="M584" i="13"/>
  <c r="T584" i="13" s="1"/>
  <c r="I585" i="13" l="1"/>
  <c r="O585" i="13" s="1"/>
  <c r="AA585" i="13" l="1"/>
  <c r="AB582" i="13"/>
  <c r="K585" i="13"/>
  <c r="P585" i="13" s="1"/>
  <c r="Q585" i="13" l="1"/>
  <c r="J585" i="13" s="1"/>
  <c r="R585" i="13"/>
  <c r="N585" i="13" l="1"/>
  <c r="M585" i="13"/>
  <c r="T585" i="13" s="1"/>
  <c r="L585" i="13"/>
  <c r="I586" i="13" l="1"/>
  <c r="O586" i="13" s="1"/>
  <c r="AA586" i="13" l="1"/>
  <c r="AB583" i="13"/>
  <c r="K586" i="13"/>
  <c r="P586" i="13" s="1"/>
  <c r="Q586" i="13" l="1"/>
  <c r="J586" i="13" s="1"/>
  <c r="R586" i="13"/>
  <c r="N586" i="13" l="1"/>
  <c r="M586" i="13"/>
  <c r="T586" i="13" s="1"/>
  <c r="L586" i="13"/>
  <c r="I587" i="13" l="1"/>
  <c r="O587" i="13" s="1"/>
  <c r="AA587" i="13" l="1"/>
  <c r="AB584" i="13"/>
  <c r="K587" i="13"/>
  <c r="P587" i="13" s="1"/>
  <c r="R587" i="13" l="1"/>
  <c r="Q587" i="13"/>
  <c r="J587" i="13" s="1"/>
  <c r="N587" i="13" l="1"/>
  <c r="M587" i="13"/>
  <c r="T587" i="13" s="1"/>
  <c r="L587" i="13"/>
  <c r="I588" i="13" l="1"/>
  <c r="O588" i="13" s="1"/>
  <c r="AA588" i="13" l="1"/>
  <c r="AB585" i="13"/>
  <c r="K588" i="13"/>
  <c r="P588" i="13" s="1"/>
  <c r="Q588" i="13" s="1"/>
  <c r="J588" i="13" s="1"/>
  <c r="R588" i="13" l="1"/>
  <c r="L588" i="13"/>
  <c r="M588" i="13"/>
  <c r="T588" i="13" s="1"/>
  <c r="N588" i="13"/>
  <c r="I589" i="13" l="1"/>
  <c r="O589" i="13" s="1"/>
  <c r="AA589" i="13" l="1"/>
  <c r="AB586" i="13"/>
  <c r="K589" i="13"/>
  <c r="P589" i="13" l="1"/>
  <c r="R589" i="13" l="1"/>
  <c r="Q589" i="13"/>
  <c r="J589" i="13" s="1"/>
  <c r="M589" i="13" l="1"/>
  <c r="T589" i="13" s="1"/>
  <c r="N589" i="13"/>
  <c r="L589" i="13"/>
  <c r="I590" i="13" l="1"/>
  <c r="O590" i="13" s="1"/>
  <c r="AA590" i="13" l="1"/>
  <c r="AB587" i="13"/>
  <c r="K590" i="13"/>
  <c r="P590" i="13" s="1"/>
  <c r="Q590" i="13" l="1"/>
  <c r="J590" i="13" s="1"/>
  <c r="R590" i="13"/>
  <c r="M590" i="13" l="1"/>
  <c r="T590" i="13" s="1"/>
  <c r="N590" i="13"/>
  <c r="L590" i="13"/>
  <c r="I591" i="13" l="1"/>
  <c r="O591" i="13" s="1"/>
  <c r="AA591" i="13" l="1"/>
  <c r="AB588" i="13"/>
  <c r="K591" i="13"/>
  <c r="P591" i="13" s="1"/>
  <c r="R591" i="13" s="1"/>
  <c r="Q591" i="13" l="1"/>
  <c r="J591" i="13" s="1"/>
  <c r="L591" i="13" s="1"/>
  <c r="N591" i="13" l="1"/>
  <c r="M591" i="13"/>
  <c r="T591" i="13" s="1"/>
  <c r="I592" i="13" l="1"/>
  <c r="O592" i="13" s="1"/>
  <c r="AA592" i="13" l="1"/>
  <c r="AB589" i="13"/>
  <c r="K592" i="13"/>
  <c r="P592" i="13" s="1"/>
  <c r="R592" i="13" s="1"/>
  <c r="Q592" i="13" l="1"/>
  <c r="J592" i="13" s="1"/>
  <c r="L592" i="13" s="1"/>
  <c r="N592" i="13" l="1"/>
  <c r="M592" i="13"/>
  <c r="T592" i="13" s="1"/>
  <c r="I593" i="13" l="1"/>
  <c r="O593" i="13" s="1"/>
  <c r="K593" i="13" l="1"/>
  <c r="P593" i="13" s="1"/>
  <c r="AA593" i="13"/>
  <c r="AB590" i="13"/>
  <c r="R593" i="13" l="1"/>
  <c r="Q593" i="13"/>
  <c r="J593" i="13" s="1"/>
  <c r="N593" i="13" l="1"/>
  <c r="M593" i="13"/>
  <c r="T593" i="13" s="1"/>
  <c r="L593" i="13"/>
  <c r="I594" i="13" l="1"/>
  <c r="O594" i="13" s="1"/>
  <c r="AA594" i="13" l="1"/>
  <c r="AB591" i="13"/>
  <c r="K594" i="13"/>
  <c r="P594" i="13" s="1"/>
  <c r="R594" i="13" l="1"/>
  <c r="Q594" i="13"/>
  <c r="J594" i="13" s="1"/>
  <c r="M594" i="13" l="1"/>
  <c r="T594" i="13" s="1"/>
  <c r="N594" i="13"/>
  <c r="L594" i="13"/>
  <c r="I595" i="13" l="1"/>
  <c r="O595" i="13" s="1"/>
  <c r="K595" i="13" l="1"/>
  <c r="P595" i="13" s="1"/>
  <c r="AA595" i="13"/>
  <c r="AB592" i="13"/>
  <c r="R595" i="13" l="1"/>
  <c r="Q595" i="13"/>
  <c r="J595" i="13" s="1"/>
  <c r="N595" i="13" l="1"/>
  <c r="M595" i="13"/>
  <c r="T595" i="13" s="1"/>
  <c r="L595" i="13"/>
  <c r="I596" i="13" l="1"/>
  <c r="O596" i="13" s="1"/>
  <c r="K596" i="13" l="1"/>
  <c r="P596" i="13" s="1"/>
  <c r="Q596" i="13" s="1"/>
  <c r="J596" i="13" s="1"/>
  <c r="AA596" i="13"/>
  <c r="AB593" i="13"/>
  <c r="R596" i="13" l="1"/>
  <c r="L596" i="13"/>
  <c r="M596" i="13"/>
  <c r="T596" i="13" s="1"/>
  <c r="N596" i="13"/>
  <c r="I597" i="13" l="1"/>
  <c r="O597" i="13" s="1"/>
  <c r="AA597" i="13" l="1"/>
  <c r="AB594" i="13"/>
  <c r="K597" i="13"/>
  <c r="P597" i="13" l="1"/>
  <c r="Q597" i="13" l="1"/>
  <c r="J597" i="13" s="1"/>
  <c r="R597" i="13"/>
  <c r="M597" i="13" l="1"/>
  <c r="T597" i="13" s="1"/>
  <c r="N597" i="13"/>
  <c r="L597" i="13"/>
  <c r="I598" i="13" l="1"/>
  <c r="O598" i="13" s="1"/>
  <c r="AA598" i="13" l="1"/>
  <c r="AB595" i="13"/>
  <c r="K598" i="13"/>
  <c r="P598" i="13" s="1"/>
  <c r="R598" i="13" l="1"/>
  <c r="Q598" i="13"/>
  <c r="J598" i="13" s="1"/>
  <c r="N598" i="13" l="1"/>
  <c r="M598" i="13"/>
  <c r="T598" i="13" s="1"/>
  <c r="L598" i="13"/>
  <c r="I599" i="13" l="1"/>
  <c r="O599" i="13" s="1"/>
  <c r="AA599" i="13" l="1"/>
  <c r="AB596" i="13"/>
  <c r="K599" i="13"/>
  <c r="P599" i="13" s="1"/>
  <c r="Q599" i="13" l="1"/>
  <c r="J599" i="13" s="1"/>
  <c r="R599" i="13"/>
  <c r="M599" i="13" l="1"/>
  <c r="T599" i="13" s="1"/>
  <c r="N599" i="13"/>
  <c r="L599" i="13"/>
  <c r="I600" i="13" l="1"/>
  <c r="O600" i="13" s="1"/>
  <c r="AA600" i="13" l="1"/>
  <c r="AB597" i="13"/>
  <c r="K600" i="13"/>
  <c r="P600" i="13" s="1"/>
  <c r="R600" i="13" l="1"/>
  <c r="Q600" i="13"/>
  <c r="J600" i="13" s="1"/>
  <c r="M600" i="13" l="1"/>
  <c r="T600" i="13" s="1"/>
  <c r="N600" i="13"/>
  <c r="L600" i="13"/>
  <c r="I601" i="13" l="1"/>
  <c r="O601" i="13" s="1"/>
  <c r="AA601" i="13" l="1"/>
  <c r="AB598" i="13"/>
  <c r="K601" i="13"/>
  <c r="P601" i="13" s="1"/>
  <c r="Q601" i="13" l="1"/>
  <c r="J601" i="13" s="1"/>
  <c r="R601" i="13"/>
  <c r="M601" i="13" l="1"/>
  <c r="T601" i="13" s="1"/>
  <c r="N601" i="13"/>
  <c r="L601" i="13"/>
  <c r="I602" i="13" l="1"/>
  <c r="O602" i="13" s="1"/>
  <c r="AA602" i="13" l="1"/>
  <c r="AB599" i="13"/>
  <c r="K602" i="13"/>
  <c r="P602" i="13" s="1"/>
  <c r="Q602" i="13" s="1"/>
  <c r="J602" i="13" s="1"/>
  <c r="R602" i="13" l="1"/>
  <c r="L602" i="13"/>
  <c r="M602" i="13"/>
  <c r="T602" i="13" s="1"/>
  <c r="N602" i="13"/>
  <c r="I603" i="13" l="1"/>
  <c r="O603" i="13" s="1"/>
  <c r="AA603" i="13" l="1"/>
  <c r="AB600" i="13"/>
  <c r="K603" i="13"/>
  <c r="P603" i="13" l="1"/>
  <c r="Q603" i="13" l="1"/>
  <c r="J603" i="13" s="1"/>
  <c r="R603" i="13"/>
  <c r="M603" i="13" l="1"/>
  <c r="T603" i="13" s="1"/>
  <c r="N603" i="13"/>
  <c r="L603" i="13"/>
  <c r="I604" i="13" l="1"/>
  <c r="O604" i="13" s="1"/>
  <c r="AA604" i="13" l="1"/>
  <c r="AB601" i="13"/>
  <c r="K604" i="13"/>
  <c r="P604" i="13" s="1"/>
  <c r="R604" i="13" l="1"/>
  <c r="Q604" i="13"/>
  <c r="J604" i="13" s="1"/>
  <c r="M604" i="13" l="1"/>
  <c r="T604" i="13" s="1"/>
  <c r="N604" i="13"/>
  <c r="L604" i="13"/>
  <c r="I605" i="13" l="1"/>
  <c r="O605" i="13" s="1"/>
  <c r="AA605" i="13" l="1"/>
  <c r="AB602" i="13"/>
  <c r="K605" i="13"/>
  <c r="P605" i="13" s="1"/>
  <c r="Q605" i="13" l="1"/>
  <c r="J605" i="13" s="1"/>
  <c r="R605" i="13"/>
  <c r="M605" i="13" l="1"/>
  <c r="T605" i="13" s="1"/>
  <c r="N605" i="13"/>
  <c r="L605" i="13"/>
  <c r="I606" i="13" l="1"/>
  <c r="O606" i="13" s="1"/>
  <c r="AA606" i="13" l="1"/>
  <c r="AB603" i="13"/>
  <c r="K606" i="13"/>
  <c r="P606" i="13" s="1"/>
  <c r="Q606" i="13" l="1"/>
  <c r="J606" i="13" s="1"/>
  <c r="R606" i="13"/>
  <c r="M606" i="13" l="1"/>
  <c r="T606" i="13" s="1"/>
  <c r="N606" i="13"/>
  <c r="L606" i="13"/>
  <c r="I607" i="13" l="1"/>
  <c r="O607" i="13" s="1"/>
  <c r="AA607" i="13" l="1"/>
  <c r="AB604" i="13"/>
  <c r="K607" i="13"/>
  <c r="P607" i="13" s="1"/>
  <c r="Q607" i="13" l="1"/>
  <c r="J607" i="13" s="1"/>
  <c r="R607" i="13"/>
  <c r="N607" i="13" l="1"/>
  <c r="M607" i="13"/>
  <c r="T607" i="13" s="1"/>
  <c r="L607" i="13"/>
  <c r="I608" i="13" l="1"/>
  <c r="O608" i="13" s="1"/>
  <c r="AA608" i="13" l="1"/>
  <c r="AB605" i="13"/>
  <c r="K608" i="13"/>
  <c r="P608" i="13" s="1"/>
  <c r="Q608" i="13" l="1"/>
  <c r="J608" i="13" s="1"/>
  <c r="R608" i="13"/>
  <c r="M608" i="13" l="1"/>
  <c r="T608" i="13" s="1"/>
  <c r="L608" i="13"/>
  <c r="N608" i="13"/>
  <c r="I609" i="13" l="1"/>
  <c r="O609" i="13" s="1"/>
  <c r="AA609" i="13" l="1"/>
  <c r="AB606" i="13"/>
  <c r="K609" i="13"/>
  <c r="P609" i="13" s="1"/>
  <c r="R609" i="13" l="1"/>
  <c r="Q609" i="13"/>
  <c r="J609" i="13" s="1"/>
  <c r="M609" i="13" l="1"/>
  <c r="T609" i="13" s="1"/>
  <c r="N609" i="13"/>
  <c r="L609" i="13"/>
  <c r="I610" i="13" l="1"/>
  <c r="O610" i="13" s="1"/>
  <c r="AA610" i="13" l="1"/>
  <c r="AB607" i="13"/>
  <c r="K610" i="13"/>
  <c r="P610" i="13" s="1"/>
  <c r="R610" i="13" l="1"/>
  <c r="Q610" i="13"/>
  <c r="J610" i="13" s="1"/>
  <c r="M610" i="13" l="1"/>
  <c r="T610" i="13" s="1"/>
  <c r="N610" i="13"/>
  <c r="L610" i="13"/>
  <c r="I611" i="13" l="1"/>
  <c r="O611" i="13" s="1"/>
  <c r="AA611" i="13" l="1"/>
  <c r="AB608" i="13"/>
  <c r="K611" i="13"/>
  <c r="P611" i="13" s="1"/>
  <c r="R611" i="13" l="1"/>
  <c r="Q611" i="13"/>
  <c r="J611" i="13" s="1"/>
  <c r="M611" i="13" l="1"/>
  <c r="T611" i="13" s="1"/>
  <c r="L611" i="13"/>
  <c r="N611" i="13"/>
  <c r="I612" i="13" l="1"/>
  <c r="O612" i="13" s="1"/>
  <c r="AA612" i="13" l="1"/>
  <c r="AB609" i="13"/>
  <c r="K612" i="13"/>
  <c r="P612" i="13" s="1"/>
  <c r="R612" i="13" s="1"/>
  <c r="Q612" i="13" l="1"/>
  <c r="J612" i="13" s="1"/>
  <c r="L612" i="13" s="1"/>
  <c r="N612" i="13" l="1"/>
  <c r="M612" i="13"/>
  <c r="T612" i="13" s="1"/>
  <c r="I613" i="13" l="1"/>
  <c r="O613" i="13" s="1"/>
  <c r="K613" i="13" l="1"/>
  <c r="P613" i="13" s="1"/>
  <c r="AA613" i="13"/>
  <c r="AB610" i="13"/>
  <c r="Q613" i="13" l="1"/>
  <c r="J613" i="13" s="1"/>
  <c r="R613" i="13"/>
  <c r="M613" i="13" l="1"/>
  <c r="T613" i="13" s="1"/>
  <c r="N613" i="13"/>
  <c r="L613" i="13"/>
  <c r="I614" i="13" l="1"/>
  <c r="O614" i="13" s="1"/>
  <c r="AA614" i="13" l="1"/>
  <c r="AB611" i="13"/>
  <c r="K614" i="13"/>
  <c r="P614" i="13" s="1"/>
  <c r="R614" i="13" l="1"/>
  <c r="Q614" i="13"/>
  <c r="J614" i="13" s="1"/>
  <c r="N614" i="13" l="1"/>
  <c r="M614" i="13"/>
  <c r="T614" i="13" s="1"/>
  <c r="L614" i="13"/>
  <c r="I615" i="13" l="1"/>
  <c r="O615" i="13" s="1"/>
  <c r="AA615" i="13" l="1"/>
  <c r="AB612" i="13"/>
  <c r="K615" i="13"/>
  <c r="P615" i="13" s="1"/>
  <c r="Q615" i="13" l="1"/>
  <c r="J615" i="13" s="1"/>
  <c r="R615" i="13"/>
  <c r="M615" i="13" l="1"/>
  <c r="T615" i="13" s="1"/>
  <c r="N615" i="13"/>
  <c r="L615" i="13"/>
  <c r="I616" i="13" l="1"/>
  <c r="O616" i="13" s="1"/>
  <c r="AA616" i="13" l="1"/>
  <c r="AB613" i="13"/>
  <c r="K616" i="13"/>
  <c r="P616" i="13" s="1"/>
  <c r="R616" i="13" l="1"/>
  <c r="Q616" i="13"/>
  <c r="J616" i="13" s="1"/>
  <c r="M616" i="13" l="1"/>
  <c r="T616" i="13" s="1"/>
  <c r="N616" i="13"/>
  <c r="L616" i="13"/>
  <c r="I617" i="13" l="1"/>
  <c r="O617" i="13" s="1"/>
  <c r="AA617" i="13" l="1"/>
  <c r="AB614" i="13"/>
  <c r="K617" i="13"/>
  <c r="P617" i="13" s="1"/>
  <c r="R617" i="13" s="1"/>
  <c r="Q617" i="13" l="1"/>
  <c r="J617" i="13" s="1"/>
  <c r="L617" i="13" s="1"/>
  <c r="N617" i="13" l="1"/>
  <c r="M617" i="13"/>
  <c r="T617" i="13" s="1"/>
  <c r="I618" i="13" l="1"/>
  <c r="O618" i="13" s="1"/>
  <c r="AA618" i="13" l="1"/>
  <c r="AB615" i="13"/>
  <c r="K618" i="13"/>
  <c r="P618" i="13" s="1"/>
  <c r="Q618" i="13" s="1"/>
  <c r="J618" i="13" s="1"/>
  <c r="R618" i="13" l="1"/>
  <c r="L618" i="13"/>
  <c r="M618" i="13"/>
  <c r="T618" i="13" s="1"/>
  <c r="N618" i="13"/>
  <c r="I619" i="13" l="1"/>
  <c r="O619" i="13" s="1"/>
  <c r="AA619" i="13" l="1"/>
  <c r="AB616" i="13"/>
  <c r="K619" i="13"/>
  <c r="P619" i="13" l="1"/>
  <c r="R619" i="13" l="1"/>
  <c r="Q619" i="13"/>
  <c r="J619" i="13" s="1"/>
  <c r="M619" i="13" l="1"/>
  <c r="T619" i="13" s="1"/>
  <c r="N619" i="13"/>
  <c r="L619" i="13"/>
  <c r="I620" i="13" l="1"/>
  <c r="O620" i="13" s="1"/>
  <c r="AA620" i="13" l="1"/>
  <c r="AB617" i="13"/>
  <c r="K620" i="13"/>
  <c r="P620" i="13" s="1"/>
  <c r="R620" i="13" l="1"/>
  <c r="Q620" i="13"/>
  <c r="J620" i="13" s="1"/>
  <c r="M620" i="13" l="1"/>
  <c r="T620" i="13" s="1"/>
  <c r="N620" i="13"/>
  <c r="L620" i="13"/>
  <c r="I621" i="13" l="1"/>
  <c r="O621" i="13" s="1"/>
  <c r="AA621" i="13" l="1"/>
  <c r="AB618" i="13"/>
  <c r="K621" i="13"/>
  <c r="P621" i="13" s="1"/>
  <c r="Q621" i="13" l="1"/>
  <c r="J621" i="13" s="1"/>
  <c r="R621" i="13"/>
  <c r="M621" i="13" l="1"/>
  <c r="T621" i="13" s="1"/>
  <c r="N621" i="13"/>
  <c r="L621" i="13"/>
  <c r="I622" i="13" l="1"/>
  <c r="O622" i="13" s="1"/>
  <c r="AA622" i="13" l="1"/>
  <c r="AB619" i="13"/>
  <c r="K622" i="13"/>
  <c r="P622" i="13" s="1"/>
  <c r="R622" i="13" s="1"/>
  <c r="Q622" i="13" l="1"/>
  <c r="J622" i="13" s="1"/>
  <c r="L622" i="13" s="1"/>
  <c r="N622" i="13" l="1"/>
  <c r="M622" i="13"/>
  <c r="T622" i="13" s="1"/>
  <c r="I623" i="13" l="1"/>
  <c r="O623" i="13" s="1"/>
  <c r="AA623" i="13" l="1"/>
  <c r="AB620" i="13"/>
  <c r="K623" i="13"/>
  <c r="P623" i="13" s="1"/>
  <c r="Q623" i="13" l="1"/>
  <c r="J623" i="13" s="1"/>
  <c r="R623" i="13"/>
  <c r="M623" i="13" l="1"/>
  <c r="T623" i="13" s="1"/>
  <c r="N623" i="13"/>
  <c r="L623" i="13"/>
  <c r="I624" i="13" l="1"/>
  <c r="O624" i="13" s="1"/>
  <c r="AA624" i="13" l="1"/>
  <c r="AB621" i="13"/>
  <c r="K624" i="13"/>
  <c r="P624" i="13" s="1"/>
  <c r="R624" i="13" l="1"/>
  <c r="Q624" i="13"/>
  <c r="J624" i="13" s="1"/>
  <c r="M624" i="13" l="1"/>
  <c r="T624" i="13" s="1"/>
  <c r="N624" i="13"/>
  <c r="L624" i="13"/>
  <c r="I625" i="13" l="1"/>
  <c r="O625" i="13" s="1"/>
  <c r="K625" i="13" l="1"/>
  <c r="P625" i="13" s="1"/>
  <c r="AA625" i="13"/>
  <c r="AB622" i="13"/>
  <c r="R625" i="13" l="1"/>
  <c r="Q625" i="13"/>
  <c r="J625" i="13" s="1"/>
  <c r="M625" i="13" l="1"/>
  <c r="T625" i="13" s="1"/>
  <c r="N625" i="13"/>
  <c r="L625" i="13"/>
  <c r="I626" i="13" l="1"/>
  <c r="O626" i="13" s="1"/>
  <c r="AA626" i="13" l="1"/>
  <c r="AB623" i="13"/>
  <c r="K626" i="13"/>
  <c r="P626" i="13" s="1"/>
  <c r="R626" i="13" l="1"/>
  <c r="Q626" i="13"/>
  <c r="J626" i="13" s="1"/>
  <c r="M626" i="13" l="1"/>
  <c r="T626" i="13" s="1"/>
  <c r="N626" i="13"/>
  <c r="L626" i="13"/>
  <c r="I627" i="13" l="1"/>
  <c r="O627" i="13" s="1"/>
  <c r="AA627" i="13" l="1"/>
  <c r="AB624" i="13"/>
  <c r="K627" i="13"/>
  <c r="P627" i="13" s="1"/>
  <c r="R627" i="13" l="1"/>
  <c r="Q627" i="13"/>
  <c r="J627" i="13" s="1"/>
  <c r="M627" i="13" l="1"/>
  <c r="T627" i="13" s="1"/>
  <c r="N627" i="13"/>
  <c r="L627" i="13"/>
  <c r="I628" i="13" l="1"/>
  <c r="O628" i="13" s="1"/>
  <c r="AA628" i="13" l="1"/>
  <c r="AB625" i="13"/>
  <c r="K628" i="13"/>
  <c r="P628" i="13" s="1"/>
  <c r="R628" i="13" l="1"/>
  <c r="Q628" i="13"/>
  <c r="J628" i="13" s="1"/>
  <c r="N628" i="13" l="1"/>
  <c r="M628" i="13"/>
  <c r="T628" i="13" s="1"/>
  <c r="L628" i="13"/>
  <c r="I629" i="13" l="1"/>
  <c r="O629" i="13" s="1"/>
  <c r="AA629" i="13" l="1"/>
  <c r="AB626" i="13"/>
  <c r="K629" i="13"/>
  <c r="P629" i="13" s="1"/>
  <c r="Q629" i="13" l="1"/>
  <c r="J629" i="13" s="1"/>
  <c r="R629" i="13"/>
  <c r="N629" i="13" l="1"/>
  <c r="M629" i="13"/>
  <c r="T629" i="13" s="1"/>
  <c r="L629" i="13"/>
  <c r="I630" i="13" l="1"/>
  <c r="O630" i="13" s="1"/>
  <c r="AA630" i="13" l="1"/>
  <c r="AB627" i="13"/>
  <c r="K630" i="13"/>
  <c r="P630" i="13" s="1"/>
  <c r="R630" i="13" l="1"/>
  <c r="Q630" i="13"/>
  <c r="J630" i="13" s="1"/>
  <c r="M630" i="13" l="1"/>
  <c r="T630" i="13" s="1"/>
  <c r="N630" i="13"/>
  <c r="L630" i="13"/>
  <c r="I631" i="13" l="1"/>
  <c r="O631" i="13" s="1"/>
  <c r="K631" i="13" l="1"/>
  <c r="P631" i="13" s="1"/>
  <c r="Q631" i="13" s="1"/>
  <c r="J631" i="13" s="1"/>
  <c r="AA631" i="13"/>
  <c r="AB628" i="13"/>
  <c r="R631" i="13" l="1"/>
  <c r="L631" i="13"/>
  <c r="M631" i="13"/>
  <c r="T631" i="13" s="1"/>
  <c r="N631" i="13"/>
  <c r="I632" i="13" l="1"/>
  <c r="O632" i="13" s="1"/>
  <c r="AA632" i="13" l="1"/>
  <c r="AB629" i="13"/>
  <c r="K632" i="13"/>
  <c r="P632" i="13" l="1"/>
  <c r="Q632" i="13" l="1"/>
  <c r="J632" i="13" s="1"/>
  <c r="R632" i="13"/>
  <c r="M632" i="13" l="1"/>
  <c r="T632" i="13" s="1"/>
  <c r="N632" i="13"/>
  <c r="L632" i="13"/>
  <c r="I633" i="13" l="1"/>
  <c r="O633" i="13" s="1"/>
  <c r="AA633" i="13" l="1"/>
  <c r="AB630" i="13"/>
  <c r="K633" i="13"/>
  <c r="P633" i="13" s="1"/>
  <c r="R633" i="13" l="1"/>
  <c r="Q633" i="13"/>
  <c r="J633" i="13" s="1"/>
  <c r="M633" i="13" l="1"/>
  <c r="T633" i="13" s="1"/>
  <c r="N633" i="13"/>
  <c r="L633" i="13"/>
  <c r="I634" i="13" l="1"/>
  <c r="O634" i="13" s="1"/>
  <c r="AA634" i="13" l="1"/>
  <c r="AB631" i="13"/>
  <c r="K634" i="13"/>
  <c r="P634" i="13" s="1"/>
  <c r="Q634" i="13" l="1"/>
  <c r="J634" i="13" s="1"/>
  <c r="R634" i="13"/>
  <c r="M634" i="13" l="1"/>
  <c r="T634" i="13" s="1"/>
  <c r="N634" i="13"/>
  <c r="L634" i="13"/>
  <c r="I635" i="13" l="1"/>
  <c r="O635" i="13" s="1"/>
  <c r="K635" i="13" l="1"/>
  <c r="P635" i="13" s="1"/>
  <c r="Q635" i="13" s="1"/>
  <c r="J635" i="13" s="1"/>
  <c r="AA635" i="13"/>
  <c r="AB632" i="13"/>
  <c r="R635" i="13" l="1"/>
  <c r="L635" i="13"/>
  <c r="M635" i="13"/>
  <c r="T635" i="13" s="1"/>
  <c r="N635" i="13"/>
  <c r="I636" i="13" l="1"/>
  <c r="O636" i="13" s="1"/>
  <c r="AA636" i="13" l="1"/>
  <c r="AB633" i="13"/>
  <c r="K636" i="13"/>
  <c r="P636" i="13" l="1"/>
  <c r="Q636" i="13" l="1"/>
  <c r="J636" i="13" s="1"/>
  <c r="R636" i="13"/>
  <c r="N636" i="13" l="1"/>
  <c r="M636" i="13"/>
  <c r="T636" i="13" s="1"/>
  <c r="L636" i="13"/>
  <c r="I637" i="13" l="1"/>
  <c r="O637" i="13" s="1"/>
  <c r="AA637" i="13" l="1"/>
  <c r="AB634" i="13"/>
  <c r="K637" i="13"/>
  <c r="P637" i="13" s="1"/>
  <c r="R637" i="13" l="1"/>
  <c r="Q637" i="13"/>
  <c r="J637" i="13" s="1"/>
  <c r="N637" i="13" l="1"/>
  <c r="M637" i="13"/>
  <c r="T637" i="13" s="1"/>
  <c r="L637" i="13"/>
  <c r="I638" i="13" l="1"/>
  <c r="O638" i="13" s="1"/>
  <c r="K638" i="13" l="1"/>
  <c r="P638" i="13" s="1"/>
  <c r="Q638" i="13" s="1"/>
  <c r="J638" i="13" s="1"/>
  <c r="AA638" i="13"/>
  <c r="AB635" i="13"/>
  <c r="R638" i="13" l="1"/>
  <c r="L638" i="13"/>
  <c r="M638" i="13"/>
  <c r="T638" i="13" s="1"/>
  <c r="N638" i="13"/>
  <c r="I639" i="13" l="1"/>
  <c r="O639" i="13" s="1"/>
  <c r="AA639" i="13" l="1"/>
  <c r="AB636" i="13"/>
  <c r="K639" i="13"/>
  <c r="P639" i="13" l="1"/>
  <c r="R639" i="13" l="1"/>
  <c r="Q639" i="13"/>
  <c r="J639" i="13" s="1"/>
  <c r="N639" i="13" l="1"/>
  <c r="M639" i="13"/>
  <c r="T639" i="13" s="1"/>
  <c r="L639" i="13"/>
  <c r="I640" i="13" l="1"/>
  <c r="O640" i="13" s="1"/>
  <c r="AA640" i="13" l="1"/>
  <c r="AB637" i="13"/>
  <c r="K640" i="13"/>
  <c r="P640" i="13" s="1"/>
  <c r="Q640" i="13" s="1"/>
  <c r="J640" i="13" s="1"/>
  <c r="R640" i="13" l="1"/>
  <c r="L640" i="13"/>
  <c r="M640" i="13"/>
  <c r="T640" i="13" s="1"/>
  <c r="N640" i="13"/>
  <c r="I641" i="13" l="1"/>
  <c r="O641" i="13" s="1"/>
  <c r="AA641" i="13" l="1"/>
  <c r="AB638" i="13"/>
  <c r="K641" i="13"/>
  <c r="P641" i="13" l="1"/>
  <c r="Q641" i="13" l="1"/>
  <c r="J641" i="13" s="1"/>
  <c r="R641" i="13"/>
  <c r="M641" i="13" l="1"/>
  <c r="T641" i="13" s="1"/>
  <c r="N641" i="13"/>
  <c r="L641" i="13"/>
  <c r="I642" i="13" l="1"/>
  <c r="O642" i="13" s="1"/>
  <c r="AA642" i="13" l="1"/>
  <c r="AB639" i="13"/>
  <c r="K642" i="13"/>
  <c r="P642" i="13" s="1"/>
  <c r="R642" i="13" l="1"/>
  <c r="Q642" i="13"/>
  <c r="J642" i="13" s="1"/>
  <c r="N642" i="13" l="1"/>
  <c r="M642" i="13"/>
  <c r="T642" i="13" s="1"/>
  <c r="L642" i="13"/>
  <c r="I643" i="13" l="1"/>
  <c r="O643" i="13" s="1"/>
  <c r="AA643" i="13" l="1"/>
  <c r="AB640" i="13"/>
  <c r="K643" i="13"/>
  <c r="P643" i="13" s="1"/>
  <c r="R643" i="13" l="1"/>
  <c r="Q643" i="13"/>
  <c r="J643" i="13" s="1"/>
  <c r="N643" i="13" l="1"/>
  <c r="M643" i="13"/>
  <c r="T643" i="13" s="1"/>
  <c r="L643" i="13"/>
  <c r="I644" i="13" l="1"/>
  <c r="O644" i="13" s="1"/>
  <c r="AA644" i="13" l="1"/>
  <c r="AB641" i="13"/>
  <c r="K644" i="13"/>
  <c r="P644" i="13" s="1"/>
  <c r="R644" i="13" s="1"/>
  <c r="Q644" i="13" l="1"/>
  <c r="J644" i="13" s="1"/>
  <c r="L644" i="13" s="1"/>
  <c r="N644" i="13" l="1"/>
  <c r="M644" i="13"/>
  <c r="T644" i="13" s="1"/>
  <c r="I645" i="13" l="1"/>
  <c r="O645" i="13" s="1"/>
  <c r="AA645" i="13" l="1"/>
  <c r="AB642" i="13"/>
  <c r="K645" i="13"/>
  <c r="P645" i="13" s="1"/>
  <c r="Q645" i="13" l="1"/>
  <c r="J645" i="13" s="1"/>
  <c r="R645" i="13"/>
  <c r="N645" i="13" l="1"/>
  <c r="M645" i="13"/>
  <c r="T645" i="13" s="1"/>
  <c r="L645" i="13"/>
  <c r="I646" i="13" l="1"/>
  <c r="O646" i="13" s="1"/>
  <c r="AA646" i="13" l="1"/>
  <c r="AB643" i="13"/>
  <c r="K646" i="13"/>
  <c r="P646" i="13" s="1"/>
  <c r="Q646" i="13" l="1"/>
  <c r="J646" i="13" s="1"/>
  <c r="R646" i="13"/>
  <c r="N646" i="13" l="1"/>
  <c r="M646" i="13"/>
  <c r="T646" i="13" s="1"/>
  <c r="L646" i="13"/>
  <c r="I647" i="13" l="1"/>
  <c r="O647" i="13" s="1"/>
  <c r="AA647" i="13" l="1"/>
  <c r="AB644" i="13"/>
  <c r="K647" i="13"/>
  <c r="P647" i="13" s="1"/>
  <c r="R647" i="13" s="1"/>
  <c r="Q647" i="13" l="1"/>
  <c r="J647" i="13" s="1"/>
  <c r="L647" i="13" s="1"/>
  <c r="N647" i="13" l="1"/>
  <c r="M647" i="13"/>
  <c r="T647" i="13" s="1"/>
  <c r="I648" i="13" l="1"/>
  <c r="O648" i="13" s="1"/>
  <c r="AA648" i="13" l="1"/>
  <c r="AB645" i="13"/>
  <c r="K648" i="13"/>
  <c r="P648" i="13" s="1"/>
  <c r="R648" i="13" l="1"/>
  <c r="Q648" i="13"/>
  <c r="J648" i="13" s="1"/>
  <c r="M648" i="13" l="1"/>
  <c r="T648" i="13" s="1"/>
  <c r="N648" i="13"/>
  <c r="L648" i="13"/>
  <c r="I649" i="13" l="1"/>
  <c r="O649" i="13" s="1"/>
  <c r="AA649" i="13" l="1"/>
  <c r="AB646" i="13"/>
  <c r="K649" i="13"/>
  <c r="P649" i="13" s="1"/>
  <c r="Q649" i="13" l="1"/>
  <c r="J649" i="13" s="1"/>
  <c r="R649" i="13"/>
  <c r="M649" i="13" l="1"/>
  <c r="T649" i="13" s="1"/>
  <c r="N649" i="13"/>
  <c r="L649" i="13"/>
  <c r="I650" i="13" l="1"/>
  <c r="O650" i="13" s="1"/>
  <c r="AA650" i="13" l="1"/>
  <c r="AB647" i="13"/>
  <c r="K650" i="13"/>
  <c r="P650" i="13" s="1"/>
  <c r="Q650" i="13" l="1"/>
  <c r="J650" i="13" s="1"/>
  <c r="R650" i="13"/>
  <c r="N650" i="13" l="1"/>
  <c r="M650" i="13"/>
  <c r="T650" i="13" s="1"/>
  <c r="L650" i="13"/>
  <c r="I651" i="13" l="1"/>
  <c r="O651" i="13" s="1"/>
  <c r="AA651" i="13" l="1"/>
  <c r="AB648" i="13"/>
  <c r="K651" i="13"/>
  <c r="P651" i="13" s="1"/>
  <c r="Q651" i="13" s="1"/>
  <c r="J651" i="13" s="1"/>
  <c r="R651" i="13" l="1"/>
  <c r="L651" i="13"/>
  <c r="M651" i="13"/>
  <c r="T651" i="13" s="1"/>
  <c r="N651" i="13"/>
  <c r="I652" i="13" l="1"/>
  <c r="O652" i="13" s="1"/>
  <c r="AA652" i="13" l="1"/>
  <c r="AB649" i="13"/>
  <c r="K652" i="13"/>
  <c r="P652" i="13" s="1"/>
  <c r="Q652" i="13" l="1"/>
  <c r="J652" i="13" s="1"/>
  <c r="L652" i="13" s="1"/>
  <c r="R652" i="13"/>
  <c r="N652" i="13" l="1"/>
  <c r="M652" i="13"/>
  <c r="T652" i="13" s="1"/>
  <c r="I653" i="13" l="1"/>
  <c r="O653" i="13" s="1"/>
  <c r="AA653" i="13" l="1"/>
  <c r="AB650" i="13"/>
  <c r="K653" i="13"/>
  <c r="P653" i="13" s="1"/>
  <c r="R653" i="13" l="1"/>
  <c r="Q653" i="13"/>
  <c r="J653" i="13" s="1"/>
  <c r="M653" i="13" l="1"/>
  <c r="T653" i="13" s="1"/>
  <c r="N653" i="13"/>
  <c r="L653" i="13"/>
  <c r="I654" i="13" l="1"/>
  <c r="O654" i="13" s="1"/>
  <c r="AA654" i="13" l="1"/>
  <c r="AB651" i="13"/>
  <c r="K654" i="13"/>
  <c r="P654" i="13" s="1"/>
  <c r="R654" i="13" l="1"/>
  <c r="Q654" i="13"/>
  <c r="J654" i="13" s="1"/>
  <c r="M654" i="13" l="1"/>
  <c r="T654" i="13" s="1"/>
  <c r="N654" i="13"/>
  <c r="L654" i="13"/>
  <c r="I655" i="13" l="1"/>
  <c r="O655" i="13" s="1"/>
  <c r="AA655" i="13" l="1"/>
  <c r="AB652" i="13"/>
  <c r="K655" i="13"/>
  <c r="P655" i="13" s="1"/>
  <c r="R655" i="13" l="1"/>
  <c r="Q655" i="13"/>
  <c r="J655" i="13" s="1"/>
  <c r="M655" i="13" l="1"/>
  <c r="T655" i="13" s="1"/>
  <c r="N655" i="13"/>
  <c r="L655" i="13"/>
  <c r="I656" i="13" l="1"/>
  <c r="O656" i="13" s="1"/>
  <c r="AA656" i="13" l="1"/>
  <c r="AB653" i="13"/>
  <c r="K656" i="13"/>
  <c r="P656" i="13" s="1"/>
  <c r="Q656" i="13" l="1"/>
  <c r="J656" i="13" s="1"/>
  <c r="R656" i="13"/>
  <c r="M656" i="13" l="1"/>
  <c r="T656" i="13" s="1"/>
  <c r="N656" i="13"/>
  <c r="L656" i="13"/>
  <c r="I657" i="13" l="1"/>
  <c r="O657" i="13" s="1"/>
  <c r="AA657" i="13" l="1"/>
  <c r="AB654" i="13"/>
  <c r="K657" i="13"/>
  <c r="P657" i="13" s="1"/>
  <c r="R657" i="13" l="1"/>
  <c r="Q657" i="13"/>
  <c r="J657" i="13" s="1"/>
  <c r="M657" i="13" l="1"/>
  <c r="T657" i="13" s="1"/>
  <c r="N657" i="13"/>
  <c r="L657" i="13"/>
  <c r="I658" i="13" l="1"/>
  <c r="O658" i="13" s="1"/>
  <c r="AA658" i="13" l="1"/>
  <c r="AB655" i="13"/>
  <c r="K658" i="13"/>
  <c r="P658" i="13" s="1"/>
  <c r="Q658" i="13" l="1"/>
  <c r="J658" i="13" s="1"/>
  <c r="R658" i="13"/>
  <c r="M658" i="13" l="1"/>
  <c r="T658" i="13" s="1"/>
  <c r="L658" i="13"/>
  <c r="N658" i="13"/>
  <c r="I659" i="13" l="1"/>
  <c r="O659" i="13" s="1"/>
  <c r="AA659" i="13" l="1"/>
  <c r="AB656" i="13"/>
  <c r="K659" i="13"/>
  <c r="P659" i="13" s="1"/>
  <c r="Q659" i="13" l="1"/>
  <c r="J659" i="13" s="1"/>
  <c r="R659" i="13"/>
  <c r="N659" i="13" l="1"/>
  <c r="M659" i="13"/>
  <c r="T659" i="13" s="1"/>
  <c r="L659" i="13"/>
  <c r="I660" i="13" l="1"/>
  <c r="O660" i="13" s="1"/>
  <c r="AA660" i="13" l="1"/>
  <c r="AB657" i="13"/>
  <c r="K660" i="13"/>
  <c r="P660" i="13" s="1"/>
  <c r="Q660" i="13" s="1"/>
  <c r="J660" i="13" s="1"/>
  <c r="L660" i="13" s="1"/>
  <c r="R660" i="13" l="1"/>
  <c r="N660" i="13"/>
  <c r="M660" i="13"/>
  <c r="T660" i="13" s="1"/>
  <c r="I661" i="13" l="1"/>
  <c r="O661" i="13" s="1"/>
  <c r="AA661" i="13" l="1"/>
  <c r="AB658" i="13"/>
  <c r="K661" i="13"/>
  <c r="P661" i="13" s="1"/>
  <c r="R661" i="13" l="1"/>
  <c r="Q661" i="13"/>
  <c r="J661" i="13" s="1"/>
  <c r="N661" i="13" l="1"/>
  <c r="M661" i="13"/>
  <c r="T661" i="13" s="1"/>
  <c r="L661" i="13"/>
  <c r="I662" i="13" l="1"/>
  <c r="O662" i="13" s="1"/>
  <c r="AA662" i="13" l="1"/>
  <c r="AB659" i="13"/>
  <c r="K662" i="13"/>
  <c r="P662" i="13" s="1"/>
  <c r="R662" i="13" s="1"/>
  <c r="Q662" i="13" l="1"/>
  <c r="J662" i="13" s="1"/>
  <c r="L662" i="13" s="1"/>
  <c r="N662" i="13" l="1"/>
  <c r="M662" i="13"/>
  <c r="T662" i="13" s="1"/>
  <c r="I663" i="13" l="1"/>
  <c r="O663" i="13" s="1"/>
  <c r="AA663" i="13" l="1"/>
  <c r="AB660" i="13"/>
  <c r="K663" i="13"/>
  <c r="P663" i="13" s="1"/>
  <c r="R663" i="13" s="1"/>
  <c r="Q663" i="13" l="1"/>
  <c r="J663" i="13" s="1"/>
  <c r="M663" i="13" s="1"/>
  <c r="T663" i="13" s="1"/>
  <c r="L663" i="13" l="1"/>
  <c r="N663" i="13"/>
  <c r="I664" i="13" l="1"/>
  <c r="O664" i="13" s="1"/>
  <c r="AA664" i="13" l="1"/>
  <c r="AB661" i="13"/>
  <c r="K664" i="13"/>
  <c r="P664" i="13" s="1"/>
  <c r="R664" i="13" s="1"/>
  <c r="Q664" i="13" l="1"/>
  <c r="J664" i="13" s="1"/>
  <c r="L664" i="13" s="1"/>
  <c r="N664" i="13" l="1"/>
  <c r="M664" i="13"/>
  <c r="T664" i="13" s="1"/>
  <c r="I665" i="13" l="1"/>
  <c r="O665" i="13" s="1"/>
  <c r="K665" i="13" l="1"/>
  <c r="P665" i="13" s="1"/>
  <c r="R665" i="13" s="1"/>
  <c r="AA665" i="13"/>
  <c r="AB662" i="13"/>
  <c r="Q665" i="13" l="1"/>
  <c r="J665" i="13" s="1"/>
  <c r="N665" i="13" s="1"/>
  <c r="L665" i="13" l="1"/>
  <c r="M665" i="13"/>
  <c r="T665" i="13" s="1"/>
  <c r="I666" i="13" l="1"/>
  <c r="O666" i="13" s="1"/>
  <c r="AA666" i="13" l="1"/>
  <c r="AB663" i="13"/>
  <c r="K666" i="13"/>
  <c r="P666" i="13" s="1"/>
  <c r="Q666" i="13" s="1"/>
  <c r="J666" i="13" s="1"/>
  <c r="M666" i="13" s="1"/>
  <c r="T666" i="13" s="1"/>
  <c r="R666" i="13" l="1"/>
  <c r="L666" i="13"/>
  <c r="N666" i="13"/>
  <c r="I667" i="13" l="1"/>
  <c r="O667" i="13" s="1"/>
  <c r="AA667" i="13" l="1"/>
  <c r="AB664" i="13"/>
  <c r="K667" i="13"/>
  <c r="P667" i="13" s="1"/>
  <c r="Q667" i="13" s="1"/>
  <c r="J667" i="13" s="1"/>
  <c r="L667" i="13" s="1"/>
  <c r="M667" i="13" l="1"/>
  <c r="T667" i="13" s="1"/>
  <c r="N667" i="13"/>
  <c r="R667" i="13"/>
  <c r="I668" i="13" l="1"/>
  <c r="O668" i="13" s="1"/>
  <c r="AA668" i="13" l="1"/>
  <c r="AB665" i="13"/>
  <c r="K668" i="13"/>
  <c r="P668" i="13" s="1"/>
  <c r="R668" i="13" s="1"/>
  <c r="Q668" i="13" l="1"/>
  <c r="J668" i="13" s="1"/>
  <c r="M668" i="13" s="1"/>
  <c r="T668" i="13" s="1"/>
  <c r="N668" i="13" l="1"/>
  <c r="L668" i="13"/>
  <c r="I669" i="13" l="1"/>
  <c r="O669" i="13" s="1"/>
  <c r="AA669" i="13" l="1"/>
  <c r="AB666" i="13"/>
  <c r="K669" i="13"/>
  <c r="P669" i="13" s="1"/>
  <c r="R669" i="13" s="1"/>
  <c r="Q669" i="13" l="1"/>
  <c r="J669" i="13" s="1"/>
  <c r="N669" i="13" s="1"/>
  <c r="L669" i="13" l="1"/>
  <c r="M669" i="13"/>
  <c r="T669" i="13" s="1"/>
  <c r="I670" i="13" l="1"/>
  <c r="O670" i="13" s="1"/>
  <c r="AA670" i="13" l="1"/>
  <c r="AB667" i="13"/>
  <c r="K670" i="13"/>
  <c r="P670" i="13" s="1"/>
  <c r="R670" i="13" s="1"/>
  <c r="Q670" i="13" l="1"/>
  <c r="J670" i="13" s="1"/>
  <c r="N670" i="13" s="1"/>
  <c r="L670" i="13" l="1"/>
  <c r="M670" i="13"/>
  <c r="T670" i="13" s="1"/>
  <c r="I671" i="13" l="1"/>
  <c r="O671" i="13" s="1"/>
  <c r="AA671" i="13" l="1"/>
  <c r="AB668" i="13"/>
  <c r="K671" i="13"/>
  <c r="P671" i="13" s="1"/>
  <c r="Q671" i="13" s="1"/>
  <c r="J671" i="13" s="1"/>
  <c r="R671" i="13" l="1"/>
  <c r="M671" i="13"/>
  <c r="T671" i="13" s="1"/>
  <c r="N671" i="13"/>
  <c r="L671" i="13"/>
  <c r="I672" i="13" l="1"/>
  <c r="O672" i="13" s="1"/>
  <c r="AA672" i="13" l="1"/>
  <c r="AB669" i="13"/>
  <c r="K672" i="13"/>
  <c r="P672" i="13" s="1"/>
  <c r="Q672" i="13" s="1"/>
  <c r="J672" i="13" s="1"/>
  <c r="R672" i="13" l="1"/>
  <c r="L672" i="13"/>
  <c r="M672" i="13"/>
  <c r="T672" i="13" s="1"/>
  <c r="N672" i="13"/>
  <c r="I673" i="13" l="1"/>
  <c r="O673" i="13" s="1"/>
  <c r="AA673" i="13" l="1"/>
  <c r="AB670" i="13"/>
  <c r="K673" i="13"/>
  <c r="P673" i="13" l="1"/>
  <c r="R673" i="13" l="1"/>
  <c r="Q673" i="13"/>
  <c r="J673" i="13" s="1"/>
  <c r="M673" i="13" l="1"/>
  <c r="T673" i="13" s="1"/>
  <c r="N673" i="13"/>
  <c r="L673" i="13"/>
  <c r="I674" i="13" l="1"/>
  <c r="O674" i="13" s="1"/>
  <c r="AA674" i="13" l="1"/>
  <c r="AB671" i="13"/>
  <c r="K674" i="13"/>
  <c r="P674" i="13" s="1"/>
  <c r="Q674" i="13" l="1"/>
  <c r="J674" i="13" s="1"/>
  <c r="R674" i="13"/>
  <c r="M674" i="13" l="1"/>
  <c r="T674" i="13" s="1"/>
  <c r="N674" i="13"/>
  <c r="L674" i="13"/>
  <c r="I675" i="13" l="1"/>
  <c r="O675" i="13" s="1"/>
  <c r="AA675" i="13" l="1"/>
  <c r="AB672" i="13"/>
  <c r="K675" i="13"/>
  <c r="P675" i="13" s="1"/>
  <c r="Q675" i="13" l="1"/>
  <c r="J675" i="13" s="1"/>
  <c r="R675" i="13"/>
  <c r="M675" i="13" l="1"/>
  <c r="T675" i="13" s="1"/>
  <c r="N675" i="13"/>
  <c r="L675" i="13"/>
  <c r="I676" i="13" l="1"/>
  <c r="O676" i="13" s="1"/>
  <c r="AA676" i="13" l="1"/>
  <c r="AB673" i="13"/>
  <c r="K676" i="13"/>
  <c r="P676" i="13" s="1"/>
  <c r="Q676" i="13" s="1"/>
  <c r="J676" i="13" s="1"/>
  <c r="R676" i="13" l="1"/>
  <c r="L676" i="13"/>
  <c r="M676" i="13"/>
  <c r="T676" i="13" s="1"/>
  <c r="N676" i="13"/>
  <c r="I677" i="13" l="1"/>
  <c r="O677" i="13" s="1"/>
  <c r="AA677" i="13" l="1"/>
  <c r="AB674" i="13"/>
  <c r="K677" i="13"/>
  <c r="P677" i="13" s="1"/>
  <c r="R677" i="13" l="1"/>
  <c r="Q677" i="13"/>
  <c r="J677" i="13" s="1"/>
  <c r="L677" i="13" l="1"/>
  <c r="M677" i="13"/>
  <c r="T677" i="13" s="1"/>
  <c r="N677" i="13"/>
  <c r="I678" i="13" l="1"/>
  <c r="O678" i="13" s="1"/>
  <c r="AA678" i="13" l="1"/>
  <c r="AB675" i="13"/>
  <c r="K678" i="13"/>
  <c r="P678" i="13" l="1"/>
  <c r="R678" i="13" l="1"/>
  <c r="Q678" i="13"/>
  <c r="J678" i="13" s="1"/>
  <c r="N678" i="13" l="1"/>
  <c r="M678" i="13"/>
  <c r="T678" i="13" s="1"/>
  <c r="L678" i="13"/>
  <c r="I679" i="13" l="1"/>
  <c r="O679" i="13" s="1"/>
  <c r="AA679" i="13" l="1"/>
  <c r="AB676" i="13"/>
  <c r="K679" i="13"/>
  <c r="P679" i="13" s="1"/>
  <c r="Q679" i="13" s="1"/>
  <c r="J679" i="13" s="1"/>
  <c r="R679" i="13" l="1"/>
  <c r="L679" i="13"/>
  <c r="M679" i="13"/>
  <c r="T679" i="13" s="1"/>
  <c r="N679" i="13"/>
  <c r="I680" i="13" l="1"/>
  <c r="O680" i="13" s="1"/>
  <c r="AA680" i="13" l="1"/>
  <c r="AB677" i="13"/>
  <c r="K680" i="13"/>
  <c r="P680" i="13" l="1"/>
  <c r="R680" i="13" l="1"/>
  <c r="Q680" i="13"/>
  <c r="J680" i="13" s="1"/>
  <c r="M680" i="13" l="1"/>
  <c r="T680" i="13" s="1"/>
  <c r="N680" i="13"/>
  <c r="L680" i="13"/>
  <c r="I681" i="13" l="1"/>
  <c r="O681" i="13" s="1"/>
  <c r="AA681" i="13" l="1"/>
  <c r="AB678" i="13"/>
  <c r="K681" i="13"/>
  <c r="P681" i="13" s="1"/>
  <c r="R681" i="13" l="1"/>
  <c r="Q681" i="13"/>
  <c r="J681" i="13" s="1"/>
  <c r="M681" i="13" l="1"/>
  <c r="T681" i="13" s="1"/>
  <c r="N681" i="13"/>
  <c r="L681" i="13"/>
  <c r="I682" i="13" l="1"/>
  <c r="O682" i="13" s="1"/>
  <c r="AA682" i="13" l="1"/>
  <c r="AB679" i="13"/>
  <c r="K682" i="13"/>
  <c r="P682" i="13" s="1"/>
  <c r="R682" i="13" l="1"/>
  <c r="Q682" i="13"/>
  <c r="J682" i="13" s="1"/>
  <c r="M682" i="13" l="1"/>
  <c r="T682" i="13" s="1"/>
  <c r="N682" i="13"/>
  <c r="L682" i="13"/>
  <c r="I683" i="13" l="1"/>
  <c r="O683" i="13" s="1"/>
  <c r="AA683" i="13" l="1"/>
  <c r="AB680" i="13"/>
  <c r="K683" i="13"/>
  <c r="P683" i="13" s="1"/>
  <c r="Q683" i="13" l="1"/>
  <c r="J683" i="13" s="1"/>
  <c r="R683" i="13"/>
  <c r="M683" i="13" l="1"/>
  <c r="T683" i="13" s="1"/>
  <c r="N683" i="13"/>
  <c r="L683" i="13"/>
  <c r="I684" i="13" l="1"/>
  <c r="O684" i="13" s="1"/>
  <c r="K684" i="13" l="1"/>
  <c r="P684" i="13" s="1"/>
  <c r="AA684" i="13"/>
  <c r="AB681" i="13"/>
  <c r="Q684" i="13" l="1"/>
  <c r="J684" i="13" s="1"/>
  <c r="R684" i="13"/>
  <c r="M684" i="13" l="1"/>
  <c r="T684" i="13" s="1"/>
  <c r="N684" i="13"/>
  <c r="L684" i="13"/>
  <c r="I685" i="13" l="1"/>
  <c r="O685" i="13" s="1"/>
  <c r="AA685" i="13" l="1"/>
  <c r="AB682" i="13"/>
  <c r="K685" i="13"/>
  <c r="P685" i="13" s="1"/>
  <c r="Q685" i="13" l="1"/>
  <c r="J685" i="13" s="1"/>
  <c r="R685" i="13"/>
  <c r="N685" i="13" l="1"/>
  <c r="M685" i="13"/>
  <c r="T685" i="13" s="1"/>
  <c r="L685" i="13"/>
  <c r="I686" i="13" l="1"/>
  <c r="O686" i="13" s="1"/>
  <c r="AA686" i="13" l="1"/>
  <c r="AB683" i="13"/>
  <c r="K686" i="13"/>
  <c r="P686" i="13" s="1"/>
  <c r="R686" i="13" l="1"/>
  <c r="Q686" i="13"/>
  <c r="J686" i="13" s="1"/>
  <c r="N686" i="13" l="1"/>
  <c r="M686" i="13"/>
  <c r="T686" i="13" s="1"/>
  <c r="L686" i="13"/>
  <c r="I687" i="13" l="1"/>
  <c r="O687" i="13" s="1"/>
  <c r="AA687" i="13" l="1"/>
  <c r="AB684" i="13"/>
  <c r="K687" i="13"/>
  <c r="P687" i="13" s="1"/>
  <c r="R687" i="13" l="1"/>
  <c r="Q687" i="13"/>
  <c r="J687" i="13" s="1"/>
  <c r="N687" i="13" l="1"/>
  <c r="M687" i="13"/>
  <c r="T687" i="13" s="1"/>
  <c r="L687" i="13"/>
  <c r="I688" i="13" l="1"/>
  <c r="O688" i="13" s="1"/>
  <c r="AA688" i="13" l="1"/>
  <c r="AB685" i="13"/>
  <c r="K688" i="13"/>
  <c r="P688" i="13" s="1"/>
  <c r="R688" i="13" l="1"/>
  <c r="Q688" i="13"/>
  <c r="J688" i="13" s="1"/>
  <c r="N688" i="13" l="1"/>
  <c r="M688" i="13"/>
  <c r="T688" i="13" s="1"/>
  <c r="L688" i="13"/>
  <c r="I689" i="13" l="1"/>
  <c r="O689" i="13" s="1"/>
  <c r="AA689" i="13" l="1"/>
  <c r="AB686" i="13"/>
  <c r="K689" i="13"/>
  <c r="P689" i="13" s="1"/>
  <c r="Q689" i="13" l="1"/>
  <c r="J689" i="13" s="1"/>
  <c r="R689" i="13"/>
  <c r="N689" i="13" l="1"/>
  <c r="M689" i="13"/>
  <c r="T689" i="13" s="1"/>
  <c r="L689" i="13"/>
  <c r="I690" i="13" l="1"/>
  <c r="O690" i="13" s="1"/>
  <c r="AA690" i="13" l="1"/>
  <c r="AB687" i="13"/>
  <c r="K690" i="13"/>
  <c r="P690" i="13" s="1"/>
  <c r="Q690" i="13" l="1"/>
  <c r="J690" i="13" s="1"/>
  <c r="R690" i="13"/>
  <c r="M690" i="13" l="1"/>
  <c r="T690" i="13" s="1"/>
  <c r="N690" i="13"/>
  <c r="L690" i="13"/>
  <c r="I691" i="13" l="1"/>
  <c r="O691" i="13" s="1"/>
  <c r="AA691" i="13" l="1"/>
  <c r="AB688" i="13"/>
  <c r="K691" i="13"/>
  <c r="P691" i="13" s="1"/>
  <c r="Q691" i="13" s="1"/>
  <c r="J691" i="13" s="1"/>
  <c r="R691" i="13" l="1"/>
  <c r="L691" i="13"/>
  <c r="M691" i="13"/>
  <c r="T691" i="13" s="1"/>
  <c r="N691" i="13"/>
  <c r="I692" i="13" l="1"/>
  <c r="O692" i="13" s="1"/>
  <c r="AA692" i="13" l="1"/>
  <c r="AB689" i="13"/>
  <c r="K692" i="13"/>
  <c r="P692" i="13" l="1"/>
  <c r="Q692" i="13" l="1"/>
  <c r="J692" i="13" s="1"/>
  <c r="R692" i="13"/>
  <c r="N692" i="13" l="1"/>
  <c r="M692" i="13"/>
  <c r="T692" i="13" s="1"/>
  <c r="L692" i="13"/>
  <c r="I693" i="13" l="1"/>
  <c r="O693" i="13" s="1"/>
  <c r="AA693" i="13" l="1"/>
  <c r="AB690" i="13"/>
  <c r="K693" i="13"/>
  <c r="P693" i="13" s="1"/>
  <c r="Q693" i="13" l="1"/>
  <c r="J693" i="13" s="1"/>
  <c r="R693" i="13"/>
  <c r="N693" i="13" l="1"/>
  <c r="M693" i="13"/>
  <c r="T693" i="13" s="1"/>
  <c r="L693" i="13"/>
  <c r="I694" i="13" l="1"/>
  <c r="O694" i="13" s="1"/>
  <c r="AA694" i="13" l="1"/>
  <c r="AB691" i="13"/>
  <c r="K694" i="13"/>
  <c r="P694" i="13" s="1"/>
  <c r="R694" i="13" l="1"/>
  <c r="Q694" i="13"/>
  <c r="J694" i="13" s="1"/>
  <c r="M694" i="13" l="1"/>
  <c r="T694" i="13" s="1"/>
  <c r="N694" i="13"/>
  <c r="L694" i="13"/>
  <c r="I695" i="13" l="1"/>
  <c r="O695" i="13" s="1"/>
  <c r="AA695" i="13" l="1"/>
  <c r="AB692" i="13"/>
  <c r="K695" i="13"/>
  <c r="P695" i="13" s="1"/>
  <c r="R695" i="13" l="1"/>
  <c r="Q695" i="13"/>
  <c r="J695" i="13" s="1"/>
  <c r="M695" i="13" l="1"/>
  <c r="T695" i="13" s="1"/>
  <c r="N695" i="13"/>
  <c r="L695" i="13"/>
  <c r="I696" i="13" l="1"/>
  <c r="O696" i="13" s="1"/>
  <c r="AA696" i="13" l="1"/>
  <c r="AB693" i="13"/>
  <c r="K696" i="13"/>
  <c r="P696" i="13" s="1"/>
  <c r="R696" i="13" l="1"/>
  <c r="Q696" i="13"/>
  <c r="J696" i="13" s="1"/>
  <c r="M696" i="13" l="1"/>
  <c r="T696" i="13" s="1"/>
  <c r="N696" i="13"/>
  <c r="L696" i="13"/>
  <c r="I697" i="13" l="1"/>
  <c r="O697" i="13" s="1"/>
  <c r="AA697" i="13" l="1"/>
  <c r="AB694" i="13"/>
  <c r="K697" i="13"/>
  <c r="P697" i="13" s="1"/>
  <c r="R697" i="13" s="1"/>
  <c r="Q697" i="13" l="1"/>
  <c r="J697" i="13" s="1"/>
  <c r="L697" i="13" s="1"/>
  <c r="N697" i="13" l="1"/>
  <c r="M697" i="13"/>
  <c r="T697" i="13" s="1"/>
  <c r="I698" i="13" l="1"/>
  <c r="O698" i="13" s="1"/>
  <c r="AA698" i="13" l="1"/>
  <c r="AB695" i="13"/>
  <c r="K698" i="13"/>
  <c r="P698" i="13" s="1"/>
  <c r="R698" i="13" s="1"/>
  <c r="Q698" i="13" l="1"/>
  <c r="J698" i="13" s="1"/>
  <c r="M698" i="13" s="1"/>
  <c r="T698" i="13" s="1"/>
  <c r="L698" i="13" l="1"/>
  <c r="N698" i="13"/>
  <c r="I699" i="13" l="1"/>
  <c r="O699" i="13" s="1"/>
  <c r="AA699" i="13" l="1"/>
  <c r="AB696" i="13"/>
  <c r="K699" i="13"/>
  <c r="P699" i="13" s="1"/>
  <c r="R699" i="13" s="1"/>
  <c r="Q699" i="13" l="1"/>
  <c r="J699" i="13" s="1"/>
  <c r="N699" i="13" s="1"/>
  <c r="L699" i="13" l="1"/>
  <c r="M699" i="13"/>
  <c r="T699" i="13" s="1"/>
  <c r="I700" i="13" l="1"/>
  <c r="O700" i="13" s="1"/>
  <c r="AA700" i="13" l="1"/>
  <c r="AB697" i="13"/>
  <c r="K700" i="13"/>
  <c r="P700" i="13" s="1"/>
  <c r="R700" i="13" s="1"/>
  <c r="Q700" i="13" l="1"/>
  <c r="J700" i="13" s="1"/>
  <c r="M700" i="13" s="1"/>
  <c r="T700" i="13" s="1"/>
  <c r="L700" i="13" l="1"/>
  <c r="N700" i="13"/>
  <c r="I701" i="13" l="1"/>
  <c r="O701" i="13" s="1"/>
  <c r="AA701" i="13" l="1"/>
  <c r="AB698" i="13"/>
  <c r="K701" i="13"/>
  <c r="P701" i="13" s="1"/>
  <c r="R701" i="13" s="1"/>
  <c r="Q701" i="13" l="1"/>
  <c r="J701" i="13" s="1"/>
  <c r="L701" i="13" s="1"/>
  <c r="M701" i="13" l="1"/>
  <c r="T701" i="13" s="1"/>
  <c r="N701" i="13"/>
  <c r="I702" i="13" l="1"/>
  <c r="O702" i="13" s="1"/>
  <c r="AA702" i="13" l="1"/>
  <c r="AB699" i="13"/>
  <c r="K702" i="13"/>
  <c r="P702" i="13" s="1"/>
  <c r="Q702" i="13" s="1"/>
  <c r="J702" i="13" s="1"/>
  <c r="R702" i="13" l="1"/>
  <c r="N702" i="13"/>
  <c r="M702" i="13"/>
  <c r="T702" i="13" s="1"/>
  <c r="L702" i="13"/>
  <c r="I703" i="13" l="1"/>
  <c r="O703" i="13" s="1"/>
  <c r="AA703" i="13" l="1"/>
  <c r="AB700" i="13"/>
  <c r="K703" i="13"/>
  <c r="P703" i="13" s="1"/>
  <c r="R703" i="13" l="1"/>
  <c r="Q703" i="13"/>
  <c r="J703" i="13" s="1"/>
  <c r="N703" i="13" l="1"/>
  <c r="M703" i="13"/>
  <c r="T703" i="13" s="1"/>
  <c r="L703" i="13"/>
  <c r="I704" i="13" l="1"/>
  <c r="O704" i="13" s="1"/>
  <c r="K704" i="13" l="1"/>
  <c r="P704" i="13" s="1"/>
  <c r="AA704" i="13"/>
  <c r="AB701" i="13"/>
  <c r="R704" i="13" l="1"/>
  <c r="Q704" i="13"/>
  <c r="J704" i="13" s="1"/>
  <c r="N704" i="13" l="1"/>
  <c r="M704" i="13"/>
  <c r="T704" i="13" s="1"/>
  <c r="L704" i="13"/>
  <c r="I705" i="13" l="1"/>
  <c r="O705" i="13" s="1"/>
  <c r="AA705" i="13" l="1"/>
  <c r="AB702" i="13"/>
  <c r="K705" i="13"/>
  <c r="P705" i="13" s="1"/>
  <c r="R705" i="13" l="1"/>
  <c r="Q705" i="13"/>
  <c r="J705" i="13" s="1"/>
  <c r="M705" i="13" l="1"/>
  <c r="T705" i="13" s="1"/>
  <c r="N705" i="13"/>
  <c r="L705" i="13"/>
  <c r="I706" i="13" l="1"/>
  <c r="O706" i="13" s="1"/>
  <c r="K706" i="13" l="1"/>
  <c r="P706" i="13" s="1"/>
  <c r="AA706" i="13"/>
  <c r="AB703" i="13"/>
  <c r="Q706" i="13" l="1"/>
  <c r="J706" i="13" s="1"/>
  <c r="R706" i="13"/>
  <c r="N706" i="13" l="1"/>
  <c r="M706" i="13"/>
  <c r="T706" i="13" s="1"/>
  <c r="L706" i="13"/>
  <c r="I707" i="13" l="1"/>
  <c r="O707" i="13" s="1"/>
  <c r="AA707" i="13" l="1"/>
  <c r="AB704" i="13"/>
  <c r="K707" i="13"/>
  <c r="P707" i="13" s="1"/>
  <c r="R707" i="13" s="1"/>
  <c r="Q707" i="13" l="1"/>
  <c r="J707" i="13" s="1"/>
  <c r="N707" i="13" s="1"/>
  <c r="M707" i="13" l="1"/>
  <c r="T707" i="13" s="1"/>
  <c r="L707" i="13"/>
  <c r="I708" i="13" l="1"/>
  <c r="O708" i="13" s="1"/>
  <c r="AA708" i="13" l="1"/>
  <c r="AB705" i="13"/>
  <c r="K708" i="13"/>
  <c r="P708" i="13" s="1"/>
  <c r="R708" i="13" l="1"/>
  <c r="Q708" i="13"/>
  <c r="J708" i="13" s="1"/>
  <c r="M708" i="13" l="1"/>
  <c r="T708" i="13" s="1"/>
  <c r="N708" i="13"/>
  <c r="L708" i="13"/>
  <c r="I709" i="13" l="1"/>
  <c r="O709" i="13" s="1"/>
  <c r="AA709" i="13" l="1"/>
  <c r="AB706" i="13"/>
  <c r="K709" i="13"/>
  <c r="P709" i="13" s="1"/>
  <c r="Q709" i="13" s="1"/>
  <c r="J709" i="13" s="1"/>
  <c r="N709" i="13" s="1"/>
  <c r="R709" i="13" l="1"/>
  <c r="L709" i="13"/>
  <c r="M709" i="13"/>
  <c r="T709" i="13" s="1"/>
  <c r="I710" i="13" l="1"/>
  <c r="O710" i="13" s="1"/>
  <c r="AA710" i="13" l="1"/>
  <c r="AB707" i="13"/>
  <c r="K710" i="13"/>
  <c r="P710" i="13" l="1"/>
  <c r="Q710" i="13" l="1"/>
  <c r="J710" i="13" s="1"/>
  <c r="R710" i="13"/>
  <c r="M710" i="13" l="1"/>
  <c r="T710" i="13" s="1"/>
  <c r="L710" i="13"/>
  <c r="N710" i="13"/>
  <c r="I711" i="13" l="1"/>
  <c r="O711" i="13" s="1"/>
  <c r="AA711" i="13" l="1"/>
  <c r="AB708" i="13"/>
  <c r="K711" i="13"/>
  <c r="P711" i="13" s="1"/>
  <c r="Q711" i="13" l="1"/>
  <c r="J711" i="13" s="1"/>
  <c r="R711" i="13"/>
  <c r="N711" i="13" l="1"/>
  <c r="M711" i="13"/>
  <c r="T711" i="13" s="1"/>
  <c r="L711" i="13"/>
  <c r="I712" i="13" l="1"/>
  <c r="O712" i="13" s="1"/>
  <c r="AA712" i="13" l="1"/>
  <c r="AB709" i="13"/>
  <c r="K712" i="13"/>
  <c r="P712" i="13" s="1"/>
  <c r="Q712" i="13" l="1"/>
  <c r="J712" i="13" s="1"/>
  <c r="R712" i="13"/>
  <c r="N712" i="13" l="1"/>
  <c r="M712" i="13"/>
  <c r="T712" i="13" s="1"/>
  <c r="L712" i="13"/>
  <c r="I713" i="13" l="1"/>
  <c r="O713" i="13" s="1"/>
  <c r="AA713" i="13" l="1"/>
  <c r="AB710" i="13"/>
  <c r="K713" i="13"/>
  <c r="P713" i="13" s="1"/>
  <c r="R713" i="13" s="1"/>
  <c r="Q713" i="13" l="1"/>
  <c r="J713" i="13" s="1"/>
  <c r="L713" i="13" s="1"/>
  <c r="N713" i="13" l="1"/>
  <c r="M713" i="13"/>
  <c r="T713" i="13" s="1"/>
  <c r="I714" i="13" l="1"/>
  <c r="O714" i="13" s="1"/>
  <c r="AA714" i="13" l="1"/>
  <c r="AB711" i="13"/>
  <c r="K714" i="13"/>
  <c r="P714" i="13" s="1"/>
  <c r="R714" i="13" s="1"/>
  <c r="Q714" i="13" l="1"/>
  <c r="J714" i="13" s="1"/>
  <c r="L714" i="13" s="1"/>
  <c r="N714" i="13" l="1"/>
  <c r="M714" i="13"/>
  <c r="T714" i="13" s="1"/>
  <c r="I715" i="13" l="1"/>
  <c r="O715" i="13" s="1"/>
  <c r="AA715" i="13" l="1"/>
  <c r="AB712" i="13"/>
  <c r="K715" i="13"/>
  <c r="P715" i="13" s="1"/>
  <c r="Q715" i="13" s="1"/>
  <c r="J715" i="13" s="1"/>
  <c r="L715" i="13" s="1"/>
  <c r="R715" i="13" l="1"/>
  <c r="M715" i="13"/>
  <c r="T715" i="13" s="1"/>
  <c r="N715" i="13"/>
  <c r="I716" i="13" l="1"/>
  <c r="O716" i="13" s="1"/>
  <c r="AA716" i="13" l="1"/>
  <c r="AB713" i="13"/>
  <c r="K716" i="13"/>
  <c r="P716" i="13" s="1"/>
  <c r="R716" i="13" s="1"/>
  <c r="Q716" i="13" l="1"/>
  <c r="J716" i="13" s="1"/>
  <c r="L716" i="13" s="1"/>
  <c r="N716" i="13" l="1"/>
  <c r="M716" i="13"/>
  <c r="T716" i="13" s="1"/>
  <c r="I717" i="13" l="1"/>
  <c r="O717" i="13" s="1"/>
  <c r="AA717" i="13" l="1"/>
  <c r="AB714" i="13"/>
  <c r="K717" i="13"/>
  <c r="P717" i="13" s="1"/>
  <c r="R717" i="13" s="1"/>
  <c r="Q717" i="13" l="1"/>
  <c r="J717" i="13" s="1"/>
  <c r="L717" i="13" s="1"/>
  <c r="M717" i="13" l="1"/>
  <c r="T717" i="13" s="1"/>
  <c r="N717" i="13"/>
  <c r="I718" i="13" l="1"/>
  <c r="O718" i="13" s="1"/>
  <c r="AA718" i="13" l="1"/>
  <c r="AB715" i="13"/>
  <c r="K718" i="13"/>
  <c r="P718" i="13" s="1"/>
  <c r="R718" i="13" s="1"/>
  <c r="Q718" i="13" l="1"/>
  <c r="J718" i="13" s="1"/>
  <c r="N718" i="13" s="1"/>
  <c r="M718" i="13" l="1"/>
  <c r="T718" i="13" s="1"/>
  <c r="L718" i="13"/>
  <c r="I719" i="13" l="1"/>
  <c r="O719" i="13" s="1"/>
  <c r="AA719" i="13" l="1"/>
  <c r="AB716" i="13"/>
  <c r="K719" i="13"/>
  <c r="P719" i="13" s="1"/>
  <c r="Q719" i="13" s="1"/>
  <c r="J719" i="13" s="1"/>
  <c r="M719" i="13" s="1"/>
  <c r="T719" i="13" s="1"/>
  <c r="N719" i="13" l="1"/>
  <c r="R719" i="13"/>
  <c r="L719" i="13"/>
  <c r="I720" i="13" l="1"/>
  <c r="O720" i="13" s="1"/>
  <c r="AA720" i="13" l="1"/>
  <c r="AB717" i="13"/>
  <c r="K720" i="13"/>
  <c r="P720" i="13" s="1"/>
  <c r="Q720" i="13" s="1"/>
  <c r="J720" i="13" s="1"/>
  <c r="R720" i="13" l="1"/>
  <c r="N720" i="13"/>
  <c r="M720" i="13"/>
  <c r="T720" i="13" s="1"/>
  <c r="L720" i="13"/>
  <c r="I721" i="13" l="1"/>
  <c r="O721" i="13" s="1"/>
  <c r="AA721" i="13" l="1"/>
  <c r="AB718" i="13"/>
  <c r="K721" i="13"/>
  <c r="P721" i="13" s="1"/>
  <c r="Q721" i="13" l="1"/>
  <c r="J721" i="13" s="1"/>
  <c r="R721" i="13"/>
  <c r="M721" i="13" l="1"/>
  <c r="T721" i="13" s="1"/>
  <c r="N721" i="13"/>
  <c r="L721" i="13"/>
  <c r="I722" i="13" l="1"/>
  <c r="O722" i="13" s="1"/>
  <c r="AA722" i="13" l="1"/>
  <c r="AB719" i="13"/>
  <c r="K722" i="13"/>
  <c r="P722" i="13" s="1"/>
  <c r="R722" i="13" l="1"/>
  <c r="Q722" i="13"/>
  <c r="J722" i="13" s="1"/>
  <c r="M722" i="13" l="1"/>
  <c r="T722" i="13" s="1"/>
  <c r="N722" i="13"/>
  <c r="L722" i="13"/>
  <c r="I723" i="13" l="1"/>
  <c r="O723" i="13" s="1"/>
  <c r="AA723" i="13" l="1"/>
  <c r="AB720" i="13"/>
  <c r="K723" i="13"/>
  <c r="P723" i="13" s="1"/>
  <c r="Q723" i="13" l="1"/>
  <c r="J723" i="13" s="1"/>
  <c r="R723" i="13"/>
  <c r="M723" i="13" l="1"/>
  <c r="T723" i="13" s="1"/>
  <c r="N723" i="13"/>
  <c r="L723" i="13"/>
  <c r="I724" i="13" l="1"/>
  <c r="O724" i="13" s="1"/>
  <c r="AA724" i="13" l="1"/>
  <c r="AB721" i="13"/>
  <c r="K724" i="13"/>
  <c r="P724" i="13" s="1"/>
  <c r="R724" i="13" s="1"/>
  <c r="Q724" i="13" l="1"/>
  <c r="J724" i="13" s="1"/>
  <c r="L724" i="13" s="1"/>
  <c r="N724" i="13" l="1"/>
  <c r="M724" i="13"/>
  <c r="T724" i="13" s="1"/>
  <c r="I725" i="13" l="1"/>
  <c r="O725" i="13" s="1"/>
  <c r="AA725" i="13" l="1"/>
  <c r="AB722" i="13"/>
  <c r="K725" i="13"/>
  <c r="P725" i="13" s="1"/>
  <c r="Q725" i="13" s="1"/>
  <c r="J725" i="13" s="1"/>
  <c r="R725" i="13" l="1"/>
  <c r="L725" i="13"/>
  <c r="M725" i="13"/>
  <c r="T725" i="13" s="1"/>
  <c r="N725" i="13"/>
  <c r="I726" i="13" l="1"/>
  <c r="O726" i="13" s="1"/>
  <c r="AA726" i="13" l="1"/>
  <c r="AB723" i="13"/>
  <c r="K726" i="13"/>
  <c r="P726" i="13" l="1"/>
  <c r="Q726" i="13" l="1"/>
  <c r="J726" i="13" s="1"/>
  <c r="R726" i="13"/>
  <c r="M726" i="13" l="1"/>
  <c r="T726" i="13" s="1"/>
  <c r="N726" i="13"/>
  <c r="L726" i="13"/>
  <c r="I727" i="13" l="1"/>
  <c r="O727" i="13" s="1"/>
  <c r="AA727" i="13" l="1"/>
  <c r="AB724" i="13"/>
  <c r="K727" i="13"/>
  <c r="P727" i="13" s="1"/>
  <c r="Q727" i="13" l="1"/>
  <c r="J727" i="13" s="1"/>
  <c r="R727" i="13"/>
  <c r="N727" i="13" l="1"/>
  <c r="M727" i="13"/>
  <c r="T727" i="13" s="1"/>
  <c r="L727" i="13"/>
  <c r="I728" i="13" l="1"/>
  <c r="O728" i="13" s="1"/>
  <c r="AA728" i="13" l="1"/>
  <c r="AB725" i="13"/>
  <c r="K728" i="13"/>
  <c r="P728" i="13" s="1"/>
  <c r="R728" i="13" l="1"/>
  <c r="Q728" i="13"/>
  <c r="J728" i="13" s="1"/>
  <c r="N728" i="13" l="1"/>
  <c r="M728" i="13"/>
  <c r="T728" i="13" s="1"/>
  <c r="L728" i="13"/>
  <c r="I729" i="13" l="1"/>
  <c r="O729" i="13" s="1"/>
  <c r="AA729" i="13" l="1"/>
  <c r="AB726" i="13"/>
  <c r="K729" i="13"/>
  <c r="P729" i="13" s="1"/>
  <c r="Q729" i="13" l="1"/>
  <c r="J729" i="13" s="1"/>
  <c r="R729" i="13"/>
  <c r="N729" i="13" l="1"/>
  <c r="M729" i="13"/>
  <c r="T729" i="13" s="1"/>
  <c r="L729" i="13"/>
  <c r="I730" i="13" l="1"/>
  <c r="O730" i="13" s="1"/>
  <c r="AA730" i="13" l="1"/>
  <c r="AB727" i="13"/>
  <c r="K730" i="13"/>
  <c r="P730" i="13" s="1"/>
  <c r="R730" i="13" l="1"/>
  <c r="Q730" i="13"/>
  <c r="J730" i="13" s="1"/>
  <c r="N730" i="13" l="1"/>
  <c r="M730" i="13"/>
  <c r="T730" i="13" s="1"/>
  <c r="L730" i="13"/>
  <c r="I731" i="13" l="1"/>
  <c r="O731" i="13" s="1"/>
  <c r="AA731" i="13" l="1"/>
  <c r="AB728" i="13"/>
  <c r="K731" i="13"/>
  <c r="P731" i="13" s="1"/>
  <c r="R731" i="13" l="1"/>
  <c r="Q731" i="13"/>
  <c r="J731" i="13" s="1"/>
  <c r="N731" i="13" l="1"/>
  <c r="M731" i="13"/>
  <c r="T731" i="13" s="1"/>
  <c r="L731" i="13"/>
  <c r="I732" i="13" l="1"/>
  <c r="O732" i="13" s="1"/>
  <c r="AA732" i="13" l="1"/>
  <c r="AB729" i="13"/>
  <c r="K732" i="13"/>
  <c r="P732" i="13" s="1"/>
  <c r="Q732" i="13" l="1"/>
  <c r="J732" i="13" s="1"/>
  <c r="R732" i="13"/>
  <c r="N732" i="13" l="1"/>
  <c r="M732" i="13"/>
  <c r="T732" i="13" s="1"/>
  <c r="L732" i="13"/>
  <c r="I733" i="13" l="1"/>
  <c r="O733" i="13" s="1"/>
  <c r="AA733" i="13" l="1"/>
  <c r="AB730" i="13"/>
  <c r="K733" i="13"/>
  <c r="P733" i="13" s="1"/>
  <c r="R733" i="13" l="1"/>
  <c r="Q733" i="13"/>
  <c r="J733" i="13" s="1"/>
  <c r="N733" i="13" l="1"/>
  <c r="M733" i="13"/>
  <c r="T733" i="13" s="1"/>
  <c r="L733" i="13"/>
  <c r="I734" i="13" l="1"/>
  <c r="O734" i="13" s="1"/>
  <c r="AA734" i="13" l="1"/>
  <c r="AB731" i="13"/>
  <c r="K734" i="13"/>
  <c r="P734" i="13" s="1"/>
  <c r="R734" i="13" s="1"/>
  <c r="Q734" i="13" l="1"/>
  <c r="J734" i="13" s="1"/>
  <c r="M734" i="13" s="1"/>
  <c r="T734" i="13" s="1"/>
  <c r="L734" i="13" l="1"/>
  <c r="N734" i="13"/>
  <c r="I735" i="13" l="1"/>
  <c r="O735" i="13" s="1"/>
  <c r="AA735" i="13" l="1"/>
  <c r="AB732" i="13"/>
  <c r="K735" i="13"/>
  <c r="P735" i="13" s="1"/>
  <c r="Q735" i="13" s="1"/>
  <c r="J735" i="13" s="1"/>
  <c r="N735" i="13" s="1"/>
  <c r="M735" i="13" l="1"/>
  <c r="T735" i="13" s="1"/>
  <c r="R735" i="13"/>
  <c r="L735" i="13"/>
  <c r="I736" i="13" l="1"/>
  <c r="O736" i="13" s="1"/>
  <c r="AA736" i="13" l="1"/>
  <c r="AB733" i="13"/>
  <c r="K736" i="13"/>
  <c r="P736" i="13" s="1"/>
  <c r="R736" i="13" s="1"/>
  <c r="Q736" i="13" l="1"/>
  <c r="J736" i="13" s="1"/>
  <c r="M736" i="13" s="1"/>
  <c r="T736" i="13" s="1"/>
  <c r="N736" i="13" l="1"/>
  <c r="L736" i="13"/>
  <c r="I737" i="13" l="1"/>
  <c r="O737" i="13" s="1"/>
  <c r="K737" i="13" l="1"/>
  <c r="P737" i="13" s="1"/>
  <c r="Q737" i="13" s="1"/>
  <c r="J737" i="13" s="1"/>
  <c r="AA737" i="13"/>
  <c r="AB734" i="13"/>
  <c r="R737" i="13" l="1"/>
  <c r="M737" i="13"/>
  <c r="T737" i="13" s="1"/>
  <c r="N737" i="13"/>
  <c r="L737" i="13"/>
  <c r="I738" i="13" l="1"/>
  <c r="O738" i="13" s="1"/>
  <c r="AA738" i="13" l="1"/>
  <c r="AB735" i="13"/>
  <c r="K738" i="13"/>
  <c r="P738" i="13" s="1"/>
  <c r="R738" i="13" l="1"/>
  <c r="Q738" i="13"/>
  <c r="J738" i="13" s="1"/>
  <c r="M738" i="13" l="1"/>
  <c r="T738" i="13" s="1"/>
  <c r="N738" i="13"/>
  <c r="L738" i="13"/>
  <c r="I739" i="13" l="1"/>
  <c r="O739" i="13" s="1"/>
  <c r="AA739" i="13" l="1"/>
  <c r="AB736" i="13"/>
  <c r="K739" i="13"/>
  <c r="P739" i="13" s="1"/>
  <c r="R739" i="13" s="1"/>
  <c r="Q739" i="13" l="1"/>
  <c r="J739" i="13" s="1"/>
  <c r="L739" i="13" s="1"/>
  <c r="N739" i="13" l="1"/>
  <c r="M739" i="13"/>
  <c r="T739" i="13" s="1"/>
  <c r="I740" i="13" l="1"/>
  <c r="O740" i="13" s="1"/>
  <c r="AA740" i="13" l="1"/>
  <c r="AB737" i="13"/>
  <c r="K740" i="13"/>
  <c r="P740" i="13" s="1"/>
  <c r="R740" i="13" s="1"/>
  <c r="Q740" i="13" l="1"/>
  <c r="J740" i="13" s="1"/>
  <c r="L740" i="13" s="1"/>
  <c r="N740" i="13" l="1"/>
  <c r="M740" i="13"/>
  <c r="T740" i="13" s="1"/>
  <c r="I741" i="13" l="1"/>
  <c r="O741" i="13" s="1"/>
  <c r="AA741" i="13" l="1"/>
  <c r="AB738" i="13"/>
  <c r="K741" i="13"/>
  <c r="P741" i="13" s="1"/>
  <c r="Q741" i="13" s="1"/>
  <c r="J741" i="13" s="1"/>
  <c r="R741" i="13" l="1"/>
  <c r="M741" i="13"/>
  <c r="T741" i="13" s="1"/>
  <c r="N741" i="13"/>
  <c r="L741" i="13"/>
  <c r="I742" i="13" l="1"/>
  <c r="O742" i="13" s="1"/>
  <c r="AA742" i="13" l="1"/>
  <c r="AB739" i="13"/>
  <c r="K742" i="13"/>
  <c r="P742" i="13" s="1"/>
  <c r="Q742" i="13" l="1"/>
  <c r="J742" i="13" s="1"/>
  <c r="R742" i="13"/>
  <c r="M742" i="13" l="1"/>
  <c r="T742" i="13" s="1"/>
  <c r="N742" i="13"/>
  <c r="L742" i="13"/>
  <c r="I743" i="13" l="1"/>
  <c r="O743" i="13" s="1"/>
  <c r="AA743" i="13" l="1"/>
  <c r="AB740" i="13"/>
  <c r="K743" i="13"/>
  <c r="P743" i="13" s="1"/>
  <c r="Q743" i="13" l="1"/>
  <c r="J743" i="13" s="1"/>
  <c r="R743" i="13"/>
  <c r="M743" i="13" l="1"/>
  <c r="T743" i="13" s="1"/>
  <c r="N743" i="13"/>
  <c r="L743" i="13"/>
  <c r="I744" i="13" l="1"/>
  <c r="O744" i="13" s="1"/>
  <c r="AA744" i="13" l="1"/>
  <c r="AB741" i="13"/>
  <c r="K744" i="13"/>
  <c r="P744" i="13" s="1"/>
  <c r="Q744" i="13" l="1"/>
  <c r="J744" i="13" s="1"/>
  <c r="R744" i="13"/>
  <c r="M744" i="13" l="1"/>
  <c r="T744" i="13" s="1"/>
  <c r="N744" i="13"/>
  <c r="L744" i="13"/>
  <c r="I745" i="13" l="1"/>
  <c r="O745" i="13" s="1"/>
  <c r="AA745" i="13" l="1"/>
  <c r="AB742" i="13"/>
  <c r="K745" i="13"/>
  <c r="P745" i="13" s="1"/>
  <c r="Q745" i="13" s="1"/>
  <c r="J745" i="13" s="1"/>
  <c r="R745" i="13" l="1"/>
  <c r="L745" i="13"/>
  <c r="M745" i="13"/>
  <c r="T745" i="13" s="1"/>
  <c r="N745" i="13"/>
  <c r="I746" i="13" l="1"/>
  <c r="O746" i="13" s="1"/>
  <c r="AA746" i="13" l="1"/>
  <c r="AB743" i="13"/>
  <c r="K746" i="13"/>
  <c r="P746" i="13" l="1"/>
  <c r="R746" i="13" l="1"/>
  <c r="Q746" i="13"/>
  <c r="J746" i="13" s="1"/>
  <c r="M746" i="13" l="1"/>
  <c r="T746" i="13" s="1"/>
  <c r="N746" i="13"/>
  <c r="L746" i="13"/>
  <c r="I747" i="13" l="1"/>
  <c r="O747" i="13" s="1"/>
  <c r="K747" i="13" l="1"/>
  <c r="P747" i="13" s="1"/>
  <c r="AA747" i="13"/>
  <c r="AB744" i="13"/>
  <c r="R747" i="13" l="1"/>
  <c r="Q747" i="13"/>
  <c r="J747" i="13" s="1"/>
  <c r="N747" i="13" l="1"/>
  <c r="M747" i="13"/>
  <c r="T747" i="13" s="1"/>
  <c r="L747" i="13"/>
  <c r="I748" i="13" l="1"/>
  <c r="O748" i="13" s="1"/>
  <c r="AA748" i="13" l="1"/>
  <c r="AB745" i="13"/>
  <c r="K748" i="13"/>
  <c r="P748" i="13" s="1"/>
  <c r="R748" i="13" l="1"/>
  <c r="Q748" i="13"/>
  <c r="J748" i="13" s="1"/>
  <c r="N748" i="13" l="1"/>
  <c r="M748" i="13"/>
  <c r="T748" i="13" s="1"/>
  <c r="L748" i="13"/>
  <c r="I749" i="13" l="1"/>
  <c r="O749" i="13" s="1"/>
  <c r="AA749" i="13" l="1"/>
  <c r="AB746" i="13"/>
  <c r="K749" i="13"/>
  <c r="P749" i="13" s="1"/>
  <c r="R749" i="13" l="1"/>
  <c r="Q749" i="13"/>
  <c r="J749" i="13" s="1"/>
  <c r="N749" i="13" l="1"/>
  <c r="M749" i="13"/>
  <c r="T749" i="13" s="1"/>
  <c r="L749" i="13"/>
  <c r="I750" i="13" l="1"/>
  <c r="O750" i="13" s="1"/>
  <c r="AA750" i="13" l="1"/>
  <c r="AB747" i="13"/>
  <c r="K750" i="13"/>
  <c r="P750" i="13" s="1"/>
  <c r="R750" i="13" l="1"/>
  <c r="Q750" i="13"/>
  <c r="J750" i="13" s="1"/>
  <c r="M750" i="13" l="1"/>
  <c r="T750" i="13" s="1"/>
  <c r="N750" i="13"/>
  <c r="L750" i="13"/>
  <c r="I751" i="13" l="1"/>
  <c r="O751" i="13" s="1"/>
  <c r="AA751" i="13" l="1"/>
  <c r="AB748" i="13"/>
  <c r="K751" i="13"/>
  <c r="P751" i="13" s="1"/>
  <c r="Q751" i="13" l="1"/>
  <c r="J751" i="13" s="1"/>
  <c r="R751" i="13"/>
  <c r="M751" i="13" l="1"/>
  <c r="T751" i="13" s="1"/>
  <c r="N751" i="13"/>
  <c r="L751" i="13"/>
  <c r="I752" i="13" l="1"/>
  <c r="O752" i="13" s="1"/>
  <c r="AA752" i="13" l="1"/>
  <c r="AB749" i="13"/>
  <c r="K752" i="13"/>
  <c r="P752" i="13" s="1"/>
  <c r="R752" i="13" l="1"/>
  <c r="Q752" i="13"/>
  <c r="J752" i="13" s="1"/>
  <c r="M752" i="13" l="1"/>
  <c r="T752" i="13" s="1"/>
  <c r="N752" i="13"/>
  <c r="L752" i="13"/>
  <c r="I753" i="13" l="1"/>
  <c r="O753" i="13" s="1"/>
  <c r="AA753" i="13" l="1"/>
  <c r="AB750" i="13"/>
  <c r="K753" i="13"/>
  <c r="P753" i="13" s="1"/>
  <c r="R753" i="13" l="1"/>
  <c r="Q753" i="13"/>
  <c r="J753" i="13" s="1"/>
  <c r="N753" i="13" l="1"/>
  <c r="M753" i="13"/>
  <c r="T753" i="13" s="1"/>
  <c r="L753" i="13"/>
  <c r="I754" i="13" l="1"/>
  <c r="O754" i="13" s="1"/>
  <c r="AA754" i="13" l="1"/>
  <c r="AB751" i="13"/>
  <c r="K754" i="13"/>
  <c r="P754" i="13" s="1"/>
  <c r="R754" i="13" s="1"/>
  <c r="Q754" i="13" l="1"/>
  <c r="J754" i="13" s="1"/>
  <c r="L754" i="13" s="1"/>
  <c r="N754" i="13" l="1"/>
  <c r="M754" i="13"/>
  <c r="T754" i="13" s="1"/>
  <c r="I755" i="13" l="1"/>
  <c r="O755" i="13" s="1"/>
  <c r="AA755" i="13" l="1"/>
  <c r="AB752" i="13"/>
  <c r="K755" i="13"/>
  <c r="P755" i="13" s="1"/>
  <c r="R755" i="13" l="1"/>
  <c r="Q755" i="13"/>
  <c r="J755" i="13" s="1"/>
  <c r="M755" i="13" l="1"/>
  <c r="T755" i="13" s="1"/>
  <c r="N755" i="13"/>
  <c r="L755" i="13"/>
  <c r="I756" i="13" l="1"/>
  <c r="O756" i="13" s="1"/>
  <c r="AA756" i="13" l="1"/>
  <c r="AB753" i="13"/>
  <c r="K756" i="13"/>
  <c r="P756" i="13" s="1"/>
  <c r="R756" i="13" l="1"/>
  <c r="Q756" i="13"/>
  <c r="J756" i="13" s="1"/>
  <c r="M756" i="13" l="1"/>
  <c r="T756" i="13" s="1"/>
  <c r="N756" i="13"/>
  <c r="L756" i="13"/>
  <c r="I757" i="13" l="1"/>
  <c r="O757" i="13" s="1"/>
  <c r="AA757" i="13" l="1"/>
  <c r="AB754" i="13"/>
  <c r="K757" i="13"/>
  <c r="P757" i="13" s="1"/>
  <c r="R757" i="13" l="1"/>
  <c r="Q757" i="13"/>
  <c r="J757" i="13" s="1"/>
  <c r="M757" i="13" l="1"/>
  <c r="T757" i="13" s="1"/>
  <c r="N757" i="13"/>
  <c r="L757" i="13"/>
  <c r="I758" i="13" l="1"/>
  <c r="O758" i="13" s="1"/>
  <c r="AA758" i="13" l="1"/>
  <c r="AB755" i="13"/>
  <c r="K758" i="13"/>
  <c r="P758" i="13" s="1"/>
  <c r="R758" i="13" l="1"/>
  <c r="Q758" i="13"/>
  <c r="J758" i="13" s="1"/>
  <c r="N758" i="13" l="1"/>
  <c r="M758" i="13"/>
  <c r="T758" i="13" s="1"/>
  <c r="L758" i="13"/>
  <c r="I759" i="13" l="1"/>
  <c r="O759" i="13" s="1"/>
  <c r="AA759" i="13" l="1"/>
  <c r="AB756" i="13"/>
  <c r="K759" i="13"/>
  <c r="P759" i="13" s="1"/>
  <c r="R759" i="13" l="1"/>
  <c r="Q759" i="13"/>
  <c r="J759" i="13" s="1"/>
  <c r="N759" i="13" l="1"/>
  <c r="M759" i="13"/>
  <c r="T759" i="13" s="1"/>
  <c r="L759" i="13"/>
  <c r="I760" i="13" l="1"/>
  <c r="O760" i="13" s="1"/>
  <c r="AA760" i="13" l="1"/>
  <c r="AB757" i="13"/>
  <c r="K760" i="13"/>
  <c r="P760" i="13" s="1"/>
  <c r="R760" i="13" l="1"/>
  <c r="Q760" i="13"/>
  <c r="J760" i="13" s="1"/>
  <c r="N760" i="13" l="1"/>
  <c r="M760" i="13"/>
  <c r="T760" i="13" s="1"/>
  <c r="L760" i="13"/>
  <c r="I761" i="13" l="1"/>
  <c r="O761" i="13" s="1"/>
  <c r="AA761" i="13" l="1"/>
  <c r="AB758" i="13"/>
  <c r="K761" i="13"/>
  <c r="P761" i="13" s="1"/>
  <c r="Q761" i="13" l="1"/>
  <c r="J761" i="13" s="1"/>
  <c r="R761" i="13"/>
  <c r="N761" i="13" l="1"/>
  <c r="M761" i="13"/>
  <c r="T761" i="13" s="1"/>
  <c r="L761" i="13"/>
  <c r="I762" i="13" l="1"/>
  <c r="O762" i="13" s="1"/>
  <c r="AA762" i="13" l="1"/>
  <c r="AB759" i="13"/>
  <c r="K762" i="13"/>
  <c r="P762" i="13" s="1"/>
  <c r="Q762" i="13" l="1"/>
  <c r="J762" i="13" s="1"/>
  <c r="R762" i="13"/>
  <c r="N762" i="13" l="1"/>
  <c r="M762" i="13"/>
  <c r="T762" i="13" s="1"/>
  <c r="L762" i="13"/>
  <c r="I763" i="13" l="1"/>
  <c r="O763" i="13" s="1"/>
  <c r="AA763" i="13" l="1"/>
  <c r="AB760" i="13"/>
  <c r="K763" i="13"/>
  <c r="P763" i="13" s="1"/>
  <c r="Q763" i="13" l="1"/>
  <c r="J763" i="13" s="1"/>
  <c r="R763" i="13"/>
  <c r="N763" i="13" l="1"/>
  <c r="M763" i="13"/>
  <c r="T763" i="13" s="1"/>
  <c r="L763" i="13"/>
  <c r="I764" i="13" l="1"/>
  <c r="O764" i="13" s="1"/>
  <c r="AA764" i="13" l="1"/>
  <c r="AB761" i="13"/>
  <c r="K764" i="13"/>
  <c r="P764" i="13" s="1"/>
  <c r="R764" i="13" s="1"/>
  <c r="Q764" i="13" l="1"/>
  <c r="J764" i="13" s="1"/>
  <c r="L764" i="13" s="1"/>
  <c r="M764" i="13" l="1"/>
  <c r="T764" i="13" s="1"/>
  <c r="N764" i="13"/>
  <c r="I765" i="13" l="1"/>
  <c r="O765" i="13" s="1"/>
  <c r="AA765" i="13" l="1"/>
  <c r="AB762" i="13"/>
  <c r="K765" i="13"/>
  <c r="P765" i="13" s="1"/>
  <c r="Q765" i="13" s="1"/>
  <c r="J765" i="13" s="1"/>
  <c r="R765" i="13" l="1"/>
  <c r="N765" i="13"/>
  <c r="M765" i="13"/>
  <c r="T765" i="13" s="1"/>
  <c r="L765" i="13"/>
  <c r="I766" i="13" l="1"/>
  <c r="O766" i="13" s="1"/>
  <c r="AA766" i="13" l="1"/>
  <c r="AB763" i="13"/>
  <c r="K766" i="13"/>
  <c r="P766" i="13" s="1"/>
  <c r="R766" i="13" l="1"/>
  <c r="Q766" i="13"/>
  <c r="J766" i="13" s="1"/>
  <c r="M766" i="13" l="1"/>
  <c r="T766" i="13" s="1"/>
  <c r="N766" i="13"/>
  <c r="L766" i="13"/>
  <c r="I767" i="13" l="1"/>
  <c r="O767" i="13" s="1"/>
  <c r="AA767" i="13" l="1"/>
  <c r="AB764" i="13"/>
  <c r="K767" i="13"/>
  <c r="P767" i="13" s="1"/>
  <c r="Q767" i="13" l="1"/>
  <c r="J767" i="13" s="1"/>
  <c r="R767" i="13"/>
  <c r="M767" i="13" l="1"/>
  <c r="T767" i="13" s="1"/>
  <c r="N767" i="13"/>
  <c r="L767" i="13"/>
  <c r="I768" i="13" l="1"/>
  <c r="O768" i="13" s="1"/>
  <c r="AA768" i="13" l="1"/>
  <c r="AB765" i="13"/>
  <c r="K768" i="13"/>
  <c r="P768" i="13" s="1"/>
  <c r="R768" i="13" l="1"/>
  <c r="Q768" i="13"/>
  <c r="J768" i="13" s="1"/>
  <c r="M768" i="13" l="1"/>
  <c r="T768" i="13" s="1"/>
  <c r="N768" i="13"/>
  <c r="L768" i="13"/>
  <c r="I769" i="13" l="1"/>
  <c r="O769" i="13" s="1"/>
  <c r="AA769" i="13" l="1"/>
  <c r="AB766" i="13"/>
  <c r="K769" i="13"/>
  <c r="P769" i="13" s="1"/>
  <c r="R769" i="13" l="1"/>
  <c r="Q769" i="13"/>
  <c r="J769" i="13" s="1"/>
  <c r="M769" i="13" l="1"/>
  <c r="T769" i="13" s="1"/>
  <c r="N769" i="13"/>
  <c r="L769" i="13"/>
  <c r="I770" i="13" l="1"/>
  <c r="O770" i="13" s="1"/>
  <c r="AA770" i="13" l="1"/>
  <c r="AB767" i="13"/>
  <c r="K770" i="13"/>
  <c r="P770" i="13" s="1"/>
  <c r="R770" i="13" l="1"/>
  <c r="Q770" i="13"/>
  <c r="J770" i="13" s="1"/>
  <c r="M770" i="13" l="1"/>
  <c r="T770" i="13" s="1"/>
  <c r="N770" i="13"/>
  <c r="L770" i="13"/>
  <c r="I771" i="13" l="1"/>
  <c r="O771" i="13" s="1"/>
  <c r="AA771" i="13" l="1"/>
  <c r="AB768" i="13"/>
  <c r="K771" i="13"/>
  <c r="P771" i="13" s="1"/>
  <c r="Q771" i="13" l="1"/>
  <c r="J771" i="13" s="1"/>
  <c r="R771" i="13"/>
  <c r="M771" i="13" l="1"/>
  <c r="T771" i="13" s="1"/>
  <c r="N771" i="13"/>
  <c r="L771" i="13"/>
  <c r="I772" i="13" l="1"/>
  <c r="O772" i="13" s="1"/>
  <c r="AA772" i="13" l="1"/>
  <c r="AB769" i="13"/>
  <c r="K772" i="13"/>
  <c r="P772" i="13" s="1"/>
  <c r="R772" i="13" l="1"/>
  <c r="Q772" i="13"/>
  <c r="J772" i="13" s="1"/>
  <c r="N772" i="13" l="1"/>
  <c r="M772" i="13"/>
  <c r="T772" i="13" s="1"/>
  <c r="L772" i="13"/>
  <c r="I773" i="13" l="1"/>
  <c r="O773" i="13" s="1"/>
  <c r="AA773" i="13" l="1"/>
  <c r="AB770" i="13"/>
  <c r="K773" i="13"/>
  <c r="P773" i="13" s="1"/>
  <c r="Q773" i="13" l="1"/>
  <c r="J773" i="13" s="1"/>
  <c r="R773" i="13"/>
  <c r="N773" i="13" l="1"/>
  <c r="M773" i="13"/>
  <c r="T773" i="13" s="1"/>
  <c r="L773" i="13"/>
  <c r="I774" i="13" l="1"/>
  <c r="O774" i="13" s="1"/>
  <c r="AA774" i="13" l="1"/>
  <c r="AB771" i="13"/>
  <c r="K774" i="13"/>
  <c r="P774" i="13" s="1"/>
  <c r="R774" i="13" s="1"/>
  <c r="Q774" i="13" l="1"/>
  <c r="J774" i="13" s="1"/>
  <c r="M774" i="13" s="1"/>
  <c r="T774" i="13" s="1"/>
  <c r="N774" i="13" l="1"/>
  <c r="L774" i="13"/>
  <c r="I775" i="13" l="1"/>
  <c r="O775" i="13" s="1"/>
  <c r="AA775" i="13" l="1"/>
  <c r="AB772" i="13"/>
  <c r="K775" i="13"/>
  <c r="P775" i="13" s="1"/>
  <c r="R775" i="13" l="1"/>
  <c r="Q775" i="13"/>
  <c r="J775" i="13" s="1"/>
  <c r="M775" i="13" l="1"/>
  <c r="T775" i="13" s="1"/>
  <c r="N775" i="13"/>
  <c r="L775" i="13"/>
  <c r="I776" i="13" l="1"/>
  <c r="O776" i="13" s="1"/>
  <c r="AA776" i="13" l="1"/>
  <c r="AB773" i="13"/>
  <c r="K776" i="13"/>
  <c r="P776" i="13" s="1"/>
  <c r="Q776" i="13" l="1"/>
  <c r="J776" i="13" s="1"/>
  <c r="R776" i="13"/>
  <c r="M776" i="13" l="1"/>
  <c r="T776" i="13" s="1"/>
  <c r="N776" i="13"/>
  <c r="L776" i="13"/>
  <c r="I777" i="13" l="1"/>
  <c r="O777" i="13" s="1"/>
  <c r="AA777" i="13" l="1"/>
  <c r="AB774" i="13"/>
  <c r="K777" i="13"/>
  <c r="P777" i="13" s="1"/>
  <c r="R777" i="13" l="1"/>
  <c r="Q777" i="13"/>
  <c r="J777" i="13" s="1"/>
  <c r="M777" i="13" l="1"/>
  <c r="T777" i="13" s="1"/>
  <c r="N777" i="13"/>
  <c r="L777" i="13"/>
  <c r="I778" i="13" l="1"/>
  <c r="O778" i="13" s="1"/>
  <c r="AA778" i="13" l="1"/>
  <c r="AB775" i="13"/>
  <c r="K778" i="13"/>
  <c r="P778" i="13" s="1"/>
  <c r="Q778" i="13" l="1"/>
  <c r="J778" i="13" s="1"/>
  <c r="R778" i="13"/>
  <c r="M778" i="13" l="1"/>
  <c r="T778" i="13" s="1"/>
  <c r="N778" i="13"/>
  <c r="L778" i="13"/>
  <c r="I779" i="13" l="1"/>
  <c r="O779" i="13" s="1"/>
  <c r="AA779" i="13" l="1"/>
  <c r="AB776" i="13"/>
  <c r="K779" i="13"/>
  <c r="P779" i="13" s="1"/>
  <c r="Q779" i="13" s="1"/>
  <c r="J779" i="13" s="1"/>
  <c r="R779" i="13" l="1"/>
  <c r="L779" i="13"/>
  <c r="M779" i="13"/>
  <c r="T779" i="13" s="1"/>
  <c r="N779" i="13"/>
  <c r="I780" i="13" l="1"/>
  <c r="O780" i="13" s="1"/>
  <c r="AA780" i="13" l="1"/>
  <c r="AB777" i="13"/>
  <c r="K780" i="13"/>
  <c r="P780" i="13" s="1"/>
  <c r="R780" i="13" l="1"/>
  <c r="Q780" i="13"/>
  <c r="J780" i="13" s="1"/>
  <c r="L780" i="13" l="1"/>
  <c r="M780" i="13"/>
  <c r="T780" i="13" s="1"/>
  <c r="N780" i="13"/>
  <c r="I781" i="13" l="1"/>
  <c r="O781" i="13" s="1"/>
  <c r="AA781" i="13" l="1"/>
  <c r="AB778" i="13"/>
  <c r="K781" i="13"/>
  <c r="P781" i="13" l="1"/>
  <c r="Q781" i="13" l="1"/>
  <c r="J781" i="13" s="1"/>
  <c r="R781" i="13"/>
  <c r="M781" i="13" l="1"/>
  <c r="T781" i="13" s="1"/>
  <c r="N781" i="13"/>
  <c r="L781" i="13"/>
  <c r="I782" i="13" l="1"/>
  <c r="O782" i="13" s="1"/>
  <c r="AA782" i="13" l="1"/>
  <c r="AB779" i="13"/>
  <c r="K782" i="13"/>
  <c r="P782" i="13" s="1"/>
  <c r="Q782" i="13" s="1"/>
  <c r="J782" i="13" s="1"/>
  <c r="M782" i="13" s="1"/>
  <c r="T782" i="13" s="1"/>
  <c r="R782" i="13" l="1"/>
  <c r="N782" i="13"/>
  <c r="L782" i="13"/>
  <c r="I783" i="13" l="1"/>
  <c r="O783" i="13" s="1"/>
  <c r="AA783" i="13" l="1"/>
  <c r="AB780" i="13"/>
  <c r="K783" i="13"/>
  <c r="P783" i="13" s="1"/>
  <c r="R783" i="13" l="1"/>
  <c r="Q783" i="13"/>
  <c r="J783" i="13" s="1"/>
  <c r="L783" i="13" s="1"/>
  <c r="N783" i="13" l="1"/>
  <c r="M783" i="13"/>
  <c r="T783" i="13" s="1"/>
  <c r="I784" i="13" l="1"/>
  <c r="O784" i="13" s="1"/>
  <c r="AA784" i="13" l="1"/>
  <c r="AB781" i="13"/>
  <c r="K784" i="13"/>
  <c r="P784" i="13" s="1"/>
  <c r="Q784" i="13" s="1"/>
  <c r="J784" i="13" s="1"/>
  <c r="R784" i="13" l="1"/>
  <c r="M784" i="13"/>
  <c r="T784" i="13" s="1"/>
  <c r="N784" i="13"/>
  <c r="L784" i="13"/>
  <c r="I785" i="13" l="1"/>
  <c r="O785" i="13" s="1"/>
  <c r="AA785" i="13" l="1"/>
  <c r="AB782" i="13"/>
  <c r="K785" i="13"/>
  <c r="P785" i="13" s="1"/>
  <c r="Q785" i="13" l="1"/>
  <c r="J785" i="13" s="1"/>
  <c r="R785" i="13"/>
  <c r="N785" i="13" l="1"/>
  <c r="M785" i="13"/>
  <c r="T785" i="13" s="1"/>
  <c r="L785" i="13"/>
  <c r="I786" i="13" l="1"/>
  <c r="O786" i="13" s="1"/>
  <c r="AA786" i="13" l="1"/>
  <c r="AB783" i="13"/>
  <c r="K786" i="13"/>
  <c r="P786" i="13" s="1"/>
  <c r="Q786" i="13" l="1"/>
  <c r="J786" i="13" s="1"/>
  <c r="R786" i="13"/>
  <c r="N786" i="13" l="1"/>
  <c r="M786" i="13"/>
  <c r="T786" i="13" s="1"/>
  <c r="L786" i="13"/>
  <c r="I787" i="13" l="1"/>
  <c r="O787" i="13" s="1"/>
  <c r="AA787" i="13" l="1"/>
  <c r="AB784" i="13"/>
  <c r="K787" i="13"/>
  <c r="P787" i="13" s="1"/>
  <c r="R787" i="13" l="1"/>
  <c r="Q787" i="13"/>
  <c r="J787" i="13" s="1"/>
  <c r="N787" i="13" l="1"/>
  <c r="M787" i="13"/>
  <c r="T787" i="13" s="1"/>
  <c r="L787" i="13"/>
  <c r="I788" i="13" l="1"/>
  <c r="O788" i="13" s="1"/>
  <c r="AA788" i="13" l="1"/>
  <c r="AB785" i="13"/>
  <c r="K788" i="13"/>
  <c r="P788" i="13" s="1"/>
  <c r="R788" i="13" s="1"/>
  <c r="Q788" i="13" l="1"/>
  <c r="J788" i="13" s="1"/>
  <c r="L788" i="13" s="1"/>
  <c r="N788" i="13" l="1"/>
  <c r="M788" i="13"/>
  <c r="T788" i="13" s="1"/>
  <c r="I789" i="13" l="1"/>
  <c r="O789" i="13" s="1"/>
  <c r="AA789" i="13" l="1"/>
  <c r="AB786" i="13"/>
  <c r="K789" i="13"/>
  <c r="P789" i="13" s="1"/>
  <c r="Q789" i="13" s="1"/>
  <c r="J789" i="13" s="1"/>
  <c r="R789" i="13" l="1"/>
  <c r="N789" i="13"/>
  <c r="M789" i="13"/>
  <c r="T789" i="13" s="1"/>
  <c r="L789" i="13"/>
  <c r="I790" i="13" l="1"/>
  <c r="O790" i="13" s="1"/>
  <c r="AA790" i="13" l="1"/>
  <c r="AB787" i="13"/>
  <c r="K790" i="13"/>
  <c r="P790" i="13" s="1"/>
  <c r="Q790" i="13" l="1"/>
  <c r="J790" i="13" s="1"/>
  <c r="R790" i="13"/>
  <c r="N790" i="13" l="1"/>
  <c r="M790" i="13"/>
  <c r="T790" i="13" s="1"/>
  <c r="L790" i="13"/>
  <c r="I791" i="13" l="1"/>
  <c r="O791" i="13" s="1"/>
  <c r="AA791" i="13" l="1"/>
  <c r="AB788" i="13"/>
  <c r="K791" i="13"/>
  <c r="P791" i="13" s="1"/>
  <c r="R791" i="13" s="1"/>
  <c r="Q791" i="13" l="1"/>
  <c r="J791" i="13" s="1"/>
  <c r="L791" i="13" s="1"/>
  <c r="N791" i="13" l="1"/>
  <c r="M791" i="13"/>
  <c r="T791" i="13" s="1"/>
  <c r="I792" i="13" l="1"/>
  <c r="O792" i="13" s="1"/>
  <c r="AA792" i="13" l="1"/>
  <c r="AB789" i="13"/>
  <c r="K792" i="13"/>
  <c r="P792" i="13" s="1"/>
  <c r="Q792" i="13" l="1"/>
  <c r="J792" i="13" s="1"/>
  <c r="R792" i="13"/>
  <c r="N792" i="13" l="1"/>
  <c r="M792" i="13"/>
  <c r="T792" i="13" s="1"/>
  <c r="L792" i="13"/>
  <c r="I793" i="13" l="1"/>
  <c r="O793" i="13" s="1"/>
  <c r="AA793" i="13" l="1"/>
  <c r="AB790" i="13"/>
  <c r="K793" i="13"/>
  <c r="P793" i="13" s="1"/>
  <c r="R793" i="13" l="1"/>
  <c r="Q793" i="13"/>
  <c r="J793" i="13" s="1"/>
  <c r="M793" i="13" l="1"/>
  <c r="T793" i="13" s="1"/>
  <c r="N793" i="13"/>
  <c r="L793" i="13"/>
  <c r="I794" i="13" l="1"/>
  <c r="O794" i="13" s="1"/>
  <c r="AA794" i="13" l="1"/>
  <c r="AB791" i="13"/>
  <c r="K794" i="13"/>
  <c r="P794" i="13" s="1"/>
  <c r="Q794" i="13" l="1"/>
  <c r="J794" i="13" s="1"/>
  <c r="R794" i="13"/>
  <c r="M794" i="13" l="1"/>
  <c r="T794" i="13" s="1"/>
  <c r="L794" i="13"/>
  <c r="N794" i="13"/>
  <c r="I795" i="13" l="1"/>
  <c r="O795" i="13" s="1"/>
  <c r="AA795" i="13" l="1"/>
  <c r="AB792" i="13"/>
  <c r="K795" i="13"/>
  <c r="P795" i="13" l="1"/>
  <c r="R795" i="13" l="1"/>
  <c r="Q795" i="13"/>
  <c r="J795" i="13" s="1"/>
  <c r="N795" i="13" l="1"/>
  <c r="M795" i="13"/>
  <c r="T795" i="13" s="1"/>
  <c r="L795" i="13"/>
  <c r="I796" i="13" l="1"/>
  <c r="O796" i="13" s="1"/>
  <c r="AA796" i="13" l="1"/>
  <c r="AB793" i="13"/>
  <c r="K796" i="13"/>
  <c r="P796" i="13" s="1"/>
  <c r="Q796" i="13" l="1"/>
  <c r="J796" i="13" s="1"/>
  <c r="R796" i="13"/>
  <c r="M796" i="13" l="1"/>
  <c r="T796" i="13" s="1"/>
  <c r="N796" i="13"/>
  <c r="L796" i="13"/>
  <c r="I797" i="13" l="1"/>
  <c r="O797" i="13" s="1"/>
  <c r="AA797" i="13" l="1"/>
  <c r="AB794" i="13"/>
  <c r="K797" i="13"/>
  <c r="P797" i="13" s="1"/>
  <c r="R797" i="13" l="1"/>
  <c r="Q797" i="13"/>
  <c r="J797" i="13" s="1"/>
  <c r="M797" i="13" l="1"/>
  <c r="T797" i="13" s="1"/>
  <c r="N797" i="13"/>
  <c r="L797" i="13"/>
  <c r="I798" i="13" l="1"/>
  <c r="O798" i="13" s="1"/>
  <c r="AA798" i="13" l="1"/>
  <c r="AB795" i="13"/>
  <c r="K798" i="13"/>
  <c r="P798" i="13" s="1"/>
  <c r="R798" i="13" l="1"/>
  <c r="Q798" i="13"/>
  <c r="J798" i="13" s="1"/>
  <c r="N798" i="13" l="1"/>
  <c r="M798" i="13"/>
  <c r="T798" i="13" s="1"/>
  <c r="L798" i="13"/>
  <c r="I799" i="13" l="1"/>
  <c r="O799" i="13" s="1"/>
  <c r="AA799" i="13" l="1"/>
  <c r="AB796" i="13"/>
  <c r="K799" i="13"/>
  <c r="P799" i="13" s="1"/>
  <c r="Q799" i="13" l="1"/>
  <c r="J799" i="13" s="1"/>
  <c r="R799" i="13"/>
  <c r="M799" i="13" l="1"/>
  <c r="T799" i="13" s="1"/>
  <c r="N799" i="13"/>
  <c r="L799" i="13"/>
  <c r="I800" i="13" l="1"/>
  <c r="O800" i="13" s="1"/>
  <c r="AA800" i="13" l="1"/>
  <c r="AB797" i="13"/>
  <c r="K800" i="13"/>
  <c r="P800" i="13" s="1"/>
  <c r="Q800" i="13" s="1"/>
  <c r="J800" i="13" s="1"/>
  <c r="R800" i="13" l="1"/>
  <c r="L800" i="13"/>
  <c r="M800" i="13"/>
  <c r="T800" i="13" s="1"/>
  <c r="N800" i="13"/>
  <c r="I801" i="13" l="1"/>
  <c r="O801" i="13" s="1"/>
  <c r="AA801" i="13" l="1"/>
  <c r="AB798" i="13"/>
  <c r="K801" i="13"/>
  <c r="P801" i="13" s="1"/>
  <c r="Q801" i="13" l="1"/>
  <c r="J801" i="13" s="1"/>
  <c r="R801" i="13"/>
  <c r="L801" i="13" l="1"/>
  <c r="M801" i="13"/>
  <c r="T801" i="13" s="1"/>
  <c r="N801" i="13"/>
  <c r="I802" i="13" l="1"/>
  <c r="O802" i="13" s="1"/>
  <c r="AA802" i="13" l="1"/>
  <c r="AB799" i="13"/>
  <c r="K802" i="13"/>
  <c r="P802" i="13" l="1"/>
  <c r="Q802" i="13" l="1"/>
  <c r="J802" i="13" s="1"/>
  <c r="R802" i="13"/>
  <c r="N802" i="13" l="1"/>
  <c r="M802" i="13"/>
  <c r="T802" i="13" s="1"/>
  <c r="L802" i="13"/>
  <c r="I803" i="13" l="1"/>
  <c r="O803" i="13" s="1"/>
  <c r="AA803" i="13" l="1"/>
  <c r="AB800" i="13"/>
  <c r="K803" i="13"/>
  <c r="P803" i="13" s="1"/>
  <c r="R803" i="13" s="1"/>
  <c r="Q803" i="13" l="1"/>
  <c r="J803" i="13" s="1"/>
  <c r="L803" i="13" s="1"/>
  <c r="N803" i="13" l="1"/>
  <c r="M803" i="13"/>
  <c r="T803" i="13" s="1"/>
  <c r="I804" i="13" l="1"/>
  <c r="O804" i="13" s="1"/>
  <c r="AA804" i="13" l="1"/>
  <c r="AB801" i="13"/>
  <c r="K804" i="13"/>
  <c r="P804" i="13" s="1"/>
  <c r="Q804" i="13" l="1"/>
  <c r="J804" i="13" s="1"/>
  <c r="R804" i="13"/>
  <c r="M804" i="13" l="1"/>
  <c r="T804" i="13" s="1"/>
  <c r="N804" i="13"/>
  <c r="L804" i="13"/>
  <c r="I805" i="13" l="1"/>
  <c r="O805" i="13" s="1"/>
  <c r="AA805" i="13" l="1"/>
  <c r="AB802" i="13"/>
  <c r="K805" i="13"/>
  <c r="P805" i="13" s="1"/>
  <c r="R805" i="13" l="1"/>
  <c r="Q805" i="13"/>
  <c r="J805" i="13" s="1"/>
  <c r="N805" i="13" l="1"/>
  <c r="M805" i="13"/>
  <c r="T805" i="13" s="1"/>
  <c r="L805" i="13"/>
  <c r="I806" i="13" l="1"/>
  <c r="O806" i="13" s="1"/>
  <c r="AA806" i="13" l="1"/>
  <c r="AB803" i="13"/>
  <c r="K806" i="13"/>
  <c r="P806" i="13" s="1"/>
  <c r="Q806" i="13" s="1"/>
  <c r="J806" i="13" s="1"/>
  <c r="L806" i="13" s="1"/>
  <c r="R806" i="13" l="1"/>
  <c r="N806" i="13"/>
  <c r="M806" i="13"/>
  <c r="T806" i="13" s="1"/>
  <c r="I807" i="13" l="1"/>
  <c r="O807" i="13" s="1"/>
  <c r="AA807" i="13" l="1"/>
  <c r="AB804" i="13"/>
  <c r="K807" i="13"/>
  <c r="P807" i="13" s="1"/>
  <c r="Q807" i="13" l="1"/>
  <c r="J807" i="13" s="1"/>
  <c r="R807" i="13"/>
  <c r="N807" i="13" l="1"/>
  <c r="M807" i="13"/>
  <c r="T807" i="13" s="1"/>
  <c r="L807" i="13"/>
  <c r="I808" i="13" l="1"/>
  <c r="O808" i="13" s="1"/>
  <c r="AA808" i="13" l="1"/>
  <c r="AB805" i="13"/>
  <c r="K808" i="13"/>
  <c r="P808" i="13" s="1"/>
  <c r="R808" i="13" l="1"/>
  <c r="Q808" i="13"/>
  <c r="J808" i="13" s="1"/>
  <c r="N808" i="13" l="1"/>
  <c r="M808" i="13"/>
  <c r="T808" i="13" s="1"/>
  <c r="L808" i="13"/>
  <c r="I809" i="13" l="1"/>
  <c r="O809" i="13" s="1"/>
  <c r="AA809" i="13" l="1"/>
  <c r="AB806" i="13"/>
  <c r="K809" i="13"/>
  <c r="P809" i="13" s="1"/>
  <c r="R809" i="13" s="1"/>
  <c r="Q809" i="13" l="1"/>
  <c r="J809" i="13" s="1"/>
  <c r="L809" i="13" s="1"/>
  <c r="N809" i="13" l="1"/>
  <c r="M809" i="13"/>
  <c r="T809" i="13" s="1"/>
  <c r="I810" i="13" l="1"/>
  <c r="O810" i="13" s="1"/>
  <c r="AA810" i="13" l="1"/>
  <c r="AB807" i="13"/>
  <c r="K810" i="13"/>
  <c r="P810" i="13" s="1"/>
  <c r="R810" i="13" s="1"/>
  <c r="Q810" i="13" l="1"/>
  <c r="J810" i="13" s="1"/>
  <c r="L810" i="13" s="1"/>
  <c r="N810" i="13" l="1"/>
  <c r="M810" i="13"/>
  <c r="T810" i="13" s="1"/>
  <c r="I811" i="13" l="1"/>
  <c r="O811" i="13" s="1"/>
  <c r="K811" i="13" l="1"/>
  <c r="P811" i="13" s="1"/>
  <c r="Q811" i="13" s="1"/>
  <c r="J811" i="13" s="1"/>
  <c r="AA811" i="13"/>
  <c r="AB808" i="13"/>
  <c r="R811" i="13" l="1"/>
  <c r="N811" i="13"/>
  <c r="M811" i="13"/>
  <c r="T811" i="13" s="1"/>
  <c r="L811" i="13"/>
  <c r="I812" i="13" l="1"/>
  <c r="O812" i="13" s="1"/>
  <c r="AA812" i="13" l="1"/>
  <c r="AB809" i="13"/>
  <c r="K812" i="13"/>
  <c r="P812" i="13" s="1"/>
  <c r="R812" i="13" l="1"/>
  <c r="Q812" i="13"/>
  <c r="J812" i="13" s="1"/>
  <c r="N812" i="13" l="1"/>
  <c r="M812" i="13"/>
  <c r="T812" i="13" s="1"/>
  <c r="L812" i="13"/>
  <c r="I813" i="13" l="1"/>
  <c r="O813" i="13" s="1"/>
  <c r="AA813" i="13" l="1"/>
  <c r="AB810" i="13"/>
  <c r="K813" i="13"/>
  <c r="P813" i="13" s="1"/>
  <c r="R813" i="13" s="1"/>
  <c r="Q813" i="13" l="1"/>
  <c r="J813" i="13" s="1"/>
  <c r="L813" i="13" s="1"/>
  <c r="N813" i="13" l="1"/>
  <c r="M813" i="13"/>
  <c r="T813" i="13" s="1"/>
  <c r="I814" i="13" l="1"/>
  <c r="O814" i="13" s="1"/>
  <c r="AA814" i="13" l="1"/>
  <c r="AB811" i="13"/>
  <c r="K814" i="13"/>
  <c r="P814" i="13" s="1"/>
  <c r="R814" i="13" l="1"/>
  <c r="Q814" i="13"/>
  <c r="J814" i="13" s="1"/>
  <c r="M814" i="13" l="1"/>
  <c r="T814" i="13" s="1"/>
  <c r="N814" i="13"/>
  <c r="L814" i="13"/>
  <c r="I815" i="13" l="1"/>
  <c r="O815" i="13" s="1"/>
  <c r="AA815" i="13" l="1"/>
  <c r="AB812" i="13"/>
  <c r="K815" i="13"/>
  <c r="P815" i="13" s="1"/>
  <c r="R815" i="13" l="1"/>
  <c r="Q815" i="13"/>
  <c r="J815" i="13" s="1"/>
  <c r="M815" i="13" l="1"/>
  <c r="T815" i="13" s="1"/>
  <c r="N815" i="13"/>
  <c r="L815" i="13"/>
  <c r="I816" i="13" l="1"/>
  <c r="O816" i="13" s="1"/>
  <c r="AA816" i="13" l="1"/>
  <c r="AB813" i="13"/>
  <c r="K816" i="13"/>
  <c r="P816" i="13" s="1"/>
  <c r="R816" i="13" l="1"/>
  <c r="Q816" i="13"/>
  <c r="J816" i="13" s="1"/>
  <c r="M816" i="13" l="1"/>
  <c r="T816" i="13" s="1"/>
  <c r="N816" i="13"/>
  <c r="L816" i="13"/>
  <c r="I817" i="13" l="1"/>
  <c r="O817" i="13" s="1"/>
  <c r="AA817" i="13" l="1"/>
  <c r="AB814" i="13"/>
  <c r="K817" i="13"/>
  <c r="P817" i="13" s="1"/>
  <c r="Q817" i="13" s="1"/>
  <c r="J817" i="13" s="1"/>
  <c r="R817" i="13" l="1"/>
  <c r="L817" i="13"/>
  <c r="M817" i="13"/>
  <c r="T817" i="13" s="1"/>
  <c r="N817" i="13"/>
  <c r="I818" i="13" l="1"/>
  <c r="O818" i="13" s="1"/>
  <c r="AA818" i="13" l="1"/>
  <c r="AB815" i="13"/>
  <c r="K818" i="13"/>
  <c r="P818" i="13" s="1"/>
  <c r="R818" i="13" l="1"/>
  <c r="Q818" i="13"/>
  <c r="J818" i="13" s="1"/>
  <c r="L818" i="13" l="1"/>
  <c r="M818" i="13"/>
  <c r="T818" i="13" s="1"/>
  <c r="N818" i="13"/>
  <c r="I819" i="13" l="1"/>
  <c r="O819" i="13" s="1"/>
  <c r="AA819" i="13" l="1"/>
  <c r="AB816" i="13"/>
  <c r="K819" i="13"/>
  <c r="P819" i="13" l="1"/>
  <c r="Q819" i="13" l="1"/>
  <c r="J819" i="13" s="1"/>
  <c r="R819" i="13"/>
  <c r="M819" i="13" l="1"/>
  <c r="T819" i="13" s="1"/>
  <c r="N819" i="13"/>
  <c r="L819" i="13"/>
  <c r="I820" i="13" l="1"/>
  <c r="O820" i="13" s="1"/>
  <c r="AA820" i="13" l="1"/>
  <c r="AB817" i="13"/>
  <c r="K820" i="13"/>
  <c r="P820" i="13" s="1"/>
  <c r="Q820" i="13" l="1"/>
  <c r="J820" i="13" s="1"/>
  <c r="R820" i="13"/>
  <c r="M820" i="13" l="1"/>
  <c r="T820" i="13" s="1"/>
  <c r="N820" i="13"/>
  <c r="L820" i="13"/>
  <c r="I821" i="13" l="1"/>
  <c r="O821" i="13" s="1"/>
  <c r="AA821" i="13" l="1"/>
  <c r="AB818" i="13"/>
  <c r="K821" i="13"/>
  <c r="P821" i="13" s="1"/>
  <c r="R821" i="13" l="1"/>
  <c r="Q821" i="13"/>
  <c r="J821" i="13" s="1"/>
  <c r="M821" i="13" l="1"/>
  <c r="T821" i="13" s="1"/>
  <c r="N821" i="13"/>
  <c r="L821" i="13"/>
  <c r="I822" i="13" l="1"/>
  <c r="O822" i="13" s="1"/>
  <c r="AA822" i="13" l="1"/>
  <c r="AB819" i="13"/>
  <c r="K822" i="13"/>
  <c r="P822" i="13" s="1"/>
  <c r="Q822" i="13" l="1"/>
  <c r="J822" i="13" s="1"/>
  <c r="R822" i="13"/>
  <c r="M822" i="13" l="1"/>
  <c r="T822" i="13" s="1"/>
  <c r="N822" i="13"/>
  <c r="L822" i="13"/>
  <c r="I823" i="13" l="1"/>
  <c r="O823" i="13" s="1"/>
  <c r="AA823" i="13" l="1"/>
  <c r="AB820" i="13"/>
  <c r="K823" i="13"/>
  <c r="P823" i="13" s="1"/>
  <c r="R823" i="13" l="1"/>
  <c r="Q823" i="13"/>
  <c r="J823" i="13" s="1"/>
  <c r="N823" i="13" l="1"/>
  <c r="M823" i="13"/>
  <c r="T823" i="13" s="1"/>
  <c r="L823" i="13"/>
  <c r="I824" i="13" l="1"/>
  <c r="O824" i="13" s="1"/>
  <c r="AA824" i="13" l="1"/>
  <c r="AB821" i="13"/>
  <c r="K824" i="13"/>
  <c r="P824" i="13" s="1"/>
  <c r="R824" i="13" l="1"/>
  <c r="Q824" i="13"/>
  <c r="J824" i="13" s="1"/>
  <c r="M824" i="13" l="1"/>
  <c r="T824" i="13" s="1"/>
  <c r="N824" i="13"/>
  <c r="L824" i="13"/>
  <c r="I825" i="13" l="1"/>
  <c r="O825" i="13" s="1"/>
  <c r="AA825" i="13" l="1"/>
  <c r="AB822" i="13"/>
  <c r="K825" i="13"/>
  <c r="P825" i="13" s="1"/>
  <c r="Q825" i="13" l="1"/>
  <c r="J825" i="13" s="1"/>
  <c r="R825" i="13"/>
  <c r="N825" i="13" l="1"/>
  <c r="M825" i="13"/>
  <c r="T825" i="13" s="1"/>
  <c r="L825" i="13"/>
  <c r="I826" i="13" l="1"/>
  <c r="O826" i="13" s="1"/>
  <c r="AA826" i="13" l="1"/>
  <c r="AB823" i="13"/>
  <c r="K826" i="13"/>
  <c r="P826" i="13" s="1"/>
  <c r="Q826" i="13" l="1"/>
  <c r="J826" i="13" s="1"/>
  <c r="R826" i="13"/>
  <c r="M826" i="13" l="1"/>
  <c r="T826" i="13" s="1"/>
  <c r="N826" i="13"/>
  <c r="L826" i="13"/>
  <c r="I827" i="13" l="1"/>
  <c r="O827" i="13" s="1"/>
  <c r="AA827" i="13" l="1"/>
  <c r="AB824" i="13"/>
  <c r="K827" i="13"/>
  <c r="P827" i="13" s="1"/>
  <c r="R827" i="13" l="1"/>
  <c r="Q827" i="13"/>
  <c r="J827" i="13" s="1"/>
  <c r="M827" i="13" l="1"/>
  <c r="T827" i="13" s="1"/>
  <c r="N827" i="13"/>
  <c r="L827" i="13"/>
  <c r="I828" i="13" l="1"/>
  <c r="O828" i="13" s="1"/>
  <c r="K828" i="13" l="1"/>
  <c r="P828" i="13" s="1"/>
  <c r="AA828" i="13"/>
  <c r="AB825" i="13"/>
  <c r="Q828" i="13" l="1"/>
  <c r="J828" i="13" s="1"/>
  <c r="R828" i="13"/>
  <c r="N828" i="13" l="1"/>
  <c r="M828" i="13"/>
  <c r="T828" i="13" s="1"/>
  <c r="L828" i="13"/>
  <c r="I829" i="13" l="1"/>
  <c r="O829" i="13" s="1"/>
  <c r="AA829" i="13" l="1"/>
  <c r="AB826" i="13"/>
  <c r="K829" i="13"/>
  <c r="P829" i="13" s="1"/>
  <c r="Q829" i="13" l="1"/>
  <c r="J829" i="13" s="1"/>
  <c r="R829" i="13"/>
  <c r="N829" i="13" l="1"/>
  <c r="M829" i="13"/>
  <c r="T829" i="13" s="1"/>
  <c r="L829" i="13"/>
  <c r="I830" i="13" l="1"/>
  <c r="O830" i="13" s="1"/>
  <c r="AA830" i="13" l="1"/>
  <c r="AB827" i="13"/>
  <c r="K830" i="13"/>
  <c r="P830" i="13" s="1"/>
  <c r="R830" i="13" s="1"/>
  <c r="Q830" i="13" l="1"/>
  <c r="J830" i="13" s="1"/>
  <c r="L830" i="13" s="1"/>
  <c r="N830" i="13" l="1"/>
  <c r="M830" i="13"/>
  <c r="T830" i="13" s="1"/>
  <c r="I831" i="13" l="1"/>
  <c r="O831" i="13" s="1"/>
  <c r="AA831" i="13" l="1"/>
  <c r="AB828" i="13"/>
  <c r="K831" i="13"/>
  <c r="P831" i="13" s="1"/>
  <c r="R831" i="13" l="1"/>
  <c r="Q831" i="13"/>
  <c r="J831" i="13" s="1"/>
  <c r="N831" i="13" l="1"/>
  <c r="M831" i="13"/>
  <c r="T831" i="13" s="1"/>
  <c r="L831" i="13"/>
  <c r="I832" i="13" l="1"/>
  <c r="O832" i="13" s="1"/>
  <c r="AA832" i="13" l="1"/>
  <c r="AB829" i="13"/>
  <c r="K832" i="13"/>
  <c r="P832" i="13" s="1"/>
  <c r="Q832" i="13" l="1"/>
  <c r="J832" i="13" s="1"/>
  <c r="R832" i="13"/>
  <c r="N832" i="13" l="1"/>
  <c r="M832" i="13"/>
  <c r="T832" i="13" s="1"/>
  <c r="L832" i="13"/>
  <c r="I833" i="13" l="1"/>
  <c r="O833" i="13" s="1"/>
  <c r="AA833" i="13" l="1"/>
  <c r="AB830" i="13"/>
  <c r="K833" i="13"/>
  <c r="P833" i="13" s="1"/>
  <c r="Q833" i="13" l="1"/>
  <c r="J833" i="13" s="1"/>
  <c r="R833" i="13"/>
  <c r="N833" i="13" l="1"/>
  <c r="M833" i="13"/>
  <c r="T833" i="13" s="1"/>
  <c r="L833" i="13"/>
  <c r="I834" i="13" l="1"/>
  <c r="O834" i="13" s="1"/>
  <c r="AA834" i="13" l="1"/>
  <c r="AB831" i="13"/>
  <c r="K834" i="13"/>
  <c r="P834" i="13" s="1"/>
  <c r="R834" i="13" s="1"/>
  <c r="Q834" i="13" l="1"/>
  <c r="J834" i="13" s="1"/>
  <c r="L834" i="13" s="1"/>
  <c r="N834" i="13" l="1"/>
  <c r="M834" i="13"/>
  <c r="T834" i="13" s="1"/>
  <c r="I835" i="13" l="1"/>
  <c r="O835" i="13" s="1"/>
  <c r="AA835" i="13" l="1"/>
  <c r="AB832" i="13"/>
  <c r="K835" i="13"/>
  <c r="P835" i="13" s="1"/>
  <c r="R835" i="13" l="1"/>
  <c r="Q835" i="13"/>
  <c r="J835" i="13" s="1"/>
  <c r="N835" i="13" l="1"/>
  <c r="M835" i="13"/>
  <c r="T835" i="13" s="1"/>
  <c r="L835" i="13"/>
  <c r="I836" i="13" l="1"/>
  <c r="O836" i="13" s="1"/>
  <c r="AA836" i="13" l="1"/>
  <c r="AB833" i="13"/>
  <c r="K836" i="13"/>
  <c r="P836" i="13" s="1"/>
  <c r="Q836" i="13" l="1"/>
  <c r="J836" i="13" s="1"/>
  <c r="R836" i="13"/>
  <c r="N836" i="13" l="1"/>
  <c r="M836" i="13"/>
  <c r="T836" i="13" s="1"/>
  <c r="L836" i="13"/>
  <c r="I837" i="13" l="1"/>
  <c r="O837" i="13" s="1"/>
  <c r="AA837" i="13" l="1"/>
  <c r="AB834" i="13"/>
  <c r="K837" i="13"/>
  <c r="P837" i="13" s="1"/>
  <c r="Q837" i="13" l="1"/>
  <c r="J837" i="13" s="1"/>
  <c r="R837" i="13"/>
  <c r="N837" i="13" l="1"/>
  <c r="M837" i="13"/>
  <c r="T837" i="13" s="1"/>
  <c r="L837" i="13"/>
  <c r="I838" i="13" l="1"/>
  <c r="O838" i="13" s="1"/>
  <c r="AA838" i="13" l="1"/>
  <c r="AB835" i="13"/>
  <c r="K838" i="13"/>
  <c r="P838" i="13" s="1"/>
  <c r="R838" i="13" l="1"/>
  <c r="Q838" i="13"/>
  <c r="J838" i="13" s="1"/>
  <c r="N838" i="13" l="1"/>
  <c r="M838" i="13"/>
  <c r="T838" i="13" s="1"/>
  <c r="L838" i="13"/>
  <c r="I839" i="13" l="1"/>
  <c r="O839" i="13" s="1"/>
  <c r="AA839" i="13" l="1"/>
  <c r="AB836" i="13"/>
  <c r="K839" i="13"/>
  <c r="P839" i="13" s="1"/>
  <c r="Q839" i="13" l="1"/>
  <c r="J839" i="13" s="1"/>
  <c r="R839" i="13"/>
  <c r="N839" i="13" l="1"/>
  <c r="M839" i="13"/>
  <c r="T839" i="13" s="1"/>
  <c r="L839" i="13"/>
  <c r="I840" i="13" l="1"/>
  <c r="O840" i="13" s="1"/>
  <c r="AA840" i="13" l="1"/>
  <c r="AB837" i="13"/>
  <c r="K840" i="13"/>
  <c r="P840" i="13" s="1"/>
  <c r="R840" i="13" s="1"/>
  <c r="Q840" i="13" l="1"/>
  <c r="J840" i="13" s="1"/>
  <c r="L840" i="13" s="1"/>
  <c r="M840" i="13" l="1"/>
  <c r="T840" i="13" s="1"/>
  <c r="N840" i="13"/>
  <c r="I841" i="13" l="1"/>
  <c r="O841" i="13" s="1"/>
  <c r="AA841" i="13" l="1"/>
  <c r="AB838" i="13"/>
  <c r="K841" i="13"/>
  <c r="P841" i="13" s="1"/>
  <c r="Q841" i="13" s="1"/>
  <c r="J841" i="13" s="1"/>
  <c r="R841" i="13" l="1"/>
  <c r="N841" i="13"/>
  <c r="M841" i="13"/>
  <c r="T841" i="13" s="1"/>
  <c r="L841" i="13"/>
  <c r="I842" i="13" l="1"/>
  <c r="O842" i="13" s="1"/>
  <c r="AA842" i="13" l="1"/>
  <c r="AB839" i="13"/>
  <c r="K842" i="13"/>
  <c r="P842" i="13" s="1"/>
  <c r="Q842" i="13" s="1"/>
  <c r="J842" i="13" s="1"/>
  <c r="L842" i="13" l="1"/>
  <c r="R842" i="13"/>
  <c r="N842" i="13"/>
  <c r="M842" i="13"/>
  <c r="T842" i="13" s="1"/>
  <c r="I843" i="13" l="1"/>
  <c r="O843" i="13" s="1"/>
  <c r="AA843" i="13" l="1"/>
  <c r="AB840" i="13"/>
  <c r="K843" i="13"/>
  <c r="P843" i="13" s="1"/>
  <c r="R843" i="13" l="1"/>
  <c r="Q843" i="13"/>
  <c r="J843" i="13" s="1"/>
  <c r="N843" i="13" l="1"/>
  <c r="M843" i="13"/>
  <c r="T843" i="13" s="1"/>
  <c r="L843" i="13"/>
  <c r="I844" i="13" l="1"/>
  <c r="O844" i="13" s="1"/>
  <c r="AA844" i="13" l="1"/>
  <c r="AB841" i="13"/>
  <c r="K844" i="13"/>
  <c r="P844" i="13" s="1"/>
  <c r="R844" i="13" l="1"/>
  <c r="Q844" i="13"/>
  <c r="J844" i="13" s="1"/>
  <c r="N844" i="13" l="1"/>
  <c r="M844" i="13"/>
  <c r="T844" i="13" s="1"/>
  <c r="L844" i="13"/>
  <c r="I845" i="13" l="1"/>
  <c r="O845" i="13" s="1"/>
  <c r="AA845" i="13" l="1"/>
  <c r="AB842" i="13"/>
  <c r="K845" i="13"/>
  <c r="P845" i="13" s="1"/>
  <c r="Q845" i="13" l="1"/>
  <c r="J845" i="13" s="1"/>
  <c r="R845" i="13"/>
  <c r="N845" i="13" l="1"/>
  <c r="M845" i="13"/>
  <c r="T845" i="13" s="1"/>
  <c r="L845" i="13"/>
  <c r="I846" i="13" l="1"/>
  <c r="O846" i="13" s="1"/>
  <c r="AA846" i="13" l="1"/>
  <c r="AB843" i="13"/>
  <c r="K846" i="13"/>
  <c r="P846" i="13" s="1"/>
  <c r="Q846" i="13" l="1"/>
  <c r="J846" i="13" s="1"/>
  <c r="R846" i="13"/>
  <c r="N846" i="13" l="1"/>
  <c r="M846" i="13"/>
  <c r="T846" i="13" s="1"/>
  <c r="L846" i="13"/>
  <c r="I847" i="13" l="1"/>
  <c r="O847" i="13" s="1"/>
  <c r="AA847" i="13" l="1"/>
  <c r="AB844" i="13"/>
  <c r="K847" i="13"/>
  <c r="P847" i="13" s="1"/>
  <c r="R847" i="13" s="1"/>
  <c r="Q847" i="13" l="1"/>
  <c r="J847" i="13" s="1"/>
  <c r="L847" i="13" s="1"/>
  <c r="N847" i="13" l="1"/>
  <c r="M847" i="13"/>
  <c r="T847" i="13" s="1"/>
  <c r="I848" i="13" l="1"/>
  <c r="O848" i="13" s="1"/>
  <c r="AA848" i="13" l="1"/>
  <c r="AB845" i="13"/>
  <c r="K848" i="13"/>
  <c r="P848" i="13" s="1"/>
  <c r="Q848" i="13" s="1"/>
  <c r="J848" i="13" s="1"/>
  <c r="M848" i="13" s="1"/>
  <c r="T848" i="13" s="1"/>
  <c r="L848" i="13" l="1"/>
  <c r="N848" i="13"/>
  <c r="R848" i="13"/>
  <c r="I849" i="13" l="1"/>
  <c r="O849" i="13" s="1"/>
  <c r="AA849" i="13" l="1"/>
  <c r="AB846" i="13"/>
  <c r="K849" i="13"/>
  <c r="P849" i="13" s="1"/>
  <c r="Q849" i="13" s="1"/>
  <c r="J849" i="13" s="1"/>
  <c r="L849" i="13" s="1"/>
  <c r="R849" i="13" l="1"/>
  <c r="N849" i="13"/>
  <c r="M849" i="13"/>
  <c r="T849" i="13" s="1"/>
  <c r="I850" i="13" l="1"/>
  <c r="O850" i="13" s="1"/>
  <c r="AA850" i="13" l="1"/>
  <c r="AB847" i="13"/>
  <c r="K850" i="13"/>
  <c r="P850" i="13" s="1"/>
  <c r="Q850" i="13" s="1"/>
  <c r="J850" i="13" s="1"/>
  <c r="L850" i="13" s="1"/>
  <c r="R850" i="13" l="1"/>
  <c r="N850" i="13"/>
  <c r="M850" i="13"/>
  <c r="T850" i="13" s="1"/>
  <c r="I851" i="13" l="1"/>
  <c r="O851" i="13" s="1"/>
  <c r="AA851" i="13" l="1"/>
  <c r="AB848" i="13"/>
  <c r="K851" i="13"/>
  <c r="P851" i="13" s="1"/>
  <c r="R851" i="13" s="1"/>
  <c r="Q851" i="13" l="1"/>
  <c r="J851" i="13" s="1"/>
  <c r="L851" i="13" s="1"/>
  <c r="M851" i="13" l="1"/>
  <c r="T851" i="13" s="1"/>
  <c r="N851" i="13"/>
  <c r="I852" i="13" l="1"/>
  <c r="O852" i="13" s="1"/>
  <c r="AA852" i="13" l="1"/>
  <c r="AB849" i="13"/>
  <c r="K852" i="13"/>
  <c r="P852" i="13" s="1"/>
  <c r="R852" i="13" s="1"/>
  <c r="Q852" i="13" l="1"/>
  <c r="J852" i="13" s="1"/>
  <c r="L852" i="13" s="1"/>
  <c r="N852" i="13" l="1"/>
  <c r="M852" i="13"/>
  <c r="T852" i="13" s="1"/>
  <c r="I853" i="13" l="1"/>
  <c r="O853" i="13" s="1"/>
  <c r="AA853" i="13" l="1"/>
  <c r="AB850" i="13"/>
  <c r="K853" i="13"/>
  <c r="P853" i="13" s="1"/>
  <c r="Q853" i="13" s="1"/>
  <c r="J853" i="13" s="1"/>
  <c r="R853" i="13" l="1"/>
  <c r="N853" i="13"/>
  <c r="M853" i="13"/>
  <c r="T853" i="13" s="1"/>
  <c r="L853" i="13"/>
  <c r="I854" i="13" l="1"/>
  <c r="O854" i="13" s="1"/>
  <c r="AA854" i="13" l="1"/>
  <c r="AB851" i="13"/>
  <c r="K854" i="13"/>
  <c r="P854" i="13" s="1"/>
  <c r="Q854" i="13" s="1"/>
  <c r="J854" i="13" s="1"/>
  <c r="R854" i="13" l="1"/>
  <c r="L854" i="13"/>
  <c r="M854" i="13"/>
  <c r="T854" i="13" s="1"/>
  <c r="N854" i="13"/>
  <c r="I855" i="13" l="1"/>
  <c r="O855" i="13" s="1"/>
  <c r="AA855" i="13" l="1"/>
  <c r="AB852" i="13"/>
  <c r="K855" i="13"/>
  <c r="P855" i="13" l="1"/>
  <c r="R855" i="13" l="1"/>
  <c r="Q855" i="13"/>
  <c r="J855" i="13" s="1"/>
  <c r="N855" i="13" l="1"/>
  <c r="M855" i="13"/>
  <c r="T855" i="13" s="1"/>
  <c r="L855" i="13"/>
  <c r="I856" i="13" l="1"/>
  <c r="O856" i="13" s="1"/>
  <c r="AA856" i="13" l="1"/>
  <c r="AB853" i="13"/>
  <c r="K856" i="13"/>
  <c r="P856" i="13" s="1"/>
  <c r="R856" i="13" l="1"/>
  <c r="Q856" i="13"/>
  <c r="J856" i="13" s="1"/>
  <c r="N856" i="13" l="1"/>
  <c r="M856" i="13"/>
  <c r="T856" i="13" s="1"/>
  <c r="L856" i="13"/>
  <c r="I857" i="13" l="1"/>
  <c r="O857" i="13" s="1"/>
  <c r="AA857" i="13" l="1"/>
  <c r="AB854" i="13"/>
  <c r="K857" i="13"/>
  <c r="P857" i="13" s="1"/>
  <c r="R857" i="13" l="1"/>
  <c r="Q857" i="13"/>
  <c r="J857" i="13" s="1"/>
  <c r="N857" i="13" l="1"/>
  <c r="M857" i="13"/>
  <c r="T857" i="13" s="1"/>
  <c r="L857" i="13"/>
  <c r="I858" i="13" l="1"/>
  <c r="O858" i="13" s="1"/>
  <c r="AA858" i="13" l="1"/>
  <c r="AB855" i="13"/>
  <c r="K858" i="13"/>
  <c r="P858" i="13" s="1"/>
  <c r="Q858" i="13" s="1"/>
  <c r="J858" i="13" s="1"/>
  <c r="L858" i="13" s="1"/>
  <c r="R858" i="13" l="1"/>
  <c r="N858" i="13"/>
  <c r="M858" i="13"/>
  <c r="T858" i="13" s="1"/>
  <c r="I859" i="13" l="1"/>
  <c r="O859" i="13" s="1"/>
  <c r="AA859" i="13" l="1"/>
  <c r="AB856" i="13"/>
  <c r="K859" i="13"/>
  <c r="P859" i="13" s="1"/>
  <c r="Q859" i="13" l="1"/>
  <c r="J859" i="13" s="1"/>
  <c r="R859" i="13"/>
  <c r="M859" i="13" l="1"/>
  <c r="T859" i="13" s="1"/>
  <c r="N859" i="13"/>
  <c r="L859" i="13"/>
  <c r="I860" i="13" l="1"/>
  <c r="O860" i="13" s="1"/>
  <c r="AA860" i="13" l="1"/>
  <c r="AB857" i="13"/>
  <c r="K860" i="13"/>
  <c r="P860" i="13" s="1"/>
  <c r="R860" i="13" s="1"/>
  <c r="Q860" i="13" l="1"/>
  <c r="J860" i="13" s="1"/>
  <c r="L860" i="13" s="1"/>
  <c r="M860" i="13" l="1"/>
  <c r="T860" i="13" s="1"/>
  <c r="N860" i="13"/>
  <c r="I861" i="13" l="1"/>
  <c r="O861" i="13" s="1"/>
  <c r="AA861" i="13" l="1"/>
  <c r="AB858" i="13"/>
  <c r="K861" i="13"/>
  <c r="P861" i="13" s="1"/>
  <c r="R861" i="13" s="1"/>
  <c r="Q861" i="13" l="1"/>
  <c r="J861" i="13" s="1"/>
  <c r="N861" i="13" s="1"/>
  <c r="L861" i="13" l="1"/>
  <c r="M861" i="13"/>
  <c r="T861" i="13" s="1"/>
  <c r="I862" i="13" l="1"/>
  <c r="O862" i="13" s="1"/>
  <c r="AA862" i="13" s="1"/>
  <c r="K862" i="13" l="1"/>
  <c r="P862" i="13" s="1"/>
  <c r="Q862" i="13" s="1"/>
  <c r="J862" i="13" s="1"/>
  <c r="AB859" i="13"/>
  <c r="R862" i="13" l="1"/>
  <c r="M862" i="13"/>
  <c r="T862" i="13" s="1"/>
  <c r="N862" i="13"/>
  <c r="L862" i="13"/>
  <c r="I863" i="13" l="1"/>
  <c r="O863" i="13" s="1"/>
  <c r="AA863" i="13" l="1"/>
  <c r="AB860" i="13"/>
  <c r="K863" i="13"/>
  <c r="P863" i="13" s="1"/>
  <c r="Q863" i="13" l="1"/>
  <c r="J863" i="13" s="1"/>
  <c r="R863" i="13"/>
  <c r="N863" i="13" l="1"/>
  <c r="M863" i="13"/>
  <c r="T863" i="13" s="1"/>
  <c r="L863" i="13"/>
  <c r="I864" i="13" l="1"/>
  <c r="O864" i="13" s="1"/>
  <c r="AA864" i="13" l="1"/>
  <c r="AB861" i="13"/>
  <c r="K864" i="13"/>
  <c r="P864" i="13" s="1"/>
  <c r="R864" i="13" l="1"/>
  <c r="Q864" i="13"/>
  <c r="J864" i="13" s="1"/>
  <c r="N864" i="13" l="1"/>
  <c r="M864" i="13"/>
  <c r="T864" i="13" s="1"/>
  <c r="L864" i="13"/>
  <c r="I865" i="13" l="1"/>
  <c r="O865" i="13" s="1"/>
  <c r="AA865" i="13" l="1"/>
  <c r="AB862" i="13"/>
  <c r="K865" i="13"/>
  <c r="P865" i="13" s="1"/>
  <c r="Q865" i="13" l="1"/>
  <c r="J865" i="13" s="1"/>
  <c r="R865" i="13"/>
  <c r="N865" i="13" l="1"/>
  <c r="M865" i="13"/>
  <c r="T865" i="13" s="1"/>
  <c r="L865" i="13"/>
  <c r="I866" i="13" l="1"/>
  <c r="O866" i="13" s="1"/>
  <c r="AA866" i="13" l="1"/>
  <c r="AB863" i="13"/>
  <c r="K866" i="13"/>
  <c r="P866" i="13" s="1"/>
  <c r="R866" i="13" l="1"/>
  <c r="Q866" i="13"/>
  <c r="J866" i="13" s="1"/>
  <c r="N866" i="13" l="1"/>
  <c r="M866" i="13"/>
  <c r="T866" i="13" s="1"/>
  <c r="L866" i="13"/>
  <c r="I867" i="13" l="1"/>
  <c r="O867" i="13" s="1"/>
  <c r="AA867" i="13" l="1"/>
  <c r="AB864" i="13"/>
  <c r="K867" i="13"/>
  <c r="P867" i="13" s="1"/>
  <c r="Q867" i="13" l="1"/>
  <c r="J867" i="13" s="1"/>
  <c r="R867" i="13"/>
  <c r="M867" i="13" l="1"/>
  <c r="T867" i="13" s="1"/>
  <c r="N867" i="13"/>
  <c r="L867" i="13"/>
  <c r="I868" i="13" l="1"/>
  <c r="O868" i="13" s="1"/>
  <c r="AA868" i="13" l="1"/>
  <c r="AB865" i="13"/>
  <c r="K868" i="13"/>
  <c r="P868" i="13" s="1"/>
  <c r="Q868" i="13" l="1"/>
  <c r="J868" i="13" s="1"/>
  <c r="R868" i="13"/>
  <c r="N868" i="13" l="1"/>
  <c r="M868" i="13"/>
  <c r="T868" i="13" s="1"/>
  <c r="L868" i="13"/>
  <c r="I869" i="13" l="1"/>
  <c r="O869" i="13" s="1"/>
  <c r="AA869" i="13" l="1"/>
  <c r="AB866" i="13"/>
  <c r="K869" i="13"/>
  <c r="P869" i="13" s="1"/>
  <c r="R869" i="13" l="1"/>
  <c r="Q869" i="13"/>
  <c r="J869" i="13" s="1"/>
  <c r="M869" i="13" l="1"/>
  <c r="T869" i="13" s="1"/>
  <c r="N869" i="13"/>
  <c r="L869" i="13"/>
  <c r="I870" i="13" l="1"/>
  <c r="O870" i="13" s="1"/>
  <c r="AA870" i="13" l="1"/>
  <c r="AB867" i="13"/>
  <c r="K870" i="13"/>
  <c r="P870" i="13" s="1"/>
  <c r="Q870" i="13" l="1"/>
  <c r="J870" i="13" s="1"/>
  <c r="R870" i="13"/>
  <c r="M870" i="13" l="1"/>
  <c r="T870" i="13" s="1"/>
  <c r="N870" i="13"/>
  <c r="L870" i="13"/>
  <c r="I871" i="13" l="1"/>
  <c r="O871" i="13" s="1"/>
  <c r="AA871" i="13" l="1"/>
  <c r="AB868" i="13"/>
  <c r="K871" i="13"/>
  <c r="P871" i="13" s="1"/>
  <c r="R871" i="13" l="1"/>
  <c r="Q871" i="13"/>
  <c r="J871" i="13" s="1"/>
  <c r="M871" i="13" l="1"/>
  <c r="T871" i="13" s="1"/>
  <c r="N871" i="13"/>
  <c r="L871" i="13"/>
  <c r="I872" i="13" l="1"/>
  <c r="O872" i="13" s="1"/>
  <c r="AA872" i="13" l="1"/>
  <c r="AB869" i="13"/>
  <c r="K872" i="13"/>
  <c r="P872" i="13" s="1"/>
  <c r="R872" i="13" l="1"/>
  <c r="Q872" i="13"/>
  <c r="J872" i="13" s="1"/>
  <c r="M872" i="13" l="1"/>
  <c r="T872" i="13" s="1"/>
  <c r="N872" i="13"/>
  <c r="L872" i="13"/>
  <c r="I873" i="13" l="1"/>
  <c r="O873" i="13" s="1"/>
  <c r="AA873" i="13" l="1"/>
  <c r="AB870" i="13"/>
  <c r="K873" i="13"/>
  <c r="P873" i="13" s="1"/>
  <c r="R873" i="13" l="1"/>
  <c r="Q873" i="13"/>
  <c r="J873" i="13" s="1"/>
  <c r="M873" i="13" l="1"/>
  <c r="T873" i="13" s="1"/>
  <c r="N873" i="13"/>
  <c r="L873" i="13"/>
  <c r="I874" i="13" l="1"/>
  <c r="O874" i="13" s="1"/>
  <c r="AA874" i="13" l="1"/>
  <c r="AB871" i="13"/>
  <c r="K874" i="13"/>
  <c r="P874" i="13" s="1"/>
  <c r="R874" i="13" l="1"/>
  <c r="Q874" i="13"/>
  <c r="J874" i="13" s="1"/>
  <c r="M874" i="13" l="1"/>
  <c r="T874" i="13" s="1"/>
  <c r="N874" i="13"/>
  <c r="L874" i="13"/>
  <c r="I875" i="13" l="1"/>
  <c r="O875" i="13" s="1"/>
  <c r="AA875" i="13" l="1"/>
  <c r="AB872" i="13"/>
  <c r="K875" i="13"/>
  <c r="P875" i="13" s="1"/>
  <c r="Q875" i="13" l="1"/>
  <c r="J875" i="13" s="1"/>
  <c r="R875" i="13"/>
  <c r="N875" i="13" l="1"/>
  <c r="M875" i="13"/>
  <c r="T875" i="13" s="1"/>
  <c r="L875" i="13"/>
  <c r="I876" i="13" l="1"/>
  <c r="O876" i="13" s="1"/>
  <c r="AA876" i="13" l="1"/>
  <c r="AB873" i="13"/>
  <c r="K876" i="13"/>
  <c r="P876" i="13" s="1"/>
  <c r="R876" i="13" s="1"/>
  <c r="Q876" i="13" l="1"/>
  <c r="J876" i="13" s="1"/>
  <c r="M876" i="13" s="1"/>
  <c r="T876" i="13" s="1"/>
  <c r="N876" i="13" l="1"/>
  <c r="L876" i="13"/>
  <c r="I877" i="13" l="1"/>
  <c r="O877" i="13" s="1"/>
  <c r="AA877" i="13" l="1"/>
  <c r="AB874" i="13"/>
  <c r="K877" i="13"/>
  <c r="P877" i="13" s="1"/>
  <c r="R877" i="13" l="1"/>
  <c r="Q877" i="13"/>
  <c r="J877" i="13" s="1"/>
  <c r="N877" i="13" l="1"/>
  <c r="M877" i="13"/>
  <c r="T877" i="13" s="1"/>
  <c r="L877" i="13"/>
  <c r="I878" i="13" l="1"/>
  <c r="O878" i="13" s="1"/>
  <c r="AA878" i="13" l="1"/>
  <c r="AB875" i="13"/>
  <c r="K878" i="13"/>
  <c r="P878" i="13" s="1"/>
  <c r="Q878" i="13" l="1"/>
  <c r="J878" i="13" s="1"/>
  <c r="R878" i="13"/>
  <c r="N878" i="13" l="1"/>
  <c r="M878" i="13"/>
  <c r="T878" i="13" s="1"/>
  <c r="L878" i="13"/>
  <c r="I879" i="13" l="1"/>
  <c r="O879" i="13" s="1"/>
  <c r="AA879" i="13" l="1"/>
  <c r="AB876" i="13"/>
  <c r="K879" i="13"/>
  <c r="P879" i="13" s="1"/>
  <c r="Q879" i="13" l="1"/>
  <c r="J879" i="13" s="1"/>
  <c r="R879" i="13"/>
  <c r="N879" i="13" l="1"/>
  <c r="M879" i="13"/>
  <c r="T879" i="13" s="1"/>
  <c r="L879" i="13"/>
  <c r="I880" i="13" l="1"/>
  <c r="O880" i="13" s="1"/>
  <c r="AA880" i="13" l="1"/>
  <c r="AB877" i="13"/>
  <c r="K880" i="13"/>
  <c r="P880" i="13" s="1"/>
  <c r="Q880" i="13" s="1"/>
  <c r="J880" i="13" s="1"/>
  <c r="R880" i="13" l="1"/>
  <c r="L880" i="13"/>
  <c r="M880" i="13"/>
  <c r="T880" i="13" s="1"/>
  <c r="N880" i="13"/>
  <c r="I881" i="13" l="1"/>
  <c r="O881" i="13" s="1"/>
  <c r="AA881" i="13" l="1"/>
  <c r="AB878" i="13"/>
  <c r="K881" i="13"/>
  <c r="P881" i="13" s="1"/>
  <c r="Q881" i="13" l="1"/>
  <c r="J881" i="13" s="1"/>
  <c r="R881" i="13"/>
  <c r="L881" i="13" l="1"/>
  <c r="M881" i="13"/>
  <c r="T881" i="13" s="1"/>
  <c r="N881" i="13"/>
  <c r="I882" i="13" l="1"/>
  <c r="O882" i="13" s="1"/>
  <c r="AA882" i="13" l="1"/>
  <c r="AB879" i="13"/>
  <c r="K882" i="13"/>
  <c r="P882" i="13" l="1"/>
  <c r="R882" i="13" l="1"/>
  <c r="Q882" i="13"/>
  <c r="J882" i="13" s="1"/>
  <c r="N882" i="13" l="1"/>
  <c r="M882" i="13"/>
  <c r="T882" i="13" s="1"/>
  <c r="L882" i="13"/>
  <c r="I883" i="13" l="1"/>
  <c r="O883" i="13" s="1"/>
  <c r="AA883" i="13" l="1"/>
  <c r="AB880" i="13"/>
  <c r="K883" i="13"/>
  <c r="P883" i="13" s="1"/>
  <c r="R883" i="13" l="1"/>
  <c r="Q883" i="13"/>
  <c r="J883" i="13" s="1"/>
  <c r="N883" i="13" l="1"/>
  <c r="M883" i="13"/>
  <c r="T883" i="13" s="1"/>
  <c r="L883" i="13"/>
  <c r="I884" i="13" l="1"/>
  <c r="O884" i="13" s="1"/>
  <c r="AA884" i="13" l="1"/>
  <c r="AB881" i="13"/>
  <c r="K884" i="13"/>
  <c r="P884" i="13" s="1"/>
  <c r="R884" i="13" s="1"/>
  <c r="Q884" i="13" l="1"/>
  <c r="J884" i="13" s="1"/>
  <c r="L884" i="13" s="1"/>
  <c r="N884" i="13" l="1"/>
  <c r="M884" i="13"/>
  <c r="T884" i="13" s="1"/>
  <c r="I885" i="13" l="1"/>
  <c r="O885" i="13" s="1"/>
  <c r="AA885" i="13" l="1"/>
  <c r="AB882" i="13"/>
  <c r="K885" i="13"/>
  <c r="P885" i="13" s="1"/>
  <c r="Q885" i="13" s="1"/>
  <c r="J885" i="13" s="1"/>
  <c r="R885" i="13" l="1"/>
  <c r="L885" i="13"/>
  <c r="M885" i="13"/>
  <c r="T885" i="13" s="1"/>
  <c r="N885" i="13"/>
  <c r="I886" i="13" l="1"/>
  <c r="O886" i="13" s="1"/>
  <c r="AA886" i="13" l="1"/>
  <c r="AB883" i="13"/>
  <c r="K886" i="13"/>
  <c r="P886" i="13" s="1"/>
  <c r="R886" i="13" l="1"/>
  <c r="Q886" i="13"/>
  <c r="J886" i="13" s="1"/>
  <c r="L886" i="13" s="1"/>
  <c r="N886" i="13" l="1"/>
  <c r="M886" i="13"/>
  <c r="T886" i="13" s="1"/>
  <c r="I887" i="13" l="1"/>
  <c r="O887" i="13" s="1"/>
  <c r="AA887" i="13" l="1"/>
  <c r="AB884" i="13"/>
  <c r="K887" i="13"/>
  <c r="P887" i="13" s="1"/>
  <c r="R887" i="13" l="1"/>
  <c r="Q887" i="13"/>
  <c r="J887" i="13" s="1"/>
  <c r="N887" i="13" l="1"/>
  <c r="M887" i="13"/>
  <c r="T887" i="13" s="1"/>
  <c r="L887" i="13"/>
  <c r="I888" i="13" l="1"/>
  <c r="O888" i="13" s="1"/>
  <c r="AA888" i="13" l="1"/>
  <c r="AB885" i="13"/>
  <c r="K888" i="13"/>
  <c r="P888" i="13" s="1"/>
  <c r="Q888" i="13" l="1"/>
  <c r="J888" i="13" s="1"/>
  <c r="R888" i="13"/>
  <c r="N888" i="13" l="1"/>
  <c r="M888" i="13"/>
  <c r="T888" i="13" s="1"/>
  <c r="L888" i="13"/>
  <c r="I889" i="13" l="1"/>
  <c r="O889" i="13" s="1"/>
  <c r="AA889" i="13" l="1"/>
  <c r="AB886" i="13"/>
  <c r="K889" i="13"/>
  <c r="P889" i="13" s="1"/>
  <c r="Q889" i="13" l="1"/>
  <c r="J889" i="13" s="1"/>
  <c r="R889" i="13"/>
  <c r="N889" i="13" l="1"/>
  <c r="M889" i="13"/>
  <c r="T889" i="13" s="1"/>
  <c r="L889" i="13"/>
  <c r="I890" i="13" l="1"/>
  <c r="O890" i="13" s="1"/>
  <c r="AA890" i="13" l="1"/>
  <c r="AB887" i="13"/>
  <c r="K890" i="13"/>
  <c r="P890" i="13" s="1"/>
  <c r="Q890" i="13" l="1"/>
  <c r="J890" i="13" s="1"/>
  <c r="R890" i="13"/>
  <c r="N890" i="13" l="1"/>
  <c r="M890" i="13"/>
  <c r="T890" i="13" s="1"/>
  <c r="L890" i="13"/>
  <c r="I891" i="13" l="1"/>
  <c r="O891" i="13" s="1"/>
  <c r="AA891" i="13" l="1"/>
  <c r="AB888" i="13"/>
  <c r="K891" i="13"/>
  <c r="P891" i="13" s="1"/>
  <c r="R891" i="13" l="1"/>
  <c r="Q891" i="13"/>
  <c r="J891" i="13" s="1"/>
  <c r="N891" i="13" l="1"/>
  <c r="M891" i="13"/>
  <c r="T891" i="13" s="1"/>
  <c r="L891" i="13"/>
  <c r="I892" i="13" l="1"/>
  <c r="O892" i="13" s="1"/>
  <c r="AA892" i="13" l="1"/>
  <c r="AB889" i="13"/>
  <c r="K892" i="13"/>
  <c r="P892" i="13" s="1"/>
  <c r="R892" i="13" l="1"/>
  <c r="Q892" i="13"/>
  <c r="J892" i="13" s="1"/>
  <c r="N892" i="13" l="1"/>
  <c r="M892" i="13"/>
  <c r="T892" i="13" s="1"/>
  <c r="L892" i="13"/>
  <c r="I893" i="13" l="1"/>
  <c r="O893" i="13" s="1"/>
  <c r="AA893" i="13" l="1"/>
  <c r="AB890" i="13"/>
  <c r="K893" i="13"/>
  <c r="P893" i="13" s="1"/>
  <c r="Q893" i="13" s="1"/>
  <c r="J893" i="13" s="1"/>
  <c r="R893" i="13" l="1"/>
  <c r="L893" i="13"/>
  <c r="M893" i="13"/>
  <c r="T893" i="13" s="1"/>
  <c r="N893" i="13"/>
  <c r="I894" i="13" l="1"/>
  <c r="O894" i="13" s="1"/>
  <c r="AA894" i="13" l="1"/>
  <c r="AB891" i="13"/>
  <c r="K894" i="13"/>
  <c r="P894" i="13" l="1"/>
  <c r="Q894" i="13" l="1"/>
  <c r="J894" i="13" s="1"/>
  <c r="R894" i="13"/>
  <c r="N894" i="13" l="1"/>
  <c r="M894" i="13"/>
  <c r="T894" i="13" s="1"/>
  <c r="L894" i="13"/>
  <c r="I895" i="13" l="1"/>
  <c r="O895" i="13" s="1"/>
  <c r="AA895" i="13" l="1"/>
  <c r="AB892" i="13"/>
  <c r="K895" i="13"/>
  <c r="P895" i="13" s="1"/>
  <c r="R895" i="13" l="1"/>
  <c r="Q895" i="13"/>
  <c r="J895" i="13" s="1"/>
  <c r="M895" i="13" l="1"/>
  <c r="T895" i="13" s="1"/>
  <c r="N895" i="13"/>
  <c r="L895" i="13"/>
  <c r="I896" i="13" l="1"/>
  <c r="O896" i="13" s="1"/>
  <c r="K896" i="13" l="1"/>
  <c r="P896" i="13" s="1"/>
  <c r="AA896" i="13"/>
  <c r="AB893" i="13"/>
  <c r="R896" i="13" l="1"/>
  <c r="Q896" i="13"/>
  <c r="J896" i="13" s="1"/>
  <c r="M896" i="13" l="1"/>
  <c r="T896" i="13" s="1"/>
  <c r="N896" i="13"/>
  <c r="L896" i="13"/>
  <c r="I897" i="13" l="1"/>
  <c r="O897" i="13" s="1"/>
  <c r="K897" i="13" l="1"/>
  <c r="P897" i="13" s="1"/>
  <c r="AA897" i="13"/>
  <c r="AB894" i="13"/>
  <c r="R897" i="13" l="1"/>
  <c r="Q897" i="13"/>
  <c r="J897" i="13" s="1"/>
  <c r="M897" i="13" l="1"/>
  <c r="T897" i="13" s="1"/>
  <c r="N897" i="13"/>
  <c r="L897" i="13"/>
  <c r="I898" i="13" l="1"/>
  <c r="O898" i="13" s="1"/>
  <c r="AA898" i="13" l="1"/>
  <c r="AB895" i="13"/>
  <c r="K898" i="13"/>
  <c r="P898" i="13" s="1"/>
  <c r="Q898" i="13" l="1"/>
  <c r="J898" i="13" s="1"/>
  <c r="R898" i="13"/>
  <c r="M898" i="13" l="1"/>
  <c r="T898" i="13" s="1"/>
  <c r="N898" i="13"/>
  <c r="L898" i="13"/>
  <c r="I899" i="13" l="1"/>
  <c r="O899" i="13" s="1"/>
  <c r="AA899" i="13" l="1"/>
  <c r="AB896" i="13"/>
  <c r="K899" i="13"/>
  <c r="P899" i="13" s="1"/>
  <c r="Q899" i="13" l="1"/>
  <c r="J899" i="13" s="1"/>
  <c r="R899" i="13"/>
  <c r="N899" i="13" l="1"/>
  <c r="M899" i="13"/>
  <c r="T899" i="13" s="1"/>
  <c r="L899" i="13"/>
  <c r="I900" i="13" l="1"/>
  <c r="O900" i="13" s="1"/>
  <c r="AA900" i="13" l="1"/>
  <c r="AB897" i="13"/>
  <c r="K900" i="13"/>
  <c r="P900" i="13" s="1"/>
  <c r="Q900" i="13" l="1"/>
  <c r="J900" i="13" s="1"/>
  <c r="R900" i="13"/>
  <c r="N900" i="13" l="1"/>
  <c r="M900" i="13"/>
  <c r="T900" i="13" s="1"/>
  <c r="L900" i="13"/>
  <c r="I901" i="13" l="1"/>
  <c r="O901" i="13" s="1"/>
  <c r="AA901" i="13" l="1"/>
  <c r="AB898" i="13"/>
  <c r="K901" i="13"/>
  <c r="P901" i="13" s="1"/>
  <c r="R901" i="13" l="1"/>
  <c r="Q901" i="13"/>
  <c r="J901" i="13" s="1"/>
  <c r="N901" i="13" l="1"/>
  <c r="M901" i="13"/>
  <c r="T901" i="13" s="1"/>
  <c r="L901" i="13"/>
  <c r="I902" i="13" l="1"/>
  <c r="O902" i="13" s="1"/>
  <c r="AA902" i="13" l="1"/>
  <c r="AB899" i="13"/>
  <c r="K902" i="13"/>
  <c r="P902" i="13" s="1"/>
  <c r="Q902" i="13" s="1"/>
  <c r="J902" i="13" s="1"/>
  <c r="R902" i="13" l="1"/>
  <c r="L902" i="13"/>
  <c r="M902" i="13"/>
  <c r="T902" i="13" s="1"/>
  <c r="N902" i="13"/>
  <c r="I903" i="13" l="1"/>
  <c r="O903" i="13" s="1"/>
  <c r="AA903" i="13" l="1"/>
  <c r="AB900" i="13"/>
  <c r="K903" i="13"/>
  <c r="P903" i="13" s="1"/>
  <c r="R903" i="13" l="1"/>
  <c r="Q903" i="13"/>
  <c r="J903" i="13" s="1"/>
  <c r="L903" i="13" s="1"/>
  <c r="N903" i="13" l="1"/>
  <c r="M903" i="13"/>
  <c r="T903" i="13" s="1"/>
  <c r="I904" i="13" l="1"/>
  <c r="O904" i="13" s="1"/>
  <c r="AA904" i="13" l="1"/>
  <c r="AB901" i="13"/>
  <c r="K904" i="13"/>
  <c r="P904" i="13" s="1"/>
  <c r="Q904" i="13" s="1"/>
  <c r="J904" i="13" s="1"/>
  <c r="R904" i="13" l="1"/>
  <c r="L904" i="13"/>
  <c r="M904" i="13"/>
  <c r="T904" i="13" s="1"/>
  <c r="N904" i="13"/>
  <c r="I905" i="13" l="1"/>
  <c r="O905" i="13" s="1"/>
  <c r="AA905" i="13" l="1"/>
  <c r="AB902" i="13"/>
  <c r="K905" i="13"/>
  <c r="P905" i="13" l="1"/>
  <c r="R905" i="13" l="1"/>
  <c r="Q905" i="13"/>
  <c r="J905" i="13" s="1"/>
  <c r="N905" i="13" l="1"/>
  <c r="M905" i="13"/>
  <c r="T905" i="13" s="1"/>
  <c r="L905" i="13"/>
  <c r="I906" i="13" l="1"/>
  <c r="O906" i="13" s="1"/>
  <c r="AA906" i="13" l="1"/>
  <c r="AB903" i="13"/>
  <c r="K906" i="13"/>
  <c r="P906" i="13" s="1"/>
  <c r="Q906" i="13" l="1"/>
  <c r="J906" i="13" s="1"/>
  <c r="R906" i="13"/>
  <c r="N906" i="13" l="1"/>
  <c r="M906" i="13"/>
  <c r="T906" i="13" s="1"/>
  <c r="L906" i="13"/>
  <c r="I907" i="13" l="1"/>
  <c r="O907" i="13" s="1"/>
  <c r="AA907" i="13" l="1"/>
  <c r="AB904" i="13"/>
  <c r="K907" i="13"/>
  <c r="P907" i="13" s="1"/>
  <c r="R907" i="13" l="1"/>
  <c r="Q907" i="13"/>
  <c r="J907" i="13" s="1"/>
  <c r="M907" i="13" l="1"/>
  <c r="T907" i="13" s="1"/>
  <c r="N907" i="13"/>
  <c r="L907" i="13"/>
  <c r="I908" i="13" l="1"/>
  <c r="O908" i="13" s="1"/>
  <c r="AA908" i="13" l="1"/>
  <c r="AB905" i="13"/>
  <c r="K908" i="13"/>
  <c r="P908" i="13" s="1"/>
  <c r="R908" i="13" l="1"/>
  <c r="Q908" i="13"/>
  <c r="J908" i="13" s="1"/>
  <c r="N908" i="13" l="1"/>
  <c r="M908" i="13"/>
  <c r="T908" i="13" s="1"/>
  <c r="L908" i="13"/>
  <c r="I909" i="13" l="1"/>
  <c r="O909" i="13" s="1"/>
  <c r="AA909" i="13" l="1"/>
  <c r="AB906" i="13"/>
  <c r="K909" i="13"/>
  <c r="P909" i="13" s="1"/>
  <c r="R909" i="13" s="1"/>
  <c r="Q909" i="13" l="1"/>
  <c r="J909" i="13" s="1"/>
  <c r="L909" i="13" s="1"/>
  <c r="N909" i="13" l="1"/>
  <c r="M909" i="13"/>
  <c r="T909" i="13" s="1"/>
  <c r="I910" i="13" l="1"/>
  <c r="O910" i="13" s="1"/>
  <c r="AA910" i="13" l="1"/>
  <c r="AB907" i="13"/>
  <c r="K910" i="13"/>
  <c r="P910" i="13" s="1"/>
  <c r="Q910" i="13" s="1"/>
  <c r="J910" i="13" s="1"/>
  <c r="R910" i="13" l="1"/>
  <c r="L910" i="13"/>
  <c r="M910" i="13"/>
  <c r="T910" i="13" s="1"/>
  <c r="N910" i="13"/>
  <c r="I911" i="13" l="1"/>
  <c r="O911" i="13" s="1"/>
  <c r="AA911" i="13" l="1"/>
  <c r="AB908" i="13"/>
  <c r="K911" i="13"/>
  <c r="P911" i="13" l="1"/>
  <c r="Q911" i="13" l="1"/>
  <c r="J911" i="13" s="1"/>
  <c r="R911" i="13"/>
  <c r="N911" i="13" l="1"/>
  <c r="M911" i="13"/>
  <c r="T911" i="13" s="1"/>
  <c r="L911" i="13"/>
  <c r="I912" i="13" l="1"/>
  <c r="O912" i="13" s="1"/>
  <c r="AA912" i="13" l="1"/>
  <c r="AB909" i="13"/>
  <c r="K912" i="13"/>
  <c r="P912" i="13" s="1"/>
  <c r="R912" i="13" l="1"/>
  <c r="Q912" i="13"/>
  <c r="J912" i="13" s="1"/>
  <c r="N912" i="13" l="1"/>
  <c r="M912" i="13"/>
  <c r="T912" i="13" s="1"/>
  <c r="L912" i="13"/>
  <c r="I913" i="13" l="1"/>
  <c r="O913" i="13" s="1"/>
  <c r="AA913" i="13" l="1"/>
  <c r="AB910" i="13"/>
  <c r="K913" i="13"/>
  <c r="P913" i="13" s="1"/>
  <c r="Q913" i="13" s="1"/>
  <c r="J913" i="13" s="1"/>
  <c r="L913" i="13" s="1"/>
  <c r="R913" i="13" l="1"/>
  <c r="N913" i="13"/>
  <c r="M913" i="13"/>
  <c r="I914" i="13" l="1"/>
  <c r="O914" i="13" s="1"/>
  <c r="AA914" i="13" s="1"/>
  <c r="T913" i="13"/>
  <c r="AB911" i="13" l="1"/>
  <c r="K914" i="13"/>
  <c r="P914" i="13" s="1"/>
  <c r="Q914" i="13" l="1"/>
  <c r="J914" i="13" s="1"/>
  <c r="R914" i="13"/>
  <c r="N914" i="13" l="1"/>
  <c r="M914" i="13"/>
  <c r="T914" i="13" s="1"/>
  <c r="L914" i="13"/>
  <c r="I915" i="13" l="1"/>
  <c r="O915" i="13" s="1"/>
  <c r="AA915" i="13" l="1"/>
  <c r="AB912" i="13"/>
  <c r="K915" i="13"/>
  <c r="P915" i="13" s="1"/>
  <c r="R915" i="13" s="1"/>
  <c r="Q915" i="13" l="1"/>
  <c r="J915" i="13" s="1"/>
  <c r="L915" i="13" s="1"/>
  <c r="N915" i="13" l="1"/>
  <c r="M915" i="13"/>
  <c r="T915" i="13" s="1"/>
  <c r="I916" i="13" l="1"/>
  <c r="O916" i="13" s="1"/>
  <c r="AA916" i="13" l="1"/>
  <c r="AB913" i="13"/>
  <c r="K916" i="13"/>
  <c r="P916" i="13" s="1"/>
  <c r="Q916" i="13" s="1"/>
  <c r="J916" i="13" s="1"/>
  <c r="R916" i="13" l="1"/>
  <c r="N916" i="13"/>
  <c r="M916" i="13"/>
  <c r="T916" i="13" s="1"/>
  <c r="L916" i="13"/>
  <c r="I917" i="13" l="1"/>
  <c r="O917" i="13" s="1"/>
  <c r="AA917" i="13" l="1"/>
  <c r="AB914" i="13"/>
  <c r="K917" i="13"/>
  <c r="P917" i="13" s="1"/>
  <c r="Q917" i="13" l="1"/>
  <c r="J917" i="13" s="1"/>
  <c r="R917" i="13"/>
  <c r="M917" i="13" l="1"/>
  <c r="T917" i="13" s="1"/>
  <c r="N917" i="13"/>
  <c r="L917" i="13"/>
  <c r="I918" i="13" l="1"/>
  <c r="O918" i="13" s="1"/>
  <c r="AA918" i="13" l="1"/>
  <c r="AB915" i="13"/>
  <c r="K918" i="13"/>
  <c r="P918" i="13" s="1"/>
  <c r="Q918" i="13" l="1"/>
  <c r="J918" i="13" s="1"/>
  <c r="R918" i="13"/>
  <c r="N918" i="13" l="1"/>
  <c r="M918" i="13"/>
  <c r="T918" i="13" s="1"/>
  <c r="L918" i="13"/>
  <c r="I919" i="13" l="1"/>
  <c r="O919" i="13" s="1"/>
  <c r="AA919" i="13" l="1"/>
  <c r="AB916" i="13"/>
  <c r="K919" i="13"/>
  <c r="P919" i="13" s="1"/>
  <c r="Q919" i="13" s="1"/>
  <c r="J919" i="13" s="1"/>
  <c r="L919" i="13" s="1"/>
  <c r="R919" i="13" l="1"/>
  <c r="N919" i="13"/>
  <c r="M919" i="13"/>
  <c r="T919" i="13" s="1"/>
  <c r="I920" i="13" l="1"/>
  <c r="O920" i="13" s="1"/>
  <c r="AA920" i="13" l="1"/>
  <c r="AB917" i="13"/>
  <c r="K920" i="13"/>
  <c r="P920" i="13" s="1"/>
  <c r="Q920" i="13" s="1"/>
  <c r="J920" i="13" s="1"/>
  <c r="L920" i="13" s="1"/>
  <c r="R920" i="13" l="1"/>
  <c r="N920" i="13"/>
  <c r="M920" i="13"/>
  <c r="T920" i="13" s="1"/>
  <c r="I921" i="13" l="1"/>
  <c r="O921" i="13" s="1"/>
  <c r="AA921" i="13" l="1"/>
  <c r="AB918" i="13"/>
  <c r="K921" i="13"/>
  <c r="P921" i="13" s="1"/>
  <c r="R921" i="13" l="1"/>
  <c r="Q921" i="13"/>
  <c r="J921" i="13" s="1"/>
  <c r="N921" i="13" l="1"/>
  <c r="M921" i="13"/>
  <c r="T921" i="13" s="1"/>
  <c r="L921" i="13"/>
  <c r="I922" i="13" l="1"/>
  <c r="O922" i="13" s="1"/>
  <c r="AA922" i="13" l="1"/>
  <c r="AB919" i="13"/>
  <c r="K922" i="13"/>
  <c r="P922" i="13" s="1"/>
  <c r="R922" i="13" l="1"/>
  <c r="Q922" i="13"/>
  <c r="J922" i="13" s="1"/>
  <c r="N922" i="13" l="1"/>
  <c r="M922" i="13"/>
  <c r="T922" i="13" s="1"/>
  <c r="L922" i="13"/>
  <c r="I923" i="13" l="1"/>
  <c r="O923" i="13" s="1"/>
  <c r="AA923" i="13" l="1"/>
  <c r="AB920" i="13"/>
  <c r="K923" i="13"/>
  <c r="P923" i="13" s="1"/>
  <c r="Q923" i="13" l="1"/>
  <c r="J923" i="13" s="1"/>
  <c r="R923" i="13"/>
  <c r="N923" i="13" l="1"/>
  <c r="M923" i="13"/>
  <c r="T923" i="13" s="1"/>
  <c r="L923" i="13"/>
  <c r="I924" i="13" l="1"/>
  <c r="O924" i="13" s="1"/>
  <c r="AA924" i="13" l="1"/>
  <c r="AB921" i="13"/>
  <c r="K924" i="13"/>
  <c r="P924" i="13" s="1"/>
  <c r="R924" i="13" l="1"/>
  <c r="Q924" i="13"/>
  <c r="J924" i="13" s="1"/>
  <c r="N924" i="13" l="1"/>
  <c r="M924" i="13"/>
  <c r="T924" i="13" s="1"/>
  <c r="L924" i="13"/>
  <c r="I925" i="13" l="1"/>
  <c r="O925" i="13" s="1"/>
  <c r="AA925" i="13" l="1"/>
  <c r="AB922" i="13"/>
  <c r="K925" i="13"/>
  <c r="P925" i="13" s="1"/>
  <c r="R925" i="13" s="1"/>
  <c r="Q925" i="13" l="1"/>
  <c r="J925" i="13" s="1"/>
  <c r="L925" i="13" s="1"/>
  <c r="M925" i="13" l="1"/>
  <c r="T925" i="13" s="1"/>
  <c r="N925" i="13"/>
  <c r="I926" i="13" l="1"/>
  <c r="O926" i="13" s="1"/>
  <c r="AA926" i="13" l="1"/>
  <c r="AB923" i="13"/>
  <c r="K926" i="13"/>
  <c r="P926" i="13" s="1"/>
  <c r="R926" i="13" s="1"/>
  <c r="Q926" i="13" l="1"/>
  <c r="J926" i="13" s="1"/>
  <c r="L926" i="13" s="1"/>
  <c r="M926" i="13" l="1"/>
  <c r="T926" i="13" s="1"/>
  <c r="N926" i="13"/>
  <c r="I927" i="13" l="1"/>
  <c r="O927" i="13" s="1"/>
  <c r="AA927" i="13" l="1"/>
  <c r="AB924" i="13"/>
  <c r="K927" i="13"/>
  <c r="P927" i="13" s="1"/>
  <c r="Q927" i="13" s="1"/>
  <c r="J927" i="13" s="1"/>
  <c r="R927" i="13" l="1"/>
  <c r="N927" i="13"/>
  <c r="M927" i="13"/>
  <c r="T927" i="13" s="1"/>
  <c r="L927" i="13"/>
  <c r="I928" i="13" l="1"/>
  <c r="O928" i="13" s="1"/>
  <c r="AA928" i="13" l="1"/>
  <c r="AB925" i="13"/>
  <c r="K928" i="13"/>
  <c r="P928" i="13" s="1"/>
  <c r="Q928" i="13" s="1"/>
  <c r="J928" i="13" s="1"/>
  <c r="L928" i="13" s="1"/>
  <c r="R928" i="13" l="1"/>
  <c r="N928" i="13"/>
  <c r="M928" i="13"/>
  <c r="T928" i="13" s="1"/>
  <c r="I929" i="13" l="1"/>
  <c r="O929" i="13" s="1"/>
  <c r="AA929" i="13" l="1"/>
  <c r="AB926" i="13"/>
  <c r="K929" i="13"/>
  <c r="P929" i="13" s="1"/>
  <c r="Q929" i="13" s="1"/>
  <c r="J929" i="13" s="1"/>
  <c r="L929" i="13" s="1"/>
  <c r="R929" i="13" l="1"/>
  <c r="N929" i="13"/>
  <c r="M929" i="13"/>
  <c r="T929" i="13" s="1"/>
  <c r="I930" i="13" l="1"/>
  <c r="O930" i="13" s="1"/>
  <c r="AA930" i="13" l="1"/>
  <c r="AB927" i="13"/>
  <c r="K930" i="13"/>
  <c r="P930" i="13" s="1"/>
  <c r="Q930" i="13" l="1"/>
  <c r="J930" i="13" s="1"/>
  <c r="R930" i="13"/>
  <c r="N930" i="13" l="1"/>
  <c r="M930" i="13"/>
  <c r="T930" i="13" s="1"/>
  <c r="L930" i="13"/>
  <c r="I931" i="13" l="1"/>
  <c r="O931" i="13" s="1"/>
  <c r="AA931" i="13" l="1"/>
  <c r="AB928" i="13"/>
  <c r="K931" i="13"/>
  <c r="P931" i="13" s="1"/>
  <c r="Q931" i="13" s="1"/>
  <c r="J931" i="13" s="1"/>
  <c r="L931" i="13" s="1"/>
  <c r="R931" i="13" l="1"/>
  <c r="N931" i="13"/>
  <c r="M931" i="13"/>
  <c r="T931" i="13" s="1"/>
  <c r="I932" i="13" l="1"/>
  <c r="O932" i="13" s="1"/>
  <c r="AA932" i="13" l="1"/>
  <c r="AB929" i="13"/>
  <c r="K932" i="13"/>
  <c r="P932" i="13" s="1"/>
  <c r="Q932" i="13" l="1"/>
  <c r="J932" i="13" s="1"/>
  <c r="R932" i="13"/>
  <c r="N932" i="13" l="1"/>
  <c r="M932" i="13"/>
  <c r="T932" i="13" s="1"/>
  <c r="L932" i="13"/>
  <c r="I933" i="13" l="1"/>
  <c r="O933" i="13" s="1"/>
  <c r="AA933" i="13" l="1"/>
  <c r="AB930" i="13"/>
  <c r="K933" i="13"/>
  <c r="P933" i="13" s="1"/>
  <c r="Q933" i="13" s="1"/>
  <c r="J933" i="13" s="1"/>
  <c r="L933" i="13" s="1"/>
  <c r="R933" i="13" l="1"/>
  <c r="N933" i="13"/>
  <c r="M933" i="13"/>
  <c r="T933" i="13" s="1"/>
  <c r="I934" i="13" l="1"/>
  <c r="O934" i="13" s="1"/>
  <c r="AA934" i="13" l="1"/>
  <c r="AB931" i="13"/>
  <c r="K934" i="13"/>
  <c r="P934" i="13" s="1"/>
  <c r="Q934" i="13" s="1"/>
  <c r="J934" i="13" s="1"/>
  <c r="R934" i="13" l="1"/>
  <c r="L934" i="13"/>
  <c r="M934" i="13"/>
  <c r="T934" i="13" s="1"/>
  <c r="N934" i="13"/>
  <c r="I935" i="13" l="1"/>
  <c r="O935" i="13" s="1"/>
  <c r="AA935" i="13" l="1"/>
  <c r="AB932" i="13"/>
  <c r="K935" i="13"/>
  <c r="P935" i="13" l="1"/>
  <c r="R935" i="13" l="1"/>
  <c r="Q935" i="13"/>
  <c r="J935" i="13" s="1"/>
  <c r="N935" i="13" l="1"/>
  <c r="M935" i="13"/>
  <c r="T935" i="13" s="1"/>
  <c r="L935" i="13"/>
  <c r="I936" i="13" l="1"/>
  <c r="O936" i="13" s="1"/>
  <c r="AA936" i="13" l="1"/>
  <c r="AB933" i="13"/>
  <c r="K936" i="13"/>
  <c r="P936" i="13" s="1"/>
  <c r="Q936" i="13" s="1"/>
  <c r="J936" i="13" s="1"/>
  <c r="L936" i="13" s="1"/>
  <c r="R936" i="13" l="1"/>
  <c r="N936" i="13"/>
  <c r="M936" i="13"/>
  <c r="T936" i="13" s="1"/>
  <c r="I937" i="13" l="1"/>
  <c r="O937" i="13" s="1"/>
  <c r="AA937" i="13" l="1"/>
  <c r="AB934" i="13"/>
  <c r="K937" i="13"/>
  <c r="P937" i="13" s="1"/>
  <c r="Q937" i="13" l="1"/>
  <c r="J937" i="13" s="1"/>
  <c r="R937" i="13"/>
  <c r="N937" i="13" l="1"/>
  <c r="M937" i="13"/>
  <c r="T937" i="13" s="1"/>
  <c r="L937" i="13"/>
  <c r="I938" i="13" l="1"/>
  <c r="O938" i="13" s="1"/>
  <c r="AA938" i="13" l="1"/>
  <c r="AB935" i="13"/>
  <c r="K938" i="13"/>
  <c r="P938" i="13" s="1"/>
  <c r="Q938" i="13" s="1"/>
  <c r="J938" i="13" s="1"/>
  <c r="L938" i="13" s="1"/>
  <c r="R938" i="13" l="1"/>
  <c r="N938" i="13"/>
  <c r="M938" i="13"/>
  <c r="T938" i="13" s="1"/>
  <c r="I939" i="13" l="1"/>
  <c r="O939" i="13" s="1"/>
  <c r="AA939" i="13" l="1"/>
  <c r="AB936" i="13"/>
  <c r="K939" i="13"/>
  <c r="P939" i="13" s="1"/>
  <c r="R939" i="13" l="1"/>
  <c r="Q939" i="13"/>
  <c r="J939" i="13" s="1"/>
  <c r="N939" i="13" l="1"/>
  <c r="M939" i="13"/>
  <c r="T939" i="13" s="1"/>
  <c r="L939" i="13"/>
  <c r="I940" i="13" l="1"/>
  <c r="O940" i="13" s="1"/>
  <c r="AA940" i="13" l="1"/>
  <c r="AB937" i="13"/>
  <c r="K940" i="13"/>
  <c r="P940" i="13" s="1"/>
  <c r="R940" i="13" s="1"/>
  <c r="Q940" i="13" l="1"/>
  <c r="J940" i="13" s="1"/>
  <c r="L940" i="13" s="1"/>
  <c r="N940" i="13" l="1"/>
  <c r="M940" i="13"/>
  <c r="T940" i="13" s="1"/>
  <c r="I941" i="13" l="1"/>
  <c r="O941" i="13" s="1"/>
  <c r="AA941" i="13" l="1"/>
  <c r="AB938" i="13"/>
  <c r="K941" i="13"/>
  <c r="P941" i="13" s="1"/>
  <c r="R941" i="13" s="1"/>
  <c r="Q941" i="13" l="1"/>
  <c r="J941" i="13" s="1"/>
  <c r="M941" i="13" s="1"/>
  <c r="T941" i="13" s="1"/>
  <c r="N941" i="13" l="1"/>
  <c r="L941" i="13"/>
  <c r="I942" i="13" l="1"/>
  <c r="O942" i="13" s="1"/>
  <c r="AA942" i="13" l="1"/>
  <c r="AB939" i="13"/>
  <c r="K942" i="13"/>
  <c r="P942" i="13" s="1"/>
  <c r="R942" i="13" s="1"/>
  <c r="Q942" i="13" l="1"/>
  <c r="J942" i="13" s="1"/>
  <c r="M942" i="13" s="1"/>
  <c r="T942" i="13" s="1"/>
  <c r="N942" i="13" l="1"/>
  <c r="L942" i="13"/>
  <c r="I943" i="13" l="1"/>
  <c r="O943" i="13" s="1"/>
  <c r="AA943" i="13" l="1"/>
  <c r="AB940" i="13"/>
  <c r="K943" i="13"/>
  <c r="P943" i="13" s="1"/>
  <c r="R943" i="13" s="1"/>
  <c r="Q943" i="13" l="1"/>
  <c r="J943" i="13" s="1"/>
  <c r="M943" i="13" s="1"/>
  <c r="T943" i="13" s="1"/>
  <c r="N943" i="13" l="1"/>
  <c r="L943" i="13"/>
  <c r="I944" i="13" l="1"/>
  <c r="O944" i="13" s="1"/>
  <c r="AA944" i="13" l="1"/>
  <c r="AB941" i="13"/>
  <c r="K944" i="13"/>
  <c r="P944" i="13" s="1"/>
  <c r="R944" i="13" s="1"/>
  <c r="Q944" i="13" l="1"/>
  <c r="J944" i="13" s="1"/>
  <c r="M944" i="13" s="1"/>
  <c r="T944" i="13" s="1"/>
  <c r="N944" i="13" l="1"/>
  <c r="L944" i="13"/>
  <c r="I945" i="13" l="1"/>
  <c r="O945" i="13" s="1"/>
  <c r="AA945" i="13" l="1"/>
  <c r="AB942" i="13"/>
  <c r="K945" i="13"/>
  <c r="P945" i="13" s="1"/>
  <c r="Q945" i="13" s="1"/>
  <c r="J945" i="13" s="1"/>
  <c r="M945" i="13" s="1"/>
  <c r="T945" i="13" s="1"/>
  <c r="L945" i="13" l="1"/>
  <c r="N945" i="13"/>
  <c r="R945" i="13"/>
  <c r="I946" i="13" l="1"/>
  <c r="O946" i="13" s="1"/>
  <c r="AA946" i="13" l="1"/>
  <c r="AB943" i="13"/>
  <c r="K946" i="13"/>
  <c r="P946" i="13" s="1"/>
  <c r="Q946" i="13" l="1"/>
  <c r="J946" i="13" s="1"/>
  <c r="R946" i="13"/>
  <c r="N946" i="13" l="1"/>
  <c r="M946" i="13"/>
  <c r="T946" i="13" s="1"/>
  <c r="L946" i="13"/>
  <c r="I947" i="13" l="1"/>
  <c r="O947" i="13" s="1"/>
  <c r="AA947" i="13" l="1"/>
  <c r="AB944" i="13"/>
  <c r="K947" i="13"/>
  <c r="P947" i="13" s="1"/>
  <c r="R947" i="13" s="1"/>
  <c r="Q947" i="13" l="1"/>
  <c r="J947" i="13" s="1"/>
  <c r="M947" i="13" s="1"/>
  <c r="T947" i="13" s="1"/>
  <c r="N947" i="13" l="1"/>
  <c r="L947" i="13"/>
  <c r="I948" i="13" l="1"/>
  <c r="O948" i="13" s="1"/>
  <c r="AA948" i="13" l="1"/>
  <c r="AB945" i="13"/>
  <c r="K948" i="13"/>
  <c r="P948" i="13" s="1"/>
  <c r="R948" i="13" l="1"/>
  <c r="Q948" i="13"/>
  <c r="J948" i="13" s="1"/>
  <c r="M948" i="13" l="1"/>
  <c r="T948" i="13" s="1"/>
  <c r="N948" i="13"/>
  <c r="L948" i="13"/>
  <c r="I949" i="13" l="1"/>
  <c r="O949" i="13" s="1"/>
  <c r="AA949" i="13" l="1"/>
  <c r="AB946" i="13"/>
  <c r="K949" i="13"/>
  <c r="P949" i="13" s="1"/>
  <c r="R949" i="13" s="1"/>
  <c r="Q949" i="13" l="1"/>
  <c r="J949" i="13" s="1"/>
  <c r="L949" i="13" s="1"/>
  <c r="N949" i="13" l="1"/>
  <c r="M949" i="13"/>
  <c r="T949" i="13" s="1"/>
  <c r="I950" i="13" l="1"/>
  <c r="O950" i="13" s="1"/>
  <c r="AA950" i="13" l="1"/>
  <c r="AB947" i="13"/>
  <c r="K950" i="13"/>
  <c r="P950" i="13" s="1"/>
  <c r="R950" i="13" l="1"/>
  <c r="Q950" i="13"/>
  <c r="J950" i="13" s="1"/>
  <c r="M950" i="13" l="1"/>
  <c r="T950" i="13" s="1"/>
  <c r="N950" i="13"/>
  <c r="L950" i="13"/>
  <c r="I951" i="13" l="1"/>
  <c r="O951" i="13" s="1"/>
  <c r="AA951" i="13" l="1"/>
  <c r="AB948" i="13"/>
  <c r="K951" i="13"/>
  <c r="P951" i="13" s="1"/>
  <c r="R951" i="13" l="1"/>
  <c r="Q951" i="13"/>
  <c r="J951" i="13" s="1"/>
  <c r="M951" i="13" l="1"/>
  <c r="T951" i="13" s="1"/>
  <c r="N951" i="13"/>
  <c r="L951" i="13"/>
  <c r="I952" i="13" l="1"/>
  <c r="O952" i="13" s="1"/>
  <c r="AA952" i="13" l="1"/>
  <c r="AB949" i="13"/>
  <c r="K952" i="13"/>
  <c r="P952" i="13" s="1"/>
  <c r="Q952" i="13" s="1"/>
  <c r="J952" i="13" s="1"/>
  <c r="R952" i="13" l="1"/>
  <c r="L952" i="13"/>
  <c r="M952" i="13"/>
  <c r="T952" i="13" s="1"/>
  <c r="N952" i="13"/>
  <c r="I953" i="13" l="1"/>
  <c r="O953" i="13" s="1"/>
  <c r="AA953" i="13" l="1"/>
  <c r="AB950" i="13"/>
  <c r="K953" i="13"/>
  <c r="P953" i="13" l="1"/>
  <c r="R953" i="13" l="1"/>
  <c r="Q953" i="13"/>
  <c r="J953" i="13" s="1"/>
  <c r="N953" i="13" l="1"/>
  <c r="M953" i="13"/>
  <c r="T953" i="13" s="1"/>
  <c r="L953" i="13"/>
  <c r="I954" i="13" l="1"/>
  <c r="O954" i="13" s="1"/>
  <c r="AA954" i="13" l="1"/>
  <c r="AB951" i="13"/>
  <c r="K954" i="13"/>
  <c r="P954" i="13" s="1"/>
  <c r="R954" i="13" l="1"/>
  <c r="Q954" i="13"/>
  <c r="J954" i="13" s="1"/>
  <c r="M954" i="13" l="1"/>
  <c r="T954" i="13" s="1"/>
  <c r="N954" i="13"/>
  <c r="L954" i="13"/>
  <c r="I955" i="13" l="1"/>
  <c r="O955" i="13" s="1"/>
  <c r="AA955" i="13" l="1"/>
  <c r="AB952" i="13"/>
  <c r="K955" i="13"/>
  <c r="P955" i="13" s="1"/>
  <c r="R955" i="13" l="1"/>
  <c r="Q955" i="13"/>
  <c r="J955" i="13" s="1"/>
  <c r="N955" i="13" l="1"/>
  <c r="M955" i="13"/>
  <c r="T955" i="13" s="1"/>
  <c r="L955" i="13"/>
  <c r="I956" i="13" l="1"/>
  <c r="O956" i="13" s="1"/>
  <c r="AA956" i="13" l="1"/>
  <c r="AB953" i="13"/>
  <c r="K956" i="13"/>
  <c r="P956" i="13" s="1"/>
  <c r="Q956" i="13" l="1"/>
  <c r="J956" i="13" s="1"/>
  <c r="R956" i="13"/>
  <c r="N956" i="13" l="1"/>
  <c r="M956" i="13"/>
  <c r="T956" i="13" s="1"/>
  <c r="L956" i="13"/>
  <c r="I957" i="13" l="1"/>
  <c r="O957" i="13" s="1"/>
  <c r="AA957" i="13" l="1"/>
  <c r="AB954" i="13"/>
  <c r="K957" i="13"/>
  <c r="P957" i="13" s="1"/>
  <c r="Q957" i="13" l="1"/>
  <c r="J957" i="13" s="1"/>
  <c r="R957" i="13"/>
  <c r="N957" i="13" l="1"/>
  <c r="M957" i="13"/>
  <c r="T957" i="13" s="1"/>
  <c r="L957" i="13"/>
  <c r="I958" i="13" l="1"/>
  <c r="O958" i="13" s="1"/>
  <c r="AA958" i="13" l="1"/>
  <c r="AB955" i="13"/>
  <c r="K958" i="13"/>
  <c r="P958" i="13" s="1"/>
  <c r="Q958" i="13" l="1"/>
  <c r="J958" i="13" s="1"/>
  <c r="R958" i="13"/>
  <c r="N958" i="13" l="1"/>
  <c r="M958" i="13"/>
  <c r="T958" i="13" s="1"/>
  <c r="L958" i="13"/>
  <c r="I959" i="13" l="1"/>
  <c r="O959" i="13" s="1"/>
  <c r="AA959" i="13" l="1"/>
  <c r="AB956" i="13"/>
  <c r="K959" i="13"/>
  <c r="P959" i="13" s="1"/>
  <c r="Q959" i="13" l="1"/>
  <c r="J959" i="13" s="1"/>
  <c r="R959" i="13"/>
  <c r="N959" i="13" l="1"/>
  <c r="M959" i="13"/>
  <c r="T959" i="13" s="1"/>
  <c r="L959" i="13"/>
  <c r="I960" i="13" l="1"/>
  <c r="O960" i="13" s="1"/>
  <c r="AA960" i="13" l="1"/>
  <c r="AB957" i="13"/>
  <c r="K960" i="13"/>
  <c r="P960" i="13" s="1"/>
  <c r="R960" i="13" l="1"/>
  <c r="Q960" i="13"/>
  <c r="J960" i="13" s="1"/>
  <c r="N960" i="13" l="1"/>
  <c r="M960" i="13"/>
  <c r="T960" i="13" s="1"/>
  <c r="L960" i="13"/>
  <c r="I961" i="13" l="1"/>
  <c r="O961" i="13" s="1"/>
  <c r="AA961" i="13" l="1"/>
  <c r="AB958" i="13"/>
  <c r="K961" i="13"/>
  <c r="P961" i="13" s="1"/>
  <c r="Q961" i="13" s="1"/>
  <c r="J961" i="13" s="1"/>
  <c r="R961" i="13" l="1"/>
  <c r="L961" i="13"/>
  <c r="M961" i="13"/>
  <c r="T961" i="13" s="1"/>
  <c r="N961" i="13"/>
  <c r="I962" i="13" l="1"/>
  <c r="O962" i="13" s="1"/>
  <c r="AA962" i="13" l="1"/>
  <c r="AB959" i="13"/>
  <c r="K962" i="13"/>
  <c r="P962" i="13" l="1"/>
  <c r="R962" i="13" l="1"/>
  <c r="Q962" i="13"/>
  <c r="J962" i="13" s="1"/>
  <c r="M962" i="13" l="1"/>
  <c r="T962" i="13" s="1"/>
  <c r="N962" i="13"/>
  <c r="L962" i="13"/>
  <c r="I963" i="13" l="1"/>
  <c r="O963" i="13" s="1"/>
  <c r="AA963" i="13" l="1"/>
  <c r="AB960" i="13"/>
  <c r="K963" i="13"/>
  <c r="P963" i="13" s="1"/>
  <c r="R963" i="13" l="1"/>
  <c r="Q963" i="13"/>
  <c r="J963" i="13" s="1"/>
  <c r="M963" i="13" l="1"/>
  <c r="T963" i="13" s="1"/>
  <c r="N963" i="13"/>
  <c r="L963" i="13"/>
  <c r="I964" i="13" l="1"/>
  <c r="O964" i="13" s="1"/>
  <c r="AA964" i="13" l="1"/>
  <c r="AB961" i="13"/>
  <c r="K964" i="13"/>
  <c r="P964" i="13" s="1"/>
  <c r="R964" i="13" s="1"/>
  <c r="Q964" i="13" l="1"/>
  <c r="J964" i="13" s="1"/>
  <c r="L964" i="13" s="1"/>
  <c r="N964" i="13" l="1"/>
  <c r="M964" i="13"/>
  <c r="T964" i="13" s="1"/>
  <c r="I965" i="13" l="1"/>
  <c r="O965" i="13" s="1"/>
  <c r="K965" i="13" l="1"/>
  <c r="P965" i="13" s="1"/>
  <c r="AA965" i="13"/>
  <c r="AB962" i="13"/>
  <c r="Q965" i="13" l="1"/>
  <c r="J965" i="13" s="1"/>
  <c r="R965" i="13"/>
  <c r="M965" i="13" l="1"/>
  <c r="T965" i="13" s="1"/>
  <c r="N965" i="13"/>
  <c r="L965" i="13"/>
  <c r="I966" i="13" l="1"/>
  <c r="O966" i="13" s="1"/>
  <c r="AA966" i="13" l="1"/>
  <c r="AB963" i="13"/>
  <c r="K966" i="13"/>
  <c r="P966" i="13" s="1"/>
  <c r="Q966" i="13" l="1"/>
  <c r="J966" i="13" s="1"/>
  <c r="R966" i="13"/>
  <c r="M966" i="13" l="1"/>
  <c r="T966" i="13" s="1"/>
  <c r="N966" i="13"/>
  <c r="L966" i="13"/>
  <c r="I967" i="13" l="1"/>
  <c r="O967" i="13" s="1"/>
  <c r="AA967" i="13" l="1"/>
  <c r="AB964" i="13"/>
  <c r="K967" i="13"/>
  <c r="P967" i="13" s="1"/>
  <c r="Q967" i="13" l="1"/>
  <c r="J967" i="13" s="1"/>
  <c r="R967" i="13"/>
  <c r="M967" i="13" l="1"/>
  <c r="T967" i="13" s="1"/>
  <c r="N967" i="13"/>
  <c r="L967" i="13"/>
  <c r="I968" i="13" l="1"/>
  <c r="O968" i="13" s="1"/>
  <c r="AA968" i="13" l="1"/>
  <c r="AB965" i="13"/>
  <c r="K968" i="13"/>
  <c r="P968" i="13" s="1"/>
  <c r="Q968" i="13" l="1"/>
  <c r="J968" i="13" s="1"/>
  <c r="R968" i="13"/>
  <c r="L968" i="13" l="1"/>
  <c r="M968" i="13"/>
  <c r="T968" i="13" s="1"/>
  <c r="N968" i="13"/>
  <c r="I969" i="13" l="1"/>
  <c r="O969" i="13" s="1"/>
  <c r="AA969" i="13" l="1"/>
  <c r="AB966" i="13"/>
  <c r="K969" i="13"/>
  <c r="P969" i="13" l="1"/>
  <c r="R969" i="13" l="1"/>
  <c r="Q969" i="13"/>
  <c r="J969" i="13" s="1"/>
  <c r="N969" i="13" l="1"/>
  <c r="M969" i="13"/>
  <c r="T969" i="13" s="1"/>
  <c r="L969" i="13"/>
  <c r="I970" i="13" l="1"/>
  <c r="O970" i="13" s="1"/>
  <c r="AA970" i="13" l="1"/>
  <c r="AB967" i="13"/>
  <c r="K970" i="13"/>
  <c r="P970" i="13" s="1"/>
  <c r="R970" i="13" l="1"/>
  <c r="Q970" i="13"/>
  <c r="J970" i="13" s="1"/>
  <c r="N970" i="13" l="1"/>
  <c r="M970" i="13"/>
  <c r="T970" i="13" s="1"/>
  <c r="L970" i="13"/>
  <c r="I971" i="13" l="1"/>
  <c r="O971" i="13" s="1"/>
  <c r="AA971" i="13" l="1"/>
  <c r="AB968" i="13"/>
  <c r="K971" i="13"/>
  <c r="P971" i="13" l="1"/>
  <c r="Q971" i="13" l="1"/>
  <c r="J971" i="13" s="1"/>
  <c r="R971" i="13"/>
  <c r="M971" i="13" l="1"/>
  <c r="T971" i="13" s="1"/>
  <c r="N971" i="13"/>
  <c r="L971" i="13"/>
  <c r="I972" i="13" l="1"/>
  <c r="O972" i="13" s="1"/>
  <c r="AA972" i="13" l="1"/>
  <c r="AB969" i="13"/>
  <c r="K972" i="13"/>
  <c r="P972" i="13" s="1"/>
  <c r="R972" i="13" s="1"/>
  <c r="Q972" i="13" l="1"/>
  <c r="J972" i="13" s="1"/>
  <c r="L972" i="13" s="1"/>
  <c r="N972" i="13" l="1"/>
  <c r="M972" i="13"/>
  <c r="T972" i="13" s="1"/>
  <c r="I973" i="13" l="1"/>
  <c r="O973" i="13" s="1"/>
  <c r="AA973" i="13" l="1"/>
  <c r="AB970" i="13"/>
  <c r="K973" i="13"/>
  <c r="P973" i="13" s="1"/>
  <c r="Q973" i="13" l="1"/>
  <c r="J973" i="13" s="1"/>
  <c r="R973" i="13"/>
  <c r="M973" i="13" l="1"/>
  <c r="T973" i="13" s="1"/>
  <c r="N973" i="13"/>
  <c r="L973" i="13"/>
  <c r="I974" i="13" l="1"/>
  <c r="O974" i="13" s="1"/>
  <c r="AA974" i="13" l="1"/>
  <c r="AB971" i="13"/>
  <c r="K974" i="13"/>
  <c r="P974" i="13" s="1"/>
  <c r="Q974" i="13" s="1"/>
  <c r="J974" i="13" s="1"/>
  <c r="R974" i="13" l="1"/>
  <c r="L974" i="13"/>
  <c r="M974" i="13"/>
  <c r="T974" i="13" s="1"/>
  <c r="N974" i="13"/>
  <c r="I975" i="13" l="1"/>
  <c r="O975" i="13" s="1"/>
  <c r="AA975" i="13" l="1"/>
  <c r="AB972" i="13"/>
  <c r="K975" i="13"/>
  <c r="P975" i="13" l="1"/>
  <c r="R975" i="13" l="1"/>
  <c r="Q975" i="13"/>
  <c r="J975" i="13" s="1"/>
  <c r="M975" i="13" l="1"/>
  <c r="T975" i="13" s="1"/>
  <c r="N975" i="13"/>
  <c r="L975" i="13"/>
  <c r="I976" i="13" l="1"/>
  <c r="O976" i="13" s="1"/>
  <c r="AA976" i="13" l="1"/>
  <c r="AB973" i="13"/>
  <c r="K976" i="13"/>
  <c r="P976" i="13" s="1"/>
  <c r="Q976" i="13" s="1"/>
  <c r="J976" i="13" s="1"/>
  <c r="R976" i="13" l="1"/>
  <c r="L976" i="13"/>
  <c r="M976" i="13"/>
  <c r="T976" i="13" s="1"/>
  <c r="N976" i="13"/>
  <c r="I977" i="13" l="1"/>
  <c r="O977" i="13" s="1"/>
  <c r="AA977" i="13" l="1"/>
  <c r="AB974" i="13"/>
  <c r="K977" i="13"/>
  <c r="P977" i="13" l="1"/>
  <c r="R977" i="13" l="1"/>
  <c r="Q977" i="13"/>
  <c r="J977" i="13" s="1"/>
  <c r="M977" i="13" l="1"/>
  <c r="T977" i="13" s="1"/>
  <c r="N977" i="13"/>
  <c r="L977" i="13"/>
  <c r="I978" i="13" l="1"/>
  <c r="O978" i="13" s="1"/>
  <c r="AA978" i="13" l="1"/>
  <c r="AB975" i="13"/>
  <c r="K978" i="13"/>
  <c r="P978" i="13" s="1"/>
  <c r="R978" i="13" l="1"/>
  <c r="Q978" i="13"/>
  <c r="J978" i="13" s="1"/>
  <c r="M978" i="13" l="1"/>
  <c r="T978" i="13" s="1"/>
  <c r="N978" i="13"/>
  <c r="L978" i="13"/>
  <c r="I979" i="13" l="1"/>
  <c r="O979" i="13" s="1"/>
  <c r="AA979" i="13" l="1"/>
  <c r="AB976" i="13"/>
  <c r="K979" i="13"/>
  <c r="P979" i="13" s="1"/>
  <c r="Q979" i="13" s="1"/>
  <c r="J979" i="13" s="1"/>
  <c r="R979" i="13" l="1"/>
  <c r="L979" i="13"/>
  <c r="M979" i="13"/>
  <c r="T979" i="13" s="1"/>
  <c r="N979" i="13"/>
  <c r="I980" i="13" l="1"/>
  <c r="O980" i="13" s="1"/>
  <c r="AA980" i="13" l="1"/>
  <c r="AB977" i="13"/>
  <c r="K980" i="13"/>
  <c r="P980" i="13" l="1"/>
  <c r="R980" i="13" l="1"/>
  <c r="Q980" i="13"/>
  <c r="J980" i="13" s="1"/>
  <c r="M980" i="13" l="1"/>
  <c r="T980" i="13" s="1"/>
  <c r="N980" i="13"/>
  <c r="L980" i="13"/>
  <c r="I981" i="13" l="1"/>
  <c r="O981" i="13" s="1"/>
  <c r="AA981" i="13" l="1"/>
  <c r="AB978" i="13"/>
  <c r="K981" i="13"/>
  <c r="P981" i="13" s="1"/>
  <c r="Q981" i="13" s="1"/>
  <c r="J981" i="13" s="1"/>
  <c r="R981" i="13" l="1"/>
  <c r="L981" i="13"/>
  <c r="M981" i="13"/>
  <c r="T981" i="13" s="1"/>
  <c r="N981" i="13"/>
  <c r="I982" i="13" l="1"/>
  <c r="O982" i="13" s="1"/>
  <c r="AA982" i="13" l="1"/>
  <c r="AB979" i="13"/>
  <c r="K982" i="13"/>
  <c r="P982" i="13" l="1"/>
  <c r="R982" i="13" l="1"/>
  <c r="Q982" i="13"/>
  <c r="J982" i="13" s="1"/>
  <c r="N982" i="13" l="1"/>
  <c r="M982" i="13"/>
  <c r="T982" i="13" s="1"/>
  <c r="L982" i="13"/>
  <c r="I983" i="13" l="1"/>
  <c r="O983" i="13" s="1"/>
  <c r="AA983" i="13" l="1"/>
  <c r="AB980" i="13"/>
  <c r="K983" i="13"/>
  <c r="P983" i="13" s="1"/>
  <c r="R983" i="13" l="1"/>
  <c r="Q983" i="13"/>
  <c r="J983" i="13" s="1"/>
  <c r="M983" i="13" l="1"/>
  <c r="T983" i="13" s="1"/>
  <c r="N983" i="13"/>
  <c r="L983" i="13"/>
  <c r="I984" i="13" l="1"/>
  <c r="O984" i="13" s="1"/>
  <c r="AA984" i="13" l="1"/>
  <c r="AB981" i="13"/>
  <c r="K984" i="13"/>
  <c r="P984" i="13" s="1"/>
  <c r="Q984" i="13" l="1"/>
  <c r="J984" i="13" s="1"/>
  <c r="R984" i="13"/>
  <c r="M984" i="13" l="1"/>
  <c r="T984" i="13" s="1"/>
  <c r="N984" i="13"/>
  <c r="L984" i="13"/>
  <c r="I985" i="13" l="1"/>
  <c r="O985" i="13" s="1"/>
  <c r="K985" i="13" l="1"/>
  <c r="P985" i="13" s="1"/>
  <c r="AA985" i="13"/>
  <c r="AB982" i="13"/>
  <c r="R985" i="13" l="1"/>
  <c r="Q985" i="13"/>
  <c r="J985" i="13" s="1"/>
  <c r="M985" i="13" l="1"/>
  <c r="T985" i="13" s="1"/>
  <c r="N985" i="13"/>
  <c r="L985" i="13"/>
  <c r="I986" i="13" l="1"/>
  <c r="O986" i="13" s="1"/>
  <c r="AA986" i="13" l="1"/>
  <c r="AB983" i="13"/>
  <c r="K986" i="13"/>
  <c r="P986" i="13" s="1"/>
  <c r="Q986" i="13" l="1"/>
  <c r="J986" i="13" s="1"/>
  <c r="R986" i="13"/>
  <c r="M986" i="13" l="1"/>
  <c r="T986" i="13" s="1"/>
  <c r="N986" i="13"/>
  <c r="L986" i="13"/>
  <c r="I987" i="13" l="1"/>
  <c r="O987" i="13" s="1"/>
  <c r="K987" i="13" l="1"/>
  <c r="P987" i="13" s="1"/>
  <c r="AA987" i="13"/>
  <c r="AB984" i="13"/>
  <c r="R987" i="13" l="1"/>
  <c r="Q987" i="13"/>
  <c r="J987" i="13" s="1"/>
  <c r="N987" i="13" l="1"/>
  <c r="M987" i="13"/>
  <c r="T987" i="13" s="1"/>
  <c r="L987" i="13"/>
  <c r="I988" i="13" l="1"/>
  <c r="O988" i="13" s="1"/>
  <c r="AA988" i="13" l="1"/>
  <c r="AB985" i="13"/>
  <c r="K988" i="13"/>
  <c r="P988" i="13" s="1"/>
  <c r="R988" i="13" l="1"/>
  <c r="Q988" i="13"/>
  <c r="J988" i="13" s="1"/>
  <c r="N988" i="13" l="1"/>
  <c r="M988" i="13"/>
  <c r="T988" i="13" s="1"/>
  <c r="L988" i="13"/>
  <c r="I989" i="13" l="1"/>
  <c r="O989" i="13" s="1"/>
  <c r="AA989" i="13" l="1"/>
  <c r="AB986" i="13"/>
  <c r="K989" i="13"/>
  <c r="P989" i="13" s="1"/>
  <c r="R989" i="13" l="1"/>
  <c r="Q989" i="13"/>
  <c r="J989" i="13" s="1"/>
  <c r="N989" i="13" l="1"/>
  <c r="M989" i="13"/>
  <c r="T989" i="13" s="1"/>
  <c r="L989" i="13"/>
  <c r="I990" i="13" l="1"/>
  <c r="O990" i="13" s="1"/>
  <c r="AA990" i="13" l="1"/>
  <c r="AB987" i="13"/>
  <c r="K990" i="13"/>
  <c r="P990" i="13" s="1"/>
  <c r="R990" i="13" l="1"/>
  <c r="Q990" i="13"/>
  <c r="J990" i="13" s="1"/>
  <c r="N990" i="13" l="1"/>
  <c r="M990" i="13"/>
  <c r="T990" i="13" s="1"/>
  <c r="L990" i="13"/>
  <c r="I991" i="13" l="1"/>
  <c r="O991" i="13" s="1"/>
  <c r="AA991" i="13" l="1"/>
  <c r="AB988" i="13"/>
  <c r="K991" i="13"/>
  <c r="P991" i="13" s="1"/>
  <c r="R991" i="13" s="1"/>
  <c r="Q991" i="13" l="1"/>
  <c r="J991" i="13" s="1"/>
  <c r="L991" i="13" s="1"/>
  <c r="N991" i="13" l="1"/>
  <c r="M991" i="13"/>
  <c r="T991" i="13" s="1"/>
  <c r="I992" i="13" l="1"/>
  <c r="O992" i="13" s="1"/>
  <c r="AA992" i="13" l="1"/>
  <c r="AB989" i="13"/>
  <c r="K992" i="13"/>
  <c r="P992" i="13" s="1"/>
  <c r="R992" i="13" s="1"/>
  <c r="Q992" i="13" l="1"/>
  <c r="J992" i="13" s="1"/>
  <c r="L992" i="13" s="1"/>
  <c r="N992" i="13" l="1"/>
  <c r="M992" i="13"/>
  <c r="T992" i="13" s="1"/>
  <c r="I993" i="13" l="1"/>
  <c r="O993" i="13" s="1"/>
  <c r="AA993" i="13" l="1"/>
  <c r="AB990" i="13"/>
  <c r="K993" i="13"/>
  <c r="P993" i="13" s="1"/>
  <c r="R993" i="13" l="1"/>
  <c r="Q993" i="13"/>
  <c r="J993" i="13" s="1"/>
  <c r="N993" i="13" l="1"/>
  <c r="M993" i="13"/>
  <c r="T993" i="13" s="1"/>
  <c r="L993" i="13"/>
  <c r="I994" i="13" l="1"/>
  <c r="O994" i="13" s="1"/>
  <c r="AA994" i="13" l="1"/>
  <c r="AB991" i="13"/>
  <c r="K994" i="13"/>
  <c r="P994" i="13" s="1"/>
  <c r="R994" i="13" l="1"/>
  <c r="Q994" i="13"/>
  <c r="J994" i="13" s="1"/>
  <c r="M994" i="13" l="1"/>
  <c r="T994" i="13" s="1"/>
  <c r="N994" i="13"/>
  <c r="L994" i="13"/>
  <c r="I995" i="13" l="1"/>
  <c r="O995" i="13" s="1"/>
  <c r="K995" i="13" l="1"/>
  <c r="P995" i="13" s="1"/>
  <c r="Q995" i="13" s="1"/>
  <c r="J995" i="13" s="1"/>
  <c r="AA995" i="13"/>
  <c r="AB992" i="13"/>
  <c r="R995" i="13" l="1"/>
  <c r="L995" i="13"/>
  <c r="M995" i="13"/>
  <c r="T995" i="13" s="1"/>
  <c r="N995" i="13"/>
  <c r="I996" i="13" l="1"/>
  <c r="O996" i="13" s="1"/>
  <c r="AA996" i="13" l="1"/>
  <c r="AB993" i="13"/>
  <c r="K996" i="13"/>
  <c r="P996" i="13" l="1"/>
  <c r="Q996" i="13" l="1"/>
  <c r="J996" i="13" s="1"/>
  <c r="R996" i="13"/>
  <c r="M996" i="13" l="1"/>
  <c r="T996" i="13" s="1"/>
  <c r="N996" i="13"/>
  <c r="L996" i="13"/>
  <c r="I997" i="13" l="1"/>
  <c r="O997" i="13" s="1"/>
  <c r="AA997" i="13" l="1"/>
  <c r="AB994" i="13"/>
  <c r="K997" i="13"/>
  <c r="P997" i="13" s="1"/>
  <c r="R997" i="13" l="1"/>
  <c r="Q997" i="13"/>
  <c r="J997" i="13" s="1"/>
  <c r="M997" i="13" l="1"/>
  <c r="T997" i="13" s="1"/>
  <c r="N997" i="13"/>
  <c r="L997" i="13"/>
  <c r="I998" i="13" l="1"/>
  <c r="O998" i="13" s="1"/>
  <c r="K998" i="13" l="1"/>
  <c r="P998" i="13" s="1"/>
  <c r="R998" i="13" s="1"/>
  <c r="AA998" i="13"/>
  <c r="AB995" i="13"/>
  <c r="Q998" i="13" l="1"/>
  <c r="J998" i="13" s="1"/>
  <c r="L998" i="13" s="1"/>
  <c r="N998" i="13" l="1"/>
  <c r="M998" i="13"/>
  <c r="I999" i="13" l="1"/>
  <c r="O999" i="13" s="1"/>
  <c r="AA999" i="13" s="1"/>
  <c r="T998" i="13"/>
  <c r="AB996" i="13" l="1"/>
  <c r="K999" i="13"/>
  <c r="P999" i="13" s="1"/>
  <c r="Q999" i="13" l="1"/>
  <c r="J999" i="13" s="1"/>
  <c r="R999" i="13"/>
  <c r="N999" i="13" l="1"/>
  <c r="M999" i="13"/>
  <c r="T999" i="13" s="1"/>
  <c r="L999" i="13"/>
  <c r="I1000" i="13" l="1"/>
  <c r="O1000" i="13" s="1"/>
  <c r="AA1000" i="13" l="1"/>
  <c r="AB997" i="13"/>
  <c r="K1000" i="13"/>
  <c r="P1000" i="13" s="1"/>
  <c r="R1000" i="13" l="1"/>
  <c r="Q1000" i="13"/>
  <c r="J1000" i="13" s="1"/>
  <c r="N1000" i="13" l="1"/>
  <c r="M1000" i="13"/>
  <c r="T1000" i="13" s="1"/>
  <c r="L1000" i="13"/>
  <c r="I1001" i="13" l="1"/>
  <c r="O1001" i="13" s="1"/>
  <c r="AA1001" i="13" l="1"/>
  <c r="AB998" i="13"/>
  <c r="K1001" i="13"/>
  <c r="P1001" i="13" l="1"/>
  <c r="Q1001" i="13" l="1"/>
  <c r="J1001" i="13" s="1"/>
  <c r="R1001" i="13"/>
  <c r="N1001" i="13" l="1"/>
  <c r="M1001" i="13"/>
  <c r="T1001" i="13" s="1"/>
  <c r="L1001" i="13"/>
  <c r="I1002" i="13" l="1"/>
  <c r="O1002" i="13" s="1"/>
  <c r="AA1002" i="13" l="1"/>
  <c r="AB999" i="13"/>
  <c r="K1002" i="13"/>
  <c r="P1002" i="13" s="1"/>
  <c r="R1002" i="13" l="1"/>
  <c r="Q1002" i="13"/>
  <c r="J1002" i="13" s="1"/>
  <c r="N1002" i="13" l="1"/>
  <c r="M1002" i="13"/>
  <c r="T1002" i="13" s="1"/>
  <c r="L1002" i="13"/>
  <c r="I1003" i="13" l="1"/>
  <c r="O1003" i="13" s="1"/>
  <c r="AA1003" i="13" l="1"/>
  <c r="AB1000" i="13"/>
  <c r="K1003" i="13"/>
  <c r="P1003" i="13" s="1"/>
  <c r="R1003" i="13" s="1"/>
  <c r="Q1003" i="13" l="1"/>
  <c r="J1003" i="13" s="1"/>
  <c r="L1003" i="13" s="1"/>
  <c r="N1003" i="13" l="1"/>
  <c r="M1003" i="13"/>
  <c r="T1003" i="13" s="1"/>
  <c r="I1004" i="13" l="1"/>
  <c r="O1004" i="13" s="1"/>
  <c r="AA1004" i="13" l="1"/>
  <c r="AB1001" i="13"/>
  <c r="K1004" i="13"/>
  <c r="P1004" i="13" s="1"/>
  <c r="Q1004" i="13" s="1"/>
  <c r="J1004" i="13" s="1"/>
  <c r="M1004" i="13" s="1"/>
  <c r="T1004" i="13" s="1"/>
  <c r="N1004" i="13" l="1"/>
  <c r="L1004" i="13"/>
  <c r="R1004" i="13"/>
  <c r="I1005" i="13" l="1"/>
  <c r="O1005" i="13" s="1"/>
  <c r="AA1005" i="13" l="1"/>
  <c r="AB1002" i="13"/>
  <c r="K1005" i="13"/>
  <c r="P1005" i="13" s="1"/>
  <c r="R1005" i="13" s="1"/>
  <c r="Q1005" i="13" l="1"/>
  <c r="J1005" i="13" s="1"/>
  <c r="L1005" i="13" s="1"/>
  <c r="N1005" i="13" l="1"/>
  <c r="M1005" i="13"/>
  <c r="T1005" i="13" s="1"/>
  <c r="I1006" i="13" l="1"/>
  <c r="O1006" i="13" s="1"/>
  <c r="AA1006" i="13" l="1"/>
  <c r="AB1003" i="13"/>
  <c r="K1006" i="13"/>
  <c r="P1006" i="13" s="1"/>
  <c r="Q1006" i="13" l="1"/>
  <c r="J1006" i="13" s="1"/>
  <c r="R1006" i="13"/>
  <c r="N1006" i="13" l="1"/>
  <c r="M1006" i="13"/>
  <c r="T1006" i="13" s="1"/>
  <c r="L1006" i="13"/>
  <c r="I1007" i="13" l="1"/>
  <c r="O1007" i="13" s="1"/>
  <c r="AA1007" i="13" l="1"/>
  <c r="AB1004" i="13"/>
  <c r="K1007" i="13"/>
  <c r="P1007" i="13" s="1"/>
  <c r="R1007" i="13" l="1"/>
  <c r="Q1007" i="13"/>
  <c r="J1007" i="13" s="1"/>
  <c r="N1007" i="13" l="1"/>
  <c r="M1007" i="13"/>
  <c r="T1007" i="13" s="1"/>
  <c r="L1007" i="13"/>
  <c r="I1008" i="13" l="1"/>
  <c r="O1008" i="13" s="1"/>
  <c r="AA1008" i="13" l="1"/>
  <c r="AB1005" i="13"/>
  <c r="K1008" i="13"/>
  <c r="P1008" i="13" s="1"/>
  <c r="Q1008" i="13" s="1"/>
  <c r="J1008" i="13" s="1"/>
  <c r="R1008" i="13" l="1"/>
  <c r="L1008" i="13"/>
  <c r="M1008" i="13"/>
  <c r="T1008" i="13" s="1"/>
  <c r="N1008" i="13"/>
  <c r="I1009" i="13" l="1"/>
  <c r="O1009" i="13" s="1"/>
  <c r="AA1009" i="13" l="1"/>
  <c r="AB1006" i="13"/>
  <c r="K1009" i="13"/>
  <c r="P1009" i="13" l="1"/>
  <c r="Q1009" i="13" l="1"/>
  <c r="J1009" i="13" s="1"/>
  <c r="R1009" i="13"/>
  <c r="N1009" i="13" l="1"/>
  <c r="M1009" i="13"/>
  <c r="T1009" i="13" s="1"/>
  <c r="L1009" i="13"/>
  <c r="I1010" i="13" l="1"/>
  <c r="O1010" i="13" s="1"/>
  <c r="AA1010" i="13" l="1"/>
  <c r="AB1007" i="13"/>
  <c r="K1010" i="13"/>
  <c r="P1010" i="13" s="1"/>
  <c r="Q1010" i="13" s="1"/>
  <c r="J1010" i="13" s="1"/>
  <c r="L1010" i="13" s="1"/>
  <c r="R1010" i="13" l="1"/>
  <c r="N1010" i="13"/>
  <c r="M1010" i="13"/>
  <c r="I1011" i="13" l="1"/>
  <c r="O1011" i="13" s="1"/>
  <c r="K1011" i="13" s="1"/>
  <c r="P1011" i="13" s="1"/>
  <c r="T1010" i="13"/>
  <c r="AA1011" i="13" l="1"/>
  <c r="AB1008" i="13"/>
  <c r="R1011" i="13"/>
  <c r="Q1011" i="13"/>
  <c r="J1011" i="13" s="1"/>
  <c r="L1011" i="13" s="1"/>
  <c r="N1011" i="13" l="1"/>
  <c r="M1011" i="13"/>
  <c r="T1011" i="13" s="1"/>
  <c r="I1012" i="13" l="1"/>
  <c r="O1012" i="13" s="1"/>
  <c r="AA1012" i="13" l="1"/>
  <c r="AB1009" i="13"/>
  <c r="K1012" i="13"/>
  <c r="P1012" i="13" s="1"/>
  <c r="Q1012" i="13" l="1"/>
  <c r="J1012" i="13" s="1"/>
  <c r="R1012" i="13"/>
  <c r="N1012" i="13" l="1"/>
  <c r="M1012" i="13"/>
  <c r="T1012" i="13" s="1"/>
  <c r="L1012" i="13"/>
  <c r="I1013" i="13" l="1"/>
  <c r="O1013" i="13" s="1"/>
  <c r="AA1013" i="13" l="1"/>
  <c r="AB1010" i="13"/>
  <c r="K1013" i="13"/>
  <c r="P1013" i="13" s="1"/>
  <c r="Q1013" i="13" l="1"/>
  <c r="J1013" i="13" s="1"/>
  <c r="R1013" i="13"/>
  <c r="M1013" i="13" l="1"/>
  <c r="T1013" i="13" s="1"/>
  <c r="N1013" i="13"/>
  <c r="L1013" i="13"/>
  <c r="I1014" i="13" l="1"/>
  <c r="O1014" i="13" s="1"/>
  <c r="AA1014" i="13" l="1"/>
  <c r="AB1011" i="13"/>
  <c r="K1014" i="13"/>
  <c r="P1014" i="13" s="1"/>
  <c r="R1014" i="13" s="1"/>
  <c r="Q1014" i="13" l="1"/>
  <c r="J1014" i="13" s="1"/>
  <c r="L1014" i="13" s="1"/>
  <c r="N1014" i="13" l="1"/>
  <c r="M1014" i="13"/>
  <c r="T1014" i="13" s="1"/>
  <c r="I1015" i="13" l="1"/>
  <c r="O1015" i="13" s="1"/>
  <c r="AA1015" i="13" l="1"/>
  <c r="AB1012" i="13"/>
  <c r="K1015" i="13"/>
  <c r="P1015" i="13" s="1"/>
  <c r="Q1015" i="13" l="1"/>
  <c r="J1015" i="13" s="1"/>
  <c r="R1015" i="13"/>
  <c r="M1015" i="13" l="1"/>
  <c r="T1015" i="13" s="1"/>
  <c r="N1015" i="13"/>
  <c r="L1015" i="13"/>
  <c r="I1016" i="13" l="1"/>
  <c r="O1016" i="13" s="1"/>
  <c r="AA1016" i="13" l="1"/>
  <c r="AB1013" i="13"/>
  <c r="K1016" i="13"/>
  <c r="P1016" i="13" s="1"/>
  <c r="R1016" i="13" s="1"/>
  <c r="Q1016" i="13" l="1"/>
  <c r="J1016" i="13" s="1"/>
  <c r="L1016" i="13" s="1"/>
  <c r="M1016" i="13" l="1"/>
  <c r="T1016" i="13" s="1"/>
  <c r="N1016" i="13"/>
  <c r="I1017" i="13" l="1"/>
  <c r="O1017" i="13" s="1"/>
  <c r="K1017" i="13" l="1"/>
  <c r="P1017" i="13" s="1"/>
  <c r="R1017" i="13" s="1"/>
  <c r="AA1017" i="13"/>
  <c r="AB1014" i="13"/>
  <c r="Q1017" i="13" l="1"/>
  <c r="J1017" i="13" s="1"/>
  <c r="M1017" i="13" s="1"/>
  <c r="T1017" i="13" s="1"/>
  <c r="N1017" i="13" l="1"/>
  <c r="L1017" i="13"/>
  <c r="I1018" i="13" l="1"/>
  <c r="O1018" i="13" s="1"/>
  <c r="AA1018" i="13" l="1"/>
  <c r="AB1015" i="13"/>
  <c r="K1018" i="13"/>
  <c r="P1018" i="13" s="1"/>
  <c r="Q1018" i="13" s="1"/>
  <c r="J1018" i="13" s="1"/>
  <c r="R1018" i="13" l="1"/>
  <c r="N1018" i="13"/>
  <c r="M1018" i="13"/>
  <c r="T1018" i="13" s="1"/>
  <c r="L1018" i="13"/>
  <c r="I1019" i="13" l="1"/>
  <c r="O1019" i="13" s="1"/>
  <c r="AA1019" i="13" l="1"/>
  <c r="AB1016" i="13"/>
  <c r="K1019" i="13"/>
  <c r="P1019" i="13" s="1"/>
  <c r="R1019" i="13" l="1"/>
  <c r="Q1019" i="13"/>
  <c r="J1019" i="13" s="1"/>
  <c r="M1019" i="13" l="1"/>
  <c r="T1019" i="13" s="1"/>
  <c r="N1019" i="13"/>
  <c r="L1019" i="13"/>
  <c r="I1020" i="13" l="1"/>
  <c r="O1020" i="13" s="1"/>
  <c r="AA1020" i="13" l="1"/>
  <c r="AB1017" i="13"/>
  <c r="K1020" i="13"/>
  <c r="P1020" i="13" s="1"/>
  <c r="R1020" i="13" s="1"/>
  <c r="Q1020" i="13" l="1"/>
  <c r="J1020" i="13" s="1"/>
  <c r="M1020" i="13" s="1"/>
  <c r="T1020" i="13" s="1"/>
  <c r="N1020" i="13" l="1"/>
  <c r="L1020" i="13"/>
  <c r="I1021" i="13" l="1"/>
  <c r="O1021" i="13" s="1"/>
  <c r="AA1021" i="13" l="1"/>
  <c r="AB1018" i="13"/>
  <c r="K1021" i="13"/>
  <c r="P1021" i="13" s="1"/>
  <c r="R1021" i="13" l="1"/>
  <c r="Q1021" i="13"/>
  <c r="J1021" i="13" s="1"/>
  <c r="M1021" i="13" l="1"/>
  <c r="T1021" i="13" s="1"/>
  <c r="N1021" i="13"/>
  <c r="L1021" i="13"/>
  <c r="I1022" i="13" l="1"/>
  <c r="O1022" i="13" s="1"/>
  <c r="AA1022" i="13" l="1"/>
  <c r="AB1019" i="13"/>
  <c r="K1022" i="13"/>
  <c r="P1022" i="13" s="1"/>
  <c r="Q1022" i="13" l="1"/>
  <c r="J1022" i="13" s="1"/>
  <c r="R1022" i="13"/>
  <c r="M1022" i="13" l="1"/>
  <c r="T1022" i="13" s="1"/>
  <c r="N1022" i="13"/>
  <c r="L1022" i="13"/>
  <c r="I1023" i="13" l="1"/>
  <c r="O1023" i="13" s="1"/>
  <c r="AA1023" i="13" l="1"/>
  <c r="AB1020" i="13"/>
  <c r="K1023" i="13"/>
  <c r="P1023" i="13" s="1"/>
  <c r="Q1023" i="13" l="1"/>
  <c r="J1023" i="13" s="1"/>
  <c r="R1023" i="13"/>
  <c r="M1023" i="13" l="1"/>
  <c r="T1023" i="13" s="1"/>
  <c r="N1023" i="13"/>
  <c r="L1023" i="13"/>
  <c r="I1024" i="13" l="1"/>
  <c r="O1024" i="13" s="1"/>
  <c r="AA1024" i="13" l="1"/>
  <c r="AB1021" i="13"/>
  <c r="K1024" i="13"/>
  <c r="P1024" i="13" s="1"/>
  <c r="Q1024" i="13" l="1"/>
  <c r="J1024" i="13" s="1"/>
  <c r="R1024" i="13"/>
  <c r="M1024" i="13" l="1"/>
  <c r="T1024" i="13" s="1"/>
  <c r="N1024" i="13"/>
  <c r="L1024" i="13"/>
  <c r="I1025" i="13" l="1"/>
  <c r="O1025" i="13" s="1"/>
  <c r="AA1025" i="13" l="1"/>
  <c r="AB1022" i="13"/>
  <c r="K1025" i="13"/>
  <c r="P1025" i="13" s="1"/>
  <c r="R1025" i="13" l="1"/>
  <c r="Q1025" i="13"/>
  <c r="J1025" i="13" s="1"/>
  <c r="N1025" i="13" l="1"/>
  <c r="M1025" i="13"/>
  <c r="T1025" i="13" s="1"/>
  <c r="L1025" i="13"/>
  <c r="I1026" i="13" l="1"/>
  <c r="O1026" i="13" s="1"/>
  <c r="AA1026" i="13" l="1"/>
  <c r="AB1023" i="13"/>
  <c r="K1026" i="13"/>
  <c r="P1026" i="13" s="1"/>
  <c r="R1026" i="13" l="1"/>
  <c r="Q1026" i="13"/>
  <c r="J1026" i="13" s="1"/>
  <c r="M1026" i="13" l="1"/>
  <c r="T1026" i="13" s="1"/>
  <c r="N1026" i="13"/>
  <c r="L1026" i="13"/>
  <c r="I1027" i="13" l="1"/>
  <c r="O1027" i="13" s="1"/>
  <c r="AA1027" i="13" l="1"/>
  <c r="AB1024" i="13"/>
  <c r="K1027" i="13"/>
  <c r="P1027" i="13" s="1"/>
  <c r="Q1027" i="13" l="1"/>
  <c r="J1027" i="13" s="1"/>
  <c r="R1027" i="13"/>
  <c r="M1027" i="13" l="1"/>
  <c r="T1027" i="13" s="1"/>
  <c r="N1027" i="13"/>
  <c r="L1027" i="13"/>
  <c r="I1028" i="13" l="1"/>
  <c r="O1028" i="13" s="1"/>
  <c r="AA1028" i="13" l="1"/>
  <c r="AB1025" i="13"/>
  <c r="K1028" i="13"/>
  <c r="P1028" i="13" s="1"/>
  <c r="R1028" i="13" l="1"/>
  <c r="Q1028" i="13"/>
  <c r="J1028" i="13" s="1"/>
  <c r="N1028" i="13" l="1"/>
  <c r="M1028" i="13"/>
  <c r="T1028" i="13" s="1"/>
  <c r="L1028" i="13"/>
  <c r="I1029" i="13" l="1"/>
  <c r="O1029" i="13" s="1"/>
  <c r="AA1029" i="13" l="1"/>
  <c r="AB1026" i="13"/>
  <c r="K1029" i="13"/>
  <c r="P1029" i="13" s="1"/>
  <c r="Q1029" i="13" l="1"/>
  <c r="J1029" i="13" s="1"/>
  <c r="R1029" i="13"/>
  <c r="N1029" i="13" l="1"/>
  <c r="M1029" i="13"/>
  <c r="T1029" i="13" s="1"/>
  <c r="L1029" i="13"/>
  <c r="I1030" i="13" l="1"/>
  <c r="O1030" i="13" s="1"/>
  <c r="AA1030" i="13" l="1"/>
  <c r="AB1027" i="13"/>
  <c r="K1030" i="13"/>
  <c r="P1030" i="13" s="1"/>
  <c r="R1030" i="13" l="1"/>
  <c r="Q1030" i="13"/>
  <c r="J1030" i="13" s="1"/>
  <c r="N1030" i="13" l="1"/>
  <c r="M1030" i="13"/>
  <c r="T1030" i="13" s="1"/>
  <c r="L1030" i="13"/>
  <c r="I1031" i="13" l="1"/>
  <c r="O1031" i="13" s="1"/>
  <c r="AA1031" i="13" l="1"/>
  <c r="AB1028" i="13"/>
  <c r="K1031" i="13"/>
  <c r="P1031" i="13" s="1"/>
  <c r="Q1031" i="13" s="1"/>
  <c r="J1031" i="13" s="1"/>
  <c r="R1031" i="13" l="1"/>
  <c r="L1031" i="13"/>
  <c r="M1031" i="13"/>
  <c r="T1031" i="13" s="1"/>
  <c r="N1031" i="13"/>
  <c r="I1032" i="13" l="1"/>
  <c r="O1032" i="13" s="1"/>
  <c r="AA1032" i="13" l="1"/>
  <c r="AB1029" i="13"/>
  <c r="K1032" i="13"/>
  <c r="P1032" i="13" l="1"/>
  <c r="R1032" i="13" l="1"/>
  <c r="Q1032" i="13"/>
  <c r="J1032" i="13" s="1"/>
  <c r="N1032" i="13" l="1"/>
  <c r="M1032" i="13"/>
  <c r="T1032" i="13" s="1"/>
  <c r="L1032" i="13"/>
  <c r="I1033" i="13" l="1"/>
  <c r="O1033" i="13" s="1"/>
  <c r="AA1033" i="13" l="1"/>
  <c r="AB1030" i="13"/>
  <c r="K1033" i="13"/>
  <c r="P1033" i="13" s="1"/>
  <c r="Q1033" i="13" l="1"/>
  <c r="J1033" i="13" s="1"/>
  <c r="R1033" i="13"/>
  <c r="N1033" i="13" l="1"/>
  <c r="M1033" i="13"/>
  <c r="T1033" i="13" s="1"/>
  <c r="L1033" i="13"/>
  <c r="I1034" i="13" l="1"/>
  <c r="O1034" i="13" s="1"/>
  <c r="AA1034" i="13" l="1"/>
  <c r="AB1031" i="13"/>
  <c r="K1034" i="13"/>
  <c r="P1034" i="13" s="1"/>
  <c r="Q1034" i="13" l="1"/>
  <c r="J1034" i="13" s="1"/>
  <c r="R1034" i="13"/>
  <c r="N1034" i="13" l="1"/>
  <c r="M1034" i="13"/>
  <c r="T1034" i="13" s="1"/>
  <c r="L1034" i="13"/>
  <c r="I1035" i="13" l="1"/>
  <c r="O1035" i="13" s="1"/>
  <c r="AA1035" i="13" l="1"/>
  <c r="AB1032" i="13"/>
  <c r="K1035" i="13"/>
  <c r="P1035" i="13" s="1"/>
  <c r="R1035" i="13" l="1"/>
  <c r="Q1035" i="13"/>
  <c r="J1035" i="13" s="1"/>
  <c r="N1035" i="13" l="1"/>
  <c r="M1035" i="13"/>
  <c r="T1035" i="13" s="1"/>
  <c r="L1035" i="13"/>
  <c r="I1036" i="13" l="1"/>
  <c r="O1036" i="13" s="1"/>
  <c r="AA1036" i="13" l="1"/>
  <c r="AB1033" i="13"/>
  <c r="K1036" i="13"/>
  <c r="P1036" i="13" s="1"/>
  <c r="Q1036" i="13" l="1"/>
  <c r="J1036" i="13" s="1"/>
  <c r="R1036" i="13"/>
  <c r="N1036" i="13" l="1"/>
  <c r="M1036" i="13"/>
  <c r="T1036" i="13" s="1"/>
  <c r="L1036" i="13"/>
  <c r="I1037" i="13" l="1"/>
  <c r="O1037" i="13" s="1"/>
  <c r="AA1037" i="13" l="1"/>
  <c r="AB1034" i="13"/>
  <c r="K1037" i="13"/>
  <c r="P1037" i="13" s="1"/>
  <c r="R1037" i="13" s="1"/>
  <c r="Q1037" i="13" l="1"/>
  <c r="J1037" i="13" s="1"/>
  <c r="L1037" i="13" s="1"/>
  <c r="N1037" i="13" l="1"/>
  <c r="M1037" i="13"/>
  <c r="T1037" i="13" s="1"/>
  <c r="I1038" i="13" l="1"/>
  <c r="O1038" i="13" s="1"/>
  <c r="AA1038" i="13" l="1"/>
  <c r="AB1035" i="13"/>
  <c r="K1038" i="13"/>
  <c r="P1038" i="13" s="1"/>
  <c r="R1038" i="13" l="1"/>
  <c r="Q1038" i="13"/>
  <c r="J1038" i="13" s="1"/>
  <c r="M1038" i="13" l="1"/>
  <c r="T1038" i="13" s="1"/>
  <c r="N1038" i="13"/>
  <c r="L1038" i="13"/>
  <c r="I1039" i="13" l="1"/>
  <c r="O1039" i="13" s="1"/>
  <c r="K1039" i="13" l="1"/>
  <c r="P1039" i="13" s="1"/>
  <c r="R1039" i="13" s="1"/>
  <c r="AA1039" i="13"/>
  <c r="AB1036" i="13"/>
  <c r="Q1039" i="13" l="1"/>
  <c r="J1039" i="13" s="1"/>
  <c r="M1039" i="13" s="1"/>
  <c r="T1039" i="13" s="1"/>
  <c r="N1039" i="13" l="1"/>
  <c r="L1039" i="13"/>
  <c r="I1040" i="13" l="1"/>
  <c r="O1040" i="13" s="1"/>
  <c r="AA1040" i="13" s="1"/>
  <c r="AB1037" i="13"/>
  <c r="K1040" i="13" l="1"/>
  <c r="P1040" i="13" s="1"/>
  <c r="R1040" i="13" l="1"/>
  <c r="Q1040" i="13"/>
  <c r="J1040" i="13" s="1"/>
  <c r="N1040" i="13" l="1"/>
  <c r="M1040" i="13"/>
  <c r="T1040" i="13" s="1"/>
  <c r="L1040" i="13"/>
  <c r="I1041" i="13" l="1"/>
  <c r="O1041" i="13" s="1"/>
  <c r="AA1041" i="13" l="1"/>
  <c r="AB1038" i="13"/>
  <c r="K1041" i="13"/>
  <c r="P1041" i="13" s="1"/>
  <c r="R1041" i="13" l="1"/>
  <c r="Q1041" i="13"/>
  <c r="J1041" i="13" s="1"/>
  <c r="N1041" i="13" l="1"/>
  <c r="M1041" i="13"/>
  <c r="T1041" i="13" s="1"/>
  <c r="L1041" i="13"/>
  <c r="I1042" i="13" l="1"/>
  <c r="O1042" i="13" s="1"/>
  <c r="AA1042" i="13" l="1"/>
  <c r="AB1039" i="13"/>
  <c r="K1042" i="13"/>
  <c r="P1042" i="13" s="1"/>
  <c r="Q1042" i="13" s="1"/>
  <c r="J1042" i="13" s="1"/>
  <c r="L1042" i="13" s="1"/>
  <c r="R1042" i="13" l="1"/>
  <c r="N1042" i="13"/>
  <c r="M1042" i="13"/>
  <c r="I1043" i="13" l="1"/>
  <c r="O1043" i="13" s="1"/>
  <c r="AA1043" i="13" s="1"/>
  <c r="T1042" i="13"/>
  <c r="AB1040" i="13" l="1"/>
  <c r="K1043" i="13"/>
  <c r="P1043" i="13" s="1"/>
  <c r="R1043" i="13" l="1"/>
  <c r="Q1043" i="13"/>
  <c r="J1043" i="13" s="1"/>
  <c r="N1043" i="13" l="1"/>
  <c r="M1043" i="13"/>
  <c r="T1043" i="13" s="1"/>
  <c r="L1043" i="13"/>
  <c r="I1044" i="13" l="1"/>
  <c r="O1044" i="13" s="1"/>
  <c r="AA1044" i="13" l="1"/>
  <c r="AB1041" i="13"/>
  <c r="K1044" i="13"/>
  <c r="P1044" i="13" s="1"/>
  <c r="Q1044" i="13" l="1"/>
  <c r="J1044" i="13" s="1"/>
  <c r="R1044" i="13"/>
  <c r="N1044" i="13" l="1"/>
  <c r="M1044" i="13"/>
  <c r="T1044" i="13" s="1"/>
  <c r="L1044" i="13"/>
  <c r="I1045" i="13" l="1"/>
  <c r="O1045" i="13" s="1"/>
  <c r="AA1045" i="13" l="1"/>
  <c r="AB1042" i="13"/>
  <c r="K1045" i="13"/>
  <c r="P1045" i="13" s="1"/>
  <c r="Q1045" i="13" s="1"/>
  <c r="J1045" i="13" s="1"/>
  <c r="R1045" i="13" l="1"/>
  <c r="L1045" i="13"/>
  <c r="M1045" i="13"/>
  <c r="T1045" i="13" s="1"/>
  <c r="N1045" i="13"/>
  <c r="I1046" i="13" l="1"/>
  <c r="O1046" i="13" s="1"/>
  <c r="AA1046" i="13" l="1"/>
  <c r="AB1043" i="13"/>
  <c r="K1046" i="13"/>
  <c r="P1046" i="13" l="1"/>
  <c r="Q1046" i="13" l="1"/>
  <c r="J1046" i="13" s="1"/>
  <c r="R1046" i="13"/>
  <c r="N1046" i="13" l="1"/>
  <c r="M1046" i="13"/>
  <c r="T1046" i="13" s="1"/>
  <c r="L1046" i="13"/>
  <c r="I1047" i="13" l="1"/>
  <c r="O1047" i="13" s="1"/>
  <c r="AA1047" i="13" l="1"/>
  <c r="AB1044" i="13"/>
  <c r="K1047" i="13"/>
  <c r="P1047" i="13" s="1"/>
  <c r="R1047" i="13" l="1"/>
  <c r="Q1047" i="13"/>
  <c r="J1047" i="13" s="1"/>
  <c r="M1047" i="13" l="1"/>
  <c r="T1047" i="13" s="1"/>
  <c r="N1047" i="13"/>
  <c r="L1047" i="13"/>
  <c r="I1048" i="13" l="1"/>
  <c r="O1048" i="13" s="1"/>
  <c r="AA1048" i="13" l="1"/>
  <c r="AB1045" i="13"/>
  <c r="K1048" i="13"/>
  <c r="P1048" i="13" s="1"/>
  <c r="R1048" i="13" l="1"/>
  <c r="Q1048" i="13"/>
  <c r="J1048" i="13" s="1"/>
  <c r="M1048" i="13" l="1"/>
  <c r="T1048" i="13" s="1"/>
  <c r="N1048" i="13"/>
  <c r="L1048" i="13"/>
  <c r="I1049" i="13" l="1"/>
  <c r="O1049" i="13" s="1"/>
  <c r="AA1049" i="13" l="1"/>
  <c r="AB1046" i="13"/>
  <c r="K1049" i="13"/>
  <c r="P1049" i="13" s="1"/>
  <c r="R1049" i="13" l="1"/>
  <c r="Q1049" i="13"/>
  <c r="J1049" i="13" s="1"/>
  <c r="N1049" i="13" l="1"/>
  <c r="M1049" i="13"/>
  <c r="T1049" i="13" s="1"/>
  <c r="L1049" i="13"/>
  <c r="I1050" i="13" l="1"/>
  <c r="O1050" i="13" s="1"/>
  <c r="AA1050" i="13" l="1"/>
  <c r="AB1047" i="13"/>
  <c r="K1050" i="13"/>
  <c r="P1050" i="13" s="1"/>
  <c r="Q1050" i="13" s="1"/>
  <c r="J1050" i="13" s="1"/>
  <c r="R1050" i="13" l="1"/>
  <c r="L1050" i="13"/>
  <c r="M1050" i="13"/>
  <c r="T1050" i="13" s="1"/>
  <c r="N1050" i="13"/>
  <c r="I1051" i="13" l="1"/>
  <c r="O1051" i="13" s="1"/>
  <c r="AA1051" i="13" l="1"/>
  <c r="AB1048" i="13"/>
  <c r="K1051" i="13"/>
  <c r="P1051" i="13" l="1"/>
  <c r="R1051" i="13" l="1"/>
  <c r="Q1051" i="13"/>
  <c r="J1051" i="13" s="1"/>
  <c r="N1051" i="13" l="1"/>
  <c r="M1051" i="13"/>
  <c r="T1051" i="13" s="1"/>
  <c r="L1051" i="13"/>
  <c r="I1052" i="13" l="1"/>
  <c r="O1052" i="13" s="1"/>
  <c r="AA1052" i="13" l="1"/>
  <c r="AB1049" i="13"/>
  <c r="K1052" i="13"/>
  <c r="P1052" i="13" s="1"/>
  <c r="R1052" i="13" l="1"/>
  <c r="Q1052" i="13"/>
  <c r="J1052" i="13" s="1"/>
  <c r="L1052" i="13" l="1"/>
  <c r="M1052" i="13"/>
  <c r="T1052" i="13" s="1"/>
  <c r="N1052" i="13"/>
  <c r="I1053" i="13" l="1"/>
  <c r="O1053" i="13" s="1"/>
  <c r="AA1053" i="13" l="1"/>
  <c r="AB1050" i="13"/>
  <c r="K1053" i="13"/>
  <c r="P1053" i="13" l="1"/>
  <c r="R1053" i="13" l="1"/>
  <c r="Q1053" i="13"/>
  <c r="J1053" i="13" s="1"/>
  <c r="M1053" i="13" l="1"/>
  <c r="T1053" i="13" s="1"/>
  <c r="N1053" i="13"/>
  <c r="L1053" i="13"/>
  <c r="I1054" i="13" l="1"/>
  <c r="O1054" i="13" s="1"/>
  <c r="AA1054" i="13" l="1"/>
  <c r="AB1051" i="13"/>
  <c r="K1054" i="13"/>
  <c r="P1054" i="13" s="1"/>
  <c r="Q1054" i="13" l="1"/>
  <c r="J1054" i="13" s="1"/>
  <c r="R1054" i="13"/>
  <c r="M1054" i="13" l="1"/>
  <c r="T1054" i="13" s="1"/>
  <c r="N1054" i="13"/>
  <c r="L1054" i="13"/>
  <c r="I1055" i="13" l="1"/>
  <c r="O1055" i="13" s="1"/>
  <c r="AA1055" i="13" l="1"/>
  <c r="AB1052" i="13"/>
  <c r="K1055" i="13"/>
  <c r="P1055" i="13" s="1"/>
  <c r="R1055" i="13" l="1"/>
  <c r="Q1055" i="13"/>
  <c r="J1055" i="13" s="1"/>
  <c r="M1055" i="13" l="1"/>
  <c r="T1055" i="13" s="1"/>
  <c r="N1055" i="13"/>
  <c r="L1055" i="13"/>
  <c r="I1056" i="13" l="1"/>
  <c r="O1056" i="13" s="1"/>
  <c r="AA1056" i="13" l="1"/>
  <c r="AB1053" i="13"/>
  <c r="K1056" i="13"/>
  <c r="P1056" i="13" s="1"/>
  <c r="R1056" i="13" l="1"/>
  <c r="Q1056" i="13"/>
  <c r="J1056" i="13" s="1"/>
  <c r="M1056" i="13" l="1"/>
  <c r="T1056" i="13" s="1"/>
  <c r="N1056" i="13"/>
  <c r="L1056" i="13"/>
  <c r="I1057" i="13" l="1"/>
  <c r="O1057" i="13" s="1"/>
  <c r="AA1057" i="13" l="1"/>
  <c r="AB1054" i="13"/>
  <c r="K1057" i="13"/>
  <c r="P1057" i="13" s="1"/>
  <c r="R1057" i="13" l="1"/>
  <c r="Q1057" i="13"/>
  <c r="J1057" i="13" s="1"/>
  <c r="M1057" i="13" l="1"/>
  <c r="T1057" i="13" s="1"/>
  <c r="N1057" i="13"/>
  <c r="L1057" i="13"/>
  <c r="I1058" i="13" l="1"/>
  <c r="O1058" i="13" s="1"/>
  <c r="AA1058" i="13" l="1"/>
  <c r="AB1055" i="13"/>
  <c r="K1058" i="13"/>
  <c r="P1058" i="13" s="1"/>
  <c r="R1058" i="13" s="1"/>
  <c r="Q1058" i="13" l="1"/>
  <c r="J1058" i="13" s="1"/>
  <c r="L1058" i="13" s="1"/>
  <c r="N1058" i="13" l="1"/>
  <c r="M1058" i="13"/>
  <c r="T1058" i="13" s="1"/>
  <c r="I1059" i="13" l="1"/>
  <c r="O1059" i="13" s="1"/>
  <c r="AA1059" i="13" l="1"/>
  <c r="AB1056" i="13"/>
  <c r="K1059" i="13"/>
  <c r="P1059" i="13" s="1"/>
  <c r="Q1059" i="13" l="1"/>
  <c r="J1059" i="13" s="1"/>
  <c r="R1059" i="13"/>
  <c r="M1059" i="13" l="1"/>
  <c r="T1059" i="13" s="1"/>
  <c r="N1059" i="13"/>
  <c r="L1059" i="13"/>
  <c r="I1060" i="13" l="1"/>
  <c r="O1060" i="13" s="1"/>
  <c r="AA1060" i="13" l="1"/>
  <c r="AB1057" i="13"/>
  <c r="K1060" i="13"/>
  <c r="P1060" i="13" s="1"/>
  <c r="R1060" i="13" l="1"/>
  <c r="Q1060" i="13"/>
  <c r="J1060" i="13" s="1"/>
  <c r="N1060" i="13" l="1"/>
  <c r="M1060" i="13"/>
  <c r="T1060" i="13" s="1"/>
  <c r="L1060" i="13"/>
  <c r="I1061" i="13" l="1"/>
  <c r="O1061" i="13" s="1"/>
  <c r="AA1061" i="13" l="1"/>
  <c r="AB1058" i="13"/>
  <c r="K1061" i="13"/>
  <c r="P1061" i="13" s="1"/>
  <c r="Q1061" i="13" l="1"/>
  <c r="J1061" i="13" s="1"/>
  <c r="R1061" i="13"/>
  <c r="N1061" i="13" l="1"/>
  <c r="M1061" i="13"/>
  <c r="T1061" i="13" s="1"/>
  <c r="L1061" i="13"/>
  <c r="I1062" i="13" l="1"/>
  <c r="O1062" i="13" s="1"/>
  <c r="AA1062" i="13" l="1"/>
  <c r="AB1059" i="13"/>
  <c r="K1062" i="13"/>
  <c r="P1062" i="13" s="1"/>
  <c r="R1062" i="13" l="1"/>
  <c r="Q1062" i="13"/>
  <c r="J1062" i="13" s="1"/>
  <c r="N1062" i="13" l="1"/>
  <c r="M1062" i="13"/>
  <c r="T1062" i="13" s="1"/>
  <c r="L1062" i="13"/>
  <c r="I1063" i="13" l="1"/>
  <c r="O1063" i="13" s="1"/>
  <c r="AA1063" i="13" l="1"/>
  <c r="AB1060" i="13"/>
  <c r="K1063" i="13"/>
  <c r="P1063" i="13" s="1"/>
  <c r="R1063" i="13" s="1"/>
  <c r="Q1063" i="13" l="1"/>
  <c r="J1063" i="13" s="1"/>
  <c r="L1063" i="13" s="1"/>
  <c r="M1063" i="13" l="1"/>
  <c r="T1063" i="13" s="1"/>
  <c r="N1063" i="13"/>
  <c r="I1064" i="13" l="1"/>
  <c r="O1064" i="13" s="1"/>
  <c r="AA1064" i="13" l="1"/>
  <c r="AB1061" i="13"/>
  <c r="K1064" i="13"/>
  <c r="P1064" i="13" s="1"/>
  <c r="R1064" i="13" s="1"/>
  <c r="Q1064" i="13" l="1"/>
  <c r="J1064" i="13" s="1"/>
  <c r="M1064" i="13" s="1"/>
  <c r="T1064" i="13" s="1"/>
  <c r="L1064" i="13" l="1"/>
  <c r="N1064" i="13"/>
  <c r="I1065" i="13" l="1"/>
  <c r="O1065" i="13" s="1"/>
  <c r="AA1065" i="13" l="1"/>
  <c r="AB1062" i="13"/>
  <c r="K1065" i="13"/>
  <c r="P1065" i="13" s="1"/>
  <c r="Q1065" i="13" s="1"/>
  <c r="J1065" i="13" s="1"/>
  <c r="R1065" i="13" l="1"/>
  <c r="M1065" i="13"/>
  <c r="T1065" i="13" s="1"/>
  <c r="N1065" i="13"/>
  <c r="L1065" i="13"/>
  <c r="I1066" i="13" l="1"/>
  <c r="O1066" i="13" s="1"/>
  <c r="AA1066" i="13" l="1"/>
  <c r="AB1063" i="13"/>
  <c r="K1066" i="13"/>
  <c r="P1066" i="13" s="1"/>
  <c r="R1066" i="13" l="1"/>
  <c r="Q1066" i="13"/>
  <c r="J1066" i="13" s="1"/>
  <c r="M1066" i="13" l="1"/>
  <c r="T1066" i="13" s="1"/>
  <c r="N1066" i="13"/>
  <c r="L1066" i="13"/>
  <c r="I1067" i="13" l="1"/>
  <c r="O1067" i="13" s="1"/>
  <c r="AA1067" i="13" l="1"/>
  <c r="AB1064" i="13"/>
  <c r="K1067" i="13"/>
  <c r="P1067" i="13" s="1"/>
  <c r="R1067" i="13" s="1"/>
  <c r="Q1067" i="13" l="1"/>
  <c r="J1067" i="13" s="1"/>
  <c r="L1067" i="13" s="1"/>
  <c r="N1067" i="13" l="1"/>
  <c r="M1067" i="13"/>
  <c r="T1067" i="13" s="1"/>
  <c r="I1068" i="13" l="1"/>
  <c r="O1068" i="13" s="1"/>
  <c r="AA1068" i="13" l="1"/>
  <c r="AB1065" i="13"/>
  <c r="K1068" i="13"/>
  <c r="P1068" i="13" s="1"/>
  <c r="Q1068" i="13" l="1"/>
  <c r="J1068" i="13" s="1"/>
  <c r="R1068" i="13"/>
  <c r="N1068" i="13" l="1"/>
  <c r="M1068" i="13"/>
  <c r="T1068" i="13" s="1"/>
  <c r="L1068" i="13"/>
  <c r="I1069" i="13" l="1"/>
  <c r="O1069" i="13" s="1"/>
  <c r="AA1069" i="13" l="1"/>
  <c r="AB1066" i="13"/>
  <c r="K1069" i="13"/>
  <c r="P1069" i="13" s="1"/>
  <c r="Q1069" i="13" s="1"/>
  <c r="J1069" i="13" s="1"/>
  <c r="R1069" i="13" l="1"/>
  <c r="L1069" i="13"/>
  <c r="M1069" i="13"/>
  <c r="T1069" i="13" s="1"/>
  <c r="N1069" i="13"/>
  <c r="I1070" i="13" l="1"/>
  <c r="O1070" i="13" s="1"/>
  <c r="AA1070" i="13" l="1"/>
  <c r="AB1067" i="13"/>
  <c r="K1070" i="13"/>
  <c r="P1070" i="13" l="1"/>
  <c r="R1070" i="13" l="1"/>
  <c r="Q1070" i="13"/>
  <c r="J1070" i="13" s="1"/>
  <c r="N1070" i="13" l="1"/>
  <c r="M1070" i="13"/>
  <c r="T1070" i="13" s="1"/>
  <c r="L1070" i="13"/>
  <c r="I1071" i="13" l="1"/>
  <c r="O1071" i="13" s="1"/>
  <c r="K1071" i="13" l="1"/>
  <c r="P1071" i="13" s="1"/>
  <c r="AA1071" i="13"/>
  <c r="AB1068" i="13"/>
  <c r="Q1071" i="13" l="1"/>
  <c r="J1071" i="13" s="1"/>
  <c r="R1071" i="13"/>
  <c r="N1071" i="13" l="1"/>
  <c r="M1071" i="13"/>
  <c r="T1071" i="13" s="1"/>
  <c r="L1071" i="13"/>
  <c r="I1072" i="13" l="1"/>
  <c r="O1072" i="13" s="1"/>
  <c r="AA1072" i="13" l="1"/>
  <c r="AB1069" i="13"/>
  <c r="K1072" i="13"/>
  <c r="P1072" i="13" s="1"/>
  <c r="R1072" i="13" s="1"/>
  <c r="Q1072" i="13" l="1"/>
  <c r="J1072" i="13" s="1"/>
  <c r="M1072" i="13" s="1"/>
  <c r="T1072" i="13" s="1"/>
  <c r="N1072" i="13" l="1"/>
  <c r="L1072" i="13"/>
  <c r="I1073" i="13" l="1"/>
  <c r="O1073" i="13" s="1"/>
  <c r="AA1073" i="13" l="1"/>
  <c r="AB1070" i="13"/>
  <c r="K1073" i="13"/>
  <c r="P1073" i="13" s="1"/>
  <c r="Q1073" i="13" l="1"/>
  <c r="J1073" i="13" s="1"/>
  <c r="R1073" i="13"/>
  <c r="M1073" i="13" l="1"/>
  <c r="T1073" i="13" s="1"/>
  <c r="N1073" i="13"/>
  <c r="L1073" i="13"/>
  <c r="I1074" i="13" l="1"/>
  <c r="O1074" i="13" s="1"/>
  <c r="AA1074" i="13" l="1"/>
  <c r="AB1071" i="13"/>
  <c r="K1074" i="13"/>
  <c r="P1074" i="13" s="1"/>
  <c r="Q1074" i="13" l="1"/>
  <c r="J1074" i="13" s="1"/>
  <c r="R1074" i="13"/>
  <c r="N1074" i="13" l="1"/>
  <c r="M1074" i="13"/>
  <c r="T1074" i="13" s="1"/>
  <c r="L1074" i="13"/>
  <c r="I1075" i="13" l="1"/>
  <c r="O1075" i="13" s="1"/>
  <c r="AA1075" i="13" l="1"/>
  <c r="AB1072" i="13"/>
  <c r="K1075" i="13"/>
  <c r="P1075" i="13" s="1"/>
  <c r="R1075" i="13" s="1"/>
  <c r="Q1075" i="13" l="1"/>
  <c r="J1075" i="13" s="1"/>
  <c r="L1075" i="13" s="1"/>
  <c r="M1075" i="13" l="1"/>
  <c r="T1075" i="13" s="1"/>
  <c r="N1075" i="13"/>
  <c r="I1076" i="13" l="1"/>
  <c r="O1076" i="13" s="1"/>
  <c r="AA1076" i="13" l="1"/>
  <c r="AB1073" i="13"/>
  <c r="K1076" i="13"/>
  <c r="P1076" i="13" s="1"/>
  <c r="Q1076" i="13" s="1"/>
  <c r="J1076" i="13" s="1"/>
  <c r="R1076" i="13" l="1"/>
  <c r="N1076" i="13"/>
  <c r="M1076" i="13"/>
  <c r="T1076" i="13" s="1"/>
  <c r="L1076" i="13"/>
  <c r="I1077" i="13" l="1"/>
  <c r="O1077" i="13" s="1"/>
  <c r="AA1077" i="13" l="1"/>
  <c r="AB1074" i="13"/>
  <c r="K1077" i="13"/>
  <c r="P1077" i="13" s="1"/>
  <c r="Q1077" i="13" l="1"/>
  <c r="J1077" i="13" s="1"/>
  <c r="R1077" i="13"/>
  <c r="N1077" i="13" l="1"/>
  <c r="M1077" i="13"/>
  <c r="T1077" i="13" s="1"/>
  <c r="L1077" i="13"/>
  <c r="I1078" i="13" l="1"/>
  <c r="O1078" i="13" s="1"/>
  <c r="AA1078" i="13" l="1"/>
  <c r="AB1075" i="13"/>
  <c r="K1078" i="13"/>
  <c r="P1078" i="13" l="1"/>
  <c r="Q1078" i="13" l="1"/>
  <c r="J1078" i="13" s="1"/>
  <c r="R1078" i="13"/>
  <c r="N1078" i="13" l="1"/>
  <c r="M1078" i="13"/>
  <c r="T1078" i="13" s="1"/>
  <c r="L1078" i="13"/>
  <c r="I1079" i="13" l="1"/>
  <c r="O1079" i="13" s="1"/>
  <c r="AA1079" i="13" l="1"/>
  <c r="AB1076" i="13"/>
  <c r="K1079" i="13"/>
  <c r="P1079" i="13" s="1"/>
  <c r="Q1079" i="13" s="1"/>
  <c r="J1079" i="13" s="1"/>
  <c r="R1079" i="13" l="1"/>
  <c r="L1079" i="13"/>
  <c r="M1079" i="13"/>
  <c r="T1079" i="13" s="1"/>
  <c r="N1079" i="13"/>
  <c r="I1080" i="13" l="1"/>
  <c r="O1080" i="13" s="1"/>
  <c r="AA1080" i="13" l="1"/>
  <c r="AB1077" i="13"/>
  <c r="K1080" i="13"/>
  <c r="P1080" i="13" s="1"/>
  <c r="Q1080" i="13" l="1"/>
  <c r="J1080" i="13" s="1"/>
  <c r="L1080" i="13" s="1"/>
  <c r="R1080" i="13"/>
  <c r="N1080" i="13" l="1"/>
  <c r="M1080" i="13"/>
  <c r="T1080" i="13" s="1"/>
  <c r="I1081" i="13" l="1"/>
  <c r="O1081" i="13" s="1"/>
  <c r="AA1081" i="13" l="1"/>
  <c r="AB1078" i="13"/>
  <c r="K1081" i="13"/>
  <c r="P1081" i="13" s="1"/>
  <c r="Q1081" i="13" l="1"/>
  <c r="J1081" i="13" s="1"/>
  <c r="R1081" i="13"/>
  <c r="N1081" i="13" l="1"/>
  <c r="M1081" i="13"/>
  <c r="T1081" i="13" s="1"/>
  <c r="L1081" i="13"/>
  <c r="I1082" i="13" l="1"/>
  <c r="O1082" i="13" s="1"/>
  <c r="AA1082" i="13" l="1"/>
  <c r="AB1079" i="13"/>
  <c r="K1082" i="13"/>
  <c r="P1082" i="13" s="1"/>
  <c r="Q1082" i="13" l="1"/>
  <c r="J1082" i="13" s="1"/>
  <c r="R1082" i="13"/>
  <c r="N1082" i="13" l="1"/>
  <c r="M1082" i="13"/>
  <c r="T1082" i="13" s="1"/>
  <c r="L1082" i="13"/>
  <c r="I1083" i="13" l="1"/>
  <c r="O1083" i="13" s="1"/>
  <c r="AA1083" i="13" l="1"/>
  <c r="AB1080" i="13"/>
  <c r="K1083" i="13"/>
  <c r="P1083" i="13" s="1"/>
  <c r="Q1083" i="13" l="1"/>
  <c r="J1083" i="13" s="1"/>
  <c r="R1083" i="13"/>
  <c r="N1083" i="13" l="1"/>
  <c r="M1083" i="13"/>
  <c r="T1083" i="13" s="1"/>
  <c r="L1083" i="13"/>
  <c r="I1084" i="13" l="1"/>
  <c r="O1084" i="13" s="1"/>
  <c r="AA1084" i="13" l="1"/>
  <c r="AB1081" i="13"/>
  <c r="K1084" i="13"/>
  <c r="P1084" i="13" s="1"/>
  <c r="R1084" i="13" l="1"/>
  <c r="Q1084" i="13"/>
  <c r="J1084" i="13" s="1"/>
  <c r="N1084" i="13" l="1"/>
  <c r="M1084" i="13"/>
  <c r="T1084" i="13" s="1"/>
  <c r="L1084" i="13"/>
  <c r="I1085" i="13" l="1"/>
  <c r="O1085" i="13" s="1"/>
  <c r="AA1085" i="13" l="1"/>
  <c r="AB1082" i="13"/>
  <c r="K1085" i="13"/>
  <c r="P1085" i="13" s="1"/>
  <c r="R1085" i="13" s="1"/>
  <c r="Q1085" i="13" l="1"/>
  <c r="J1085" i="13" s="1"/>
  <c r="L1085" i="13" s="1"/>
  <c r="N1085" i="13" l="1"/>
  <c r="M1085" i="13"/>
  <c r="T1085" i="13" s="1"/>
  <c r="I1086" i="13" l="1"/>
  <c r="O1086" i="13" s="1"/>
  <c r="K1086" i="13" l="1"/>
  <c r="P1086" i="13" s="1"/>
  <c r="R1086" i="13" s="1"/>
  <c r="AA1086" i="13"/>
  <c r="AB1083" i="13"/>
  <c r="Q1086" i="13" l="1"/>
  <c r="J1086" i="13" s="1"/>
  <c r="L1086" i="13" s="1"/>
  <c r="N1086" i="13" l="1"/>
  <c r="M1086" i="13"/>
  <c r="T1086" i="13" s="1"/>
  <c r="I1087" i="13" l="1"/>
  <c r="O1087" i="13" s="1"/>
  <c r="AA1087" i="13" s="1"/>
  <c r="K1087" i="13" l="1"/>
  <c r="P1087" i="13" s="1"/>
  <c r="AB1084" i="13"/>
  <c r="Q1087" i="13" l="1"/>
  <c r="J1087" i="13" s="1"/>
  <c r="R1087" i="13"/>
  <c r="N1087" i="13" l="1"/>
  <c r="M1087" i="13"/>
  <c r="T1087" i="13" s="1"/>
  <c r="L1087" i="13"/>
  <c r="I1088" i="13" l="1"/>
  <c r="O1088" i="13" s="1"/>
  <c r="AA1088" i="13" l="1"/>
  <c r="AB1085" i="13"/>
  <c r="K1088" i="13"/>
  <c r="P1088" i="13" s="1"/>
  <c r="R1088" i="13" l="1"/>
  <c r="Q1088" i="13"/>
  <c r="J1088" i="13" s="1"/>
  <c r="N1088" i="13" l="1"/>
  <c r="M1088" i="13"/>
  <c r="T1088" i="13" s="1"/>
  <c r="L1088" i="13"/>
  <c r="I1089" i="13" l="1"/>
  <c r="O1089" i="13" s="1"/>
  <c r="AA1089" i="13" l="1"/>
  <c r="AB1086" i="13"/>
  <c r="K1089" i="13"/>
  <c r="P1089" i="13" s="1"/>
  <c r="R1089" i="13" s="1"/>
  <c r="Q1089" i="13" l="1"/>
  <c r="J1089" i="13" s="1"/>
  <c r="L1089" i="13" s="1"/>
  <c r="N1089" i="13" l="1"/>
  <c r="M1089" i="13"/>
  <c r="T1089" i="13" s="1"/>
  <c r="I1090" i="13" l="1"/>
  <c r="O1090" i="13" s="1"/>
  <c r="AA1090" i="13" l="1"/>
  <c r="AB1087" i="13"/>
  <c r="K1090" i="13"/>
  <c r="P1090" i="13" s="1"/>
  <c r="Q1090" i="13" s="1"/>
  <c r="J1090" i="13" s="1"/>
  <c r="R1090" i="13" l="1"/>
  <c r="N1090" i="13"/>
  <c r="M1090" i="13"/>
  <c r="T1090" i="13" s="1"/>
  <c r="L1090" i="13"/>
  <c r="I1091" i="13" l="1"/>
  <c r="O1091" i="13" s="1"/>
  <c r="AA1091" i="13" l="1"/>
  <c r="AB1088" i="13"/>
  <c r="K1091" i="13"/>
  <c r="P1091" i="13" s="1"/>
  <c r="R1091" i="13" s="1"/>
  <c r="Q1091" i="13" l="1"/>
  <c r="J1091" i="13" s="1"/>
  <c r="L1091" i="13" s="1"/>
  <c r="N1091" i="13" l="1"/>
  <c r="M1091" i="13"/>
  <c r="T1091" i="13" s="1"/>
  <c r="I1092" i="13" l="1"/>
  <c r="O1092" i="13" s="1"/>
  <c r="AA1092" i="13" l="1"/>
  <c r="AB1089" i="13"/>
  <c r="K1092" i="13"/>
  <c r="P1092" i="13" s="1"/>
  <c r="R1092" i="13" s="1"/>
  <c r="Q1092" i="13" l="1"/>
  <c r="J1092" i="13" s="1"/>
  <c r="N1092" i="13" s="1"/>
  <c r="M1092" i="13" l="1"/>
  <c r="T1092" i="13" s="1"/>
  <c r="L1092" i="13"/>
  <c r="I1093" i="13" l="1"/>
  <c r="O1093" i="13" s="1"/>
  <c r="AA1093" i="13" l="1"/>
  <c r="AB1090" i="13"/>
  <c r="K1093" i="13"/>
  <c r="P1093" i="13" s="1"/>
  <c r="R1093" i="13" s="1"/>
  <c r="Q1093" i="13" l="1"/>
  <c r="J1093" i="13" s="1"/>
  <c r="L1093" i="13" s="1"/>
  <c r="N1093" i="13" l="1"/>
  <c r="M1093" i="13"/>
  <c r="T1093" i="13" s="1"/>
  <c r="I1094" i="13" l="1"/>
  <c r="O1094" i="13" s="1"/>
  <c r="AA1094" i="13" l="1"/>
  <c r="AB1091" i="13"/>
  <c r="K1094" i="13"/>
  <c r="P1094" i="13" s="1"/>
  <c r="Q1094" i="13" s="1"/>
  <c r="J1094" i="13" s="1"/>
  <c r="M1094" i="13" s="1"/>
  <c r="T1094" i="13" s="1"/>
  <c r="R1094" i="13" l="1"/>
  <c r="N1094" i="13"/>
  <c r="L1094" i="13"/>
  <c r="I1095" i="13" l="1"/>
  <c r="O1095" i="13" s="1"/>
  <c r="AA1095" i="13" l="1"/>
  <c r="AB1092" i="13"/>
  <c r="K1095" i="13"/>
  <c r="P1095" i="13" s="1"/>
  <c r="R1095" i="13" s="1"/>
  <c r="Q1095" i="13" l="1"/>
  <c r="J1095" i="13" s="1"/>
  <c r="M1095" i="13" s="1"/>
  <c r="T1095" i="13" s="1"/>
  <c r="N1095" i="13" l="1"/>
  <c r="L1095" i="13"/>
  <c r="I1096" i="13" l="1"/>
  <c r="O1096" i="13" s="1"/>
  <c r="AA1096" i="13" l="1"/>
  <c r="AB1093" i="13"/>
  <c r="K1096" i="13"/>
  <c r="P1096" i="13" s="1"/>
  <c r="R1096" i="13" s="1"/>
  <c r="Q1096" i="13" l="1"/>
  <c r="J1096" i="13" s="1"/>
  <c r="N1096" i="13" s="1"/>
  <c r="L1096" i="13" l="1"/>
  <c r="M1096" i="13"/>
  <c r="T1096" i="13" s="1"/>
  <c r="I1097" i="13" l="1"/>
  <c r="O1097" i="13" s="1"/>
  <c r="AA1097" i="13" l="1"/>
  <c r="AB1094" i="13"/>
  <c r="K1097" i="13"/>
  <c r="P1097" i="13" s="1"/>
  <c r="R1097" i="13" s="1"/>
  <c r="Q1097" i="13" l="1"/>
  <c r="J1097" i="13" s="1"/>
  <c r="M1097" i="13" s="1"/>
  <c r="T1097" i="13" s="1"/>
  <c r="L1097" i="13" l="1"/>
  <c r="N1097" i="13"/>
  <c r="I1098" i="13" l="1"/>
  <c r="O1098" i="13" s="1"/>
  <c r="AA1098" i="13" l="1"/>
  <c r="AB1095" i="13"/>
  <c r="K1098" i="13"/>
  <c r="P1098" i="13" s="1"/>
  <c r="Q1098" i="13" s="1"/>
  <c r="J1098" i="13" s="1"/>
  <c r="R1098" i="13" l="1"/>
  <c r="N1098" i="13"/>
  <c r="M1098" i="13"/>
  <c r="T1098" i="13" s="1"/>
  <c r="L1098" i="13"/>
  <c r="I1099" i="13" l="1"/>
  <c r="O1099" i="13" s="1"/>
  <c r="AA1099" i="13" l="1"/>
  <c r="AB1096" i="13"/>
  <c r="K1099" i="13"/>
  <c r="P1099" i="13" s="1"/>
  <c r="R1099" i="13" l="1"/>
  <c r="Q1099" i="13"/>
  <c r="J1099" i="13" s="1"/>
  <c r="N1099" i="13" l="1"/>
  <c r="M1099" i="13"/>
  <c r="T1099" i="13" s="1"/>
  <c r="L1099" i="13"/>
  <c r="I1100" i="13" l="1"/>
  <c r="O1100" i="13" s="1"/>
  <c r="AA1100" i="13" l="1"/>
  <c r="AB1097" i="13"/>
  <c r="K1100" i="13"/>
  <c r="P1100" i="13" s="1"/>
  <c r="Q1100" i="13" l="1"/>
  <c r="J1100" i="13" s="1"/>
  <c r="R1100" i="13"/>
  <c r="N1100" i="13" l="1"/>
  <c r="M1100" i="13"/>
  <c r="T1100" i="13" s="1"/>
  <c r="L1100" i="13"/>
  <c r="I1101" i="13" l="1"/>
  <c r="O1101" i="13" s="1"/>
  <c r="AA1101" i="13" l="1"/>
  <c r="AB1098" i="13"/>
  <c r="K1101" i="13"/>
  <c r="P1101" i="13" s="1"/>
  <c r="Q1101" i="13" l="1"/>
  <c r="J1101" i="13" s="1"/>
  <c r="R1101" i="13"/>
  <c r="N1101" i="13" l="1"/>
  <c r="M1101" i="13"/>
  <c r="T1101" i="13" s="1"/>
  <c r="L1101" i="13"/>
  <c r="I1102" i="13" l="1"/>
  <c r="O1102" i="13" s="1"/>
  <c r="AA1102" i="13" l="1"/>
  <c r="AB1099" i="13"/>
  <c r="K1102" i="13"/>
  <c r="P1102" i="13" s="1"/>
  <c r="Q1102" i="13" l="1"/>
  <c r="J1102" i="13" s="1"/>
  <c r="R1102" i="13"/>
  <c r="M1102" i="13" l="1"/>
  <c r="T1102" i="13" s="1"/>
  <c r="N1102" i="13"/>
  <c r="L1102" i="13"/>
  <c r="I1103" i="13" l="1"/>
  <c r="O1103" i="13" s="1"/>
  <c r="AA1103" i="13" l="1"/>
  <c r="AB1100" i="13"/>
  <c r="K1103" i="13"/>
  <c r="P1103" i="13" s="1"/>
  <c r="Q1103" i="13" l="1"/>
  <c r="J1103" i="13" s="1"/>
  <c r="R1103" i="13"/>
  <c r="M1103" i="13" l="1"/>
  <c r="T1103" i="13" s="1"/>
  <c r="N1103" i="13"/>
  <c r="L1103" i="13"/>
  <c r="I1104" i="13" l="1"/>
  <c r="O1104" i="13" s="1"/>
  <c r="AA1104" i="13" l="1"/>
  <c r="AB1101" i="13"/>
  <c r="K1104" i="13"/>
  <c r="P1104" i="13" s="1"/>
  <c r="R1104" i="13" l="1"/>
  <c r="Q1104" i="13"/>
  <c r="J1104" i="13" s="1"/>
  <c r="N1104" i="13" l="1"/>
  <c r="M1104" i="13"/>
  <c r="T1104" i="13" s="1"/>
  <c r="L1104" i="13"/>
  <c r="I1105" i="13" l="1"/>
  <c r="O1105" i="13" s="1"/>
  <c r="AA1105" i="13" l="1"/>
  <c r="AB1102" i="13"/>
  <c r="K1105" i="13"/>
  <c r="P1105" i="13" s="1"/>
  <c r="Q1105" i="13" s="1"/>
  <c r="J1105" i="13" s="1"/>
  <c r="L1105" i="13" s="1"/>
  <c r="R1105" i="13" l="1"/>
  <c r="N1105" i="13"/>
  <c r="M1105" i="13"/>
  <c r="I1106" i="13" l="1"/>
  <c r="O1106" i="13" s="1"/>
  <c r="AA1106" i="13" s="1"/>
  <c r="T1105" i="13"/>
  <c r="AB1103" i="13" l="1"/>
  <c r="K1106" i="13"/>
  <c r="P1106" i="13" s="1"/>
  <c r="R1106" i="13" s="1"/>
  <c r="Q1106" i="13" l="1"/>
  <c r="J1106" i="13" s="1"/>
  <c r="L1106" i="13" s="1"/>
  <c r="N1106" i="13" l="1"/>
  <c r="M1106" i="13"/>
  <c r="T1106" i="13" s="1"/>
  <c r="I1107" i="13" l="1"/>
  <c r="O1107" i="13" s="1"/>
  <c r="AA1107" i="13" s="1"/>
  <c r="AB1104" i="13" l="1"/>
  <c r="K1107" i="13"/>
  <c r="P1107" i="13" s="1"/>
  <c r="Q1107" i="13" l="1"/>
  <c r="J1107" i="13" s="1"/>
  <c r="R1107" i="13"/>
  <c r="N1107" i="13" l="1"/>
  <c r="M1107" i="13"/>
  <c r="T1107" i="13" s="1"/>
  <c r="L1107" i="13"/>
  <c r="I1108" i="13" l="1"/>
  <c r="O1108" i="13" s="1"/>
  <c r="AA1108" i="13" l="1"/>
  <c r="AB1105" i="13"/>
  <c r="K1108" i="13"/>
  <c r="P1108" i="13" s="1"/>
  <c r="Q1108" i="13" s="1"/>
  <c r="J1108" i="13" s="1"/>
  <c r="L1108" i="13" l="1"/>
  <c r="R1108" i="13"/>
  <c r="N1108" i="13"/>
  <c r="M1108" i="13"/>
  <c r="T1108" i="13" s="1"/>
  <c r="I1109" i="13" l="1"/>
  <c r="O1109" i="13" s="1"/>
  <c r="AA1109" i="13" l="1"/>
  <c r="AB1106" i="13"/>
  <c r="K1109" i="13"/>
  <c r="P1109" i="13" s="1"/>
  <c r="R1109" i="13" l="1"/>
  <c r="Q1109" i="13"/>
  <c r="J1109" i="13" s="1"/>
  <c r="N1109" i="13" l="1"/>
  <c r="M1109" i="13"/>
  <c r="T1109" i="13" s="1"/>
  <c r="L1109" i="13"/>
  <c r="I1110" i="13" l="1"/>
  <c r="O1110" i="13" s="1"/>
  <c r="AA1110" i="13" l="1"/>
  <c r="AB1107" i="13"/>
  <c r="K1110" i="13"/>
  <c r="P1110" i="13" s="1"/>
  <c r="R1110" i="13" l="1"/>
  <c r="Q1110" i="13"/>
  <c r="J1110" i="13" s="1"/>
  <c r="N1110" i="13" l="1"/>
  <c r="M1110" i="13"/>
  <c r="T1110" i="13" s="1"/>
  <c r="L1110" i="13"/>
  <c r="I1111" i="13" l="1"/>
  <c r="O1111" i="13" s="1"/>
  <c r="AA1111" i="13" l="1"/>
  <c r="AB1108" i="13"/>
  <c r="K1111" i="13"/>
  <c r="P1111" i="13" s="1"/>
  <c r="Q1111" i="13" l="1"/>
  <c r="J1111" i="13" s="1"/>
  <c r="R1111" i="13"/>
  <c r="N1111" i="13" l="1"/>
  <c r="M1111" i="13"/>
  <c r="T1111" i="13" s="1"/>
  <c r="L1111" i="13"/>
  <c r="I1112" i="13" l="1"/>
  <c r="O1112" i="13" s="1"/>
  <c r="AA1112" i="13" l="1"/>
  <c r="AB1109" i="13"/>
  <c r="K1112" i="13"/>
  <c r="P1112" i="13" s="1"/>
  <c r="R1112" i="13" s="1"/>
  <c r="Q1112" i="13" l="1"/>
  <c r="J1112" i="13" s="1"/>
  <c r="L1112" i="13" s="1"/>
  <c r="N1112" i="13" l="1"/>
  <c r="M1112" i="13"/>
  <c r="T1112" i="13" s="1"/>
  <c r="I1113" i="13" l="1"/>
  <c r="O1113" i="13" s="1"/>
  <c r="AA1113" i="13" l="1"/>
  <c r="AB1110" i="13"/>
  <c r="K1113" i="13"/>
  <c r="P1113" i="13" s="1"/>
  <c r="Q1113" i="13" s="1"/>
  <c r="J1113" i="13" s="1"/>
  <c r="M1113" i="13" s="1"/>
  <c r="T1113" i="13" s="1"/>
  <c r="N1113" i="13" l="1"/>
  <c r="R1113" i="13"/>
  <c r="L1113" i="13"/>
  <c r="I1114" i="13" l="1"/>
  <c r="O1114" i="13" s="1"/>
  <c r="AA1114" i="13" l="1"/>
  <c r="AB1111" i="13"/>
  <c r="K1114" i="13"/>
  <c r="P1114" i="13" s="1"/>
  <c r="Q1114" i="13" s="1"/>
  <c r="J1114" i="13" s="1"/>
  <c r="L1114" i="13" s="1"/>
  <c r="R1114" i="13" l="1"/>
  <c r="N1114" i="13"/>
  <c r="M1114" i="13"/>
  <c r="T1114" i="13" s="1"/>
  <c r="I1115" i="13" l="1"/>
  <c r="O1115" i="13" s="1"/>
  <c r="AA1115" i="13" l="1"/>
  <c r="AB1112" i="13"/>
  <c r="K1115" i="13"/>
  <c r="P1115" i="13" s="1"/>
  <c r="Q1115" i="13" s="1"/>
  <c r="J1115" i="13" s="1"/>
  <c r="R1115" i="13" l="1"/>
  <c r="L1115" i="13"/>
  <c r="M1115" i="13"/>
  <c r="T1115" i="13" s="1"/>
  <c r="N1115" i="13"/>
  <c r="I1116" i="13" l="1"/>
  <c r="O1116" i="13" s="1"/>
  <c r="AA1116" i="13" l="1"/>
  <c r="AB1113" i="13"/>
  <c r="K1116" i="13"/>
  <c r="P1116" i="13" l="1"/>
  <c r="R1116" i="13" l="1"/>
  <c r="Q1116" i="13"/>
  <c r="J1116" i="13" s="1"/>
  <c r="M1116" i="13" l="1"/>
  <c r="T1116" i="13" s="1"/>
  <c r="N1116" i="13"/>
  <c r="L1116" i="13"/>
  <c r="I1117" i="13" l="1"/>
  <c r="O1117" i="13" s="1"/>
  <c r="K1117" i="13" l="1"/>
  <c r="P1117" i="13" s="1"/>
  <c r="AA1117" i="13"/>
  <c r="AB1114" i="13"/>
  <c r="R1117" i="13" l="1"/>
  <c r="Q1117" i="13"/>
  <c r="J1117" i="13" s="1"/>
  <c r="M1117" i="13" l="1"/>
  <c r="T1117" i="13" s="1"/>
  <c r="N1117" i="13"/>
  <c r="L1117" i="13"/>
  <c r="I1118" i="13" l="1"/>
  <c r="O1118" i="13" s="1"/>
  <c r="AA1118" i="13" l="1"/>
  <c r="AB1115" i="13"/>
  <c r="K1118" i="13"/>
  <c r="P1118" i="13" s="1"/>
  <c r="R1118" i="13" s="1"/>
  <c r="Q1118" i="13" l="1"/>
  <c r="J1118" i="13" s="1"/>
  <c r="M1118" i="13" s="1"/>
  <c r="T1118" i="13" s="1"/>
  <c r="N1118" i="13" l="1"/>
  <c r="L1118" i="13"/>
  <c r="I1119" i="13" l="1"/>
  <c r="O1119" i="13" s="1"/>
  <c r="AA1119" i="13" l="1"/>
  <c r="AB1116" i="13"/>
  <c r="K1119" i="13"/>
  <c r="P1119" i="13" s="1"/>
  <c r="Q1119" i="13" l="1"/>
  <c r="J1119" i="13" s="1"/>
  <c r="R1119" i="13"/>
  <c r="M1119" i="13" l="1"/>
  <c r="T1119" i="13" s="1"/>
  <c r="N1119" i="13"/>
  <c r="L1119" i="13"/>
  <c r="I1120" i="13" l="1"/>
  <c r="O1120" i="13" s="1"/>
  <c r="AA1120" i="13" l="1"/>
  <c r="AB1117" i="13"/>
  <c r="K1120" i="13"/>
  <c r="P1120" i="13" s="1"/>
  <c r="R1120" i="13" l="1"/>
  <c r="Q1120" i="13"/>
  <c r="J1120" i="13" s="1"/>
  <c r="M1120" i="13" l="1"/>
  <c r="T1120" i="13" s="1"/>
  <c r="N1120" i="13"/>
  <c r="L1120" i="13"/>
  <c r="I1121" i="13" l="1"/>
  <c r="O1121" i="13" s="1"/>
  <c r="AA1121" i="13" l="1"/>
  <c r="AB1118" i="13"/>
  <c r="K1121" i="13"/>
  <c r="P1121" i="13" s="1"/>
  <c r="R1121" i="13" l="1"/>
  <c r="Q1121" i="13"/>
  <c r="J1121" i="13" s="1"/>
  <c r="M1121" i="13" l="1"/>
  <c r="T1121" i="13" s="1"/>
  <c r="N1121" i="13"/>
  <c r="L1121" i="13"/>
  <c r="I1122" i="13" l="1"/>
  <c r="O1122" i="13" s="1"/>
  <c r="K1122" i="13" l="1"/>
  <c r="P1122" i="13" s="1"/>
  <c r="AA1122" i="13"/>
  <c r="AB1119" i="13"/>
  <c r="R1122" i="13" l="1"/>
  <c r="Q1122" i="13"/>
  <c r="J1122" i="13" s="1"/>
  <c r="M1122" i="13" l="1"/>
  <c r="T1122" i="13" s="1"/>
  <c r="N1122" i="13"/>
  <c r="L1122" i="13"/>
  <c r="I1123" i="13" l="1"/>
  <c r="O1123" i="13" s="1"/>
  <c r="AA1123" i="13" l="1"/>
  <c r="AB1120" i="13"/>
  <c r="K1123" i="13"/>
  <c r="P1123" i="13" s="1"/>
  <c r="Q1123" i="13" s="1"/>
  <c r="J1123" i="13" s="1"/>
  <c r="R1123" i="13" l="1"/>
  <c r="L1123" i="13"/>
  <c r="M1123" i="13"/>
  <c r="T1123" i="13" s="1"/>
  <c r="N1123" i="13"/>
  <c r="I1124" i="13" l="1"/>
  <c r="O1124" i="13" s="1"/>
  <c r="AA1124" i="13" l="1"/>
  <c r="AB1121" i="13"/>
  <c r="K1124" i="13"/>
  <c r="P1124" i="13" s="1"/>
  <c r="R1124" i="13" l="1"/>
  <c r="Q1124" i="13"/>
  <c r="J1124" i="13" s="1"/>
  <c r="L1124" i="13" l="1"/>
  <c r="M1124" i="13"/>
  <c r="T1124" i="13" s="1"/>
  <c r="N1124" i="13"/>
  <c r="I1125" i="13" l="1"/>
  <c r="O1125" i="13" s="1"/>
  <c r="AA1125" i="13" l="1"/>
  <c r="AB1122" i="13"/>
  <c r="K1125" i="13"/>
  <c r="P1125" i="13" s="1"/>
  <c r="Q1125" i="13" l="1"/>
  <c r="J1125" i="13" s="1"/>
  <c r="R1125" i="13"/>
  <c r="L1125" i="13" l="1"/>
  <c r="M1125" i="13"/>
  <c r="T1125" i="13" s="1"/>
  <c r="N1125" i="13"/>
  <c r="I1126" i="13" l="1"/>
  <c r="O1126" i="13" s="1"/>
  <c r="AA1126" i="13" l="1"/>
  <c r="AB1123" i="13"/>
  <c r="K1126" i="13"/>
  <c r="P1126" i="13" l="1"/>
  <c r="Q1126" i="13" l="1"/>
  <c r="J1126" i="13" s="1"/>
  <c r="R1126" i="13"/>
  <c r="M1126" i="13" l="1"/>
  <c r="T1126" i="13" s="1"/>
  <c r="N1126" i="13"/>
  <c r="L1126" i="13"/>
  <c r="I1127" i="13" l="1"/>
  <c r="O1127" i="13" s="1"/>
  <c r="AA1127" i="13" l="1"/>
  <c r="AB1124" i="13"/>
  <c r="K1127" i="13"/>
  <c r="P1127" i="13" s="1"/>
  <c r="R1127" i="13" l="1"/>
  <c r="Q1127" i="13"/>
  <c r="J1127" i="13" s="1"/>
  <c r="N1127" i="13" l="1"/>
  <c r="M1127" i="13"/>
  <c r="T1127" i="13" s="1"/>
  <c r="L1127" i="13"/>
  <c r="I1128" i="13" l="1"/>
  <c r="O1128" i="13" s="1"/>
  <c r="AA1128" i="13" l="1"/>
  <c r="AB1125" i="13"/>
  <c r="K1128" i="13"/>
  <c r="P1128" i="13" l="1"/>
  <c r="Q1128" i="13" l="1"/>
  <c r="J1128" i="13" s="1"/>
  <c r="R1128" i="13"/>
  <c r="N1128" i="13" l="1"/>
  <c r="M1128" i="13"/>
  <c r="T1128" i="13" s="1"/>
  <c r="L1128" i="13"/>
  <c r="I1129" i="13" l="1"/>
  <c r="O1129" i="13" s="1"/>
  <c r="K1129" i="13" l="1"/>
  <c r="P1129" i="13" s="1"/>
  <c r="AA1129" i="13"/>
  <c r="AB1126" i="13"/>
  <c r="Q1129" i="13" l="1"/>
  <c r="J1129" i="13" s="1"/>
  <c r="R1129" i="13"/>
  <c r="N1129" i="13" l="1"/>
  <c r="M1129" i="13"/>
  <c r="T1129" i="13" s="1"/>
  <c r="L1129" i="13"/>
  <c r="I1130" i="13" l="1"/>
  <c r="O1130" i="13" s="1"/>
  <c r="AA1130" i="13" l="1"/>
  <c r="AB1127" i="13"/>
  <c r="K1130" i="13"/>
  <c r="P1130" i="13" s="1"/>
  <c r="R1130" i="13" l="1"/>
  <c r="Q1130" i="13"/>
  <c r="J1130" i="13" s="1"/>
  <c r="N1130" i="13" l="1"/>
  <c r="M1130" i="13"/>
  <c r="T1130" i="13" s="1"/>
  <c r="L1130" i="13"/>
  <c r="I1131" i="13" l="1"/>
  <c r="O1131" i="13" s="1"/>
  <c r="AA1131" i="13" l="1"/>
  <c r="AB1128" i="13"/>
  <c r="K1131" i="13"/>
  <c r="P1131" i="13" s="1"/>
  <c r="Q1131" i="13" l="1"/>
  <c r="J1131" i="13" s="1"/>
  <c r="R1131" i="13"/>
  <c r="N1131" i="13" l="1"/>
  <c r="M1131" i="13"/>
  <c r="T1131" i="13" s="1"/>
  <c r="L1131" i="13"/>
  <c r="I1132" i="13" l="1"/>
  <c r="O1132" i="13" s="1"/>
  <c r="AA1132" i="13" l="1"/>
  <c r="AB1129" i="13"/>
  <c r="K1132" i="13"/>
  <c r="P1132" i="13" s="1"/>
  <c r="R1132" i="13" s="1"/>
  <c r="Q1132" i="13" l="1"/>
  <c r="J1132" i="13" s="1"/>
  <c r="L1132" i="13" s="1"/>
  <c r="M1132" i="13" l="1"/>
  <c r="T1132" i="13" s="1"/>
  <c r="N1132" i="13"/>
  <c r="I1133" i="13" l="1"/>
  <c r="O1133" i="13" s="1"/>
  <c r="AA1133" i="13" l="1"/>
  <c r="AB1130" i="13"/>
  <c r="K1133" i="13"/>
  <c r="P1133" i="13" s="1"/>
  <c r="R1133" i="13" s="1"/>
  <c r="Q1133" i="13" l="1"/>
  <c r="J1133" i="13" s="1"/>
  <c r="L1133" i="13" l="1"/>
  <c r="M1133" i="13"/>
  <c r="T1133" i="13" s="1"/>
  <c r="N1133" i="13"/>
  <c r="I1134" i="13" l="1"/>
  <c r="O1134" i="13" s="1"/>
  <c r="K1134" i="13" l="1"/>
  <c r="P1134" i="13" s="1"/>
  <c r="R1134" i="13" s="1"/>
  <c r="AA1134" i="13"/>
  <c r="AB1131" i="13"/>
  <c r="Q1134" i="13" l="1"/>
  <c r="J1134" i="13" s="1"/>
  <c r="M1134" i="13" s="1"/>
  <c r="T1134" i="13" s="1"/>
  <c r="N1134" i="13" l="1"/>
  <c r="L1134" i="13"/>
  <c r="I1135" i="13" l="1"/>
  <c r="O1135" i="13" s="1"/>
  <c r="AA1135" i="13" s="1"/>
  <c r="AB1132" i="13" l="1"/>
  <c r="K1135" i="13"/>
  <c r="P1135" i="13" s="1"/>
  <c r="Q1135" i="13" s="1"/>
  <c r="J1135" i="13" s="1"/>
  <c r="M1135" i="13" s="1"/>
  <c r="T1135" i="13" s="1"/>
  <c r="L1135" i="13" l="1"/>
  <c r="N1135" i="13"/>
  <c r="R1135" i="13"/>
  <c r="I1136" i="13" l="1"/>
  <c r="O1136" i="13" s="1"/>
  <c r="AA1136" i="13" s="1"/>
  <c r="K1136" i="13" l="1"/>
  <c r="P1136" i="13" s="1"/>
  <c r="R1136" i="13" s="1"/>
  <c r="AB1133" i="13"/>
  <c r="Q1136" i="13" l="1"/>
  <c r="J1136" i="13" s="1"/>
  <c r="N1136" i="13" s="1"/>
  <c r="L1136" i="13" l="1"/>
  <c r="M1136" i="13"/>
  <c r="T1136" i="13" s="1"/>
  <c r="I1137" i="13" l="1"/>
  <c r="O1137" i="13" s="1"/>
  <c r="AA1137" i="13" s="1"/>
  <c r="K1137" i="13" l="1"/>
  <c r="P1137" i="13" s="1"/>
  <c r="R1137" i="13" s="1"/>
  <c r="AB1134" i="13"/>
  <c r="Q1137" i="13" l="1"/>
  <c r="J1137" i="13" s="1"/>
  <c r="N1137" i="13" s="1"/>
  <c r="L1137" i="13" l="1"/>
  <c r="M1137" i="13"/>
  <c r="T1137" i="13" s="1"/>
  <c r="I1138" i="13" l="1"/>
  <c r="O1138" i="13" s="1"/>
  <c r="AA1138" i="13" s="1"/>
  <c r="AB1135" i="13" l="1"/>
  <c r="K1138" i="13"/>
  <c r="P1138" i="13" s="1"/>
  <c r="Q1138" i="13" s="1"/>
  <c r="J1138" i="13" s="1"/>
  <c r="R1138" i="13" l="1"/>
  <c r="N1138" i="13"/>
  <c r="M1138" i="13"/>
  <c r="T1138" i="13" s="1"/>
  <c r="L1138" i="13"/>
  <c r="I1139" i="13" l="1"/>
  <c r="O1139" i="13" s="1"/>
  <c r="AA1139" i="13" l="1"/>
  <c r="AB1136" i="13"/>
  <c r="K1139" i="13"/>
  <c r="P1139" i="13" s="1"/>
  <c r="R1139" i="13" l="1"/>
  <c r="Q1139" i="13"/>
  <c r="J1139" i="13" s="1"/>
  <c r="L1139" i="13" l="1"/>
  <c r="M1139" i="13"/>
  <c r="T1139" i="13" s="1"/>
  <c r="N1139" i="13"/>
  <c r="I1140" i="13" l="1"/>
  <c r="O1140" i="13" s="1"/>
  <c r="AA1140" i="13" l="1"/>
  <c r="AB1137" i="13"/>
  <c r="K1140" i="13"/>
  <c r="P1140" i="13" l="1"/>
  <c r="R1140" i="13" l="1"/>
  <c r="Q1140" i="13"/>
  <c r="J1140" i="13" s="1"/>
  <c r="N1140" i="13" l="1"/>
  <c r="M1140" i="13"/>
  <c r="T1140" i="13" s="1"/>
  <c r="L1140" i="13"/>
  <c r="I1141" i="13" l="1"/>
  <c r="O1141" i="13" s="1"/>
  <c r="AA1141" i="13" l="1"/>
  <c r="AB1138" i="13"/>
  <c r="K1141" i="13"/>
  <c r="P1141" i="13" s="1"/>
  <c r="R1141" i="13" l="1"/>
  <c r="Q1141" i="13"/>
  <c r="J1141" i="13" s="1"/>
  <c r="N1141" i="13" l="1"/>
  <c r="M1141" i="13"/>
  <c r="T1141" i="13" s="1"/>
  <c r="L1141" i="13"/>
  <c r="I1142" i="13" l="1"/>
  <c r="O1142" i="13" s="1"/>
  <c r="AA1142" i="13" l="1"/>
  <c r="AB1139" i="13"/>
  <c r="K1142" i="13"/>
  <c r="P1142" i="13" l="1"/>
  <c r="Q1142" i="13" l="1"/>
  <c r="J1142" i="13" s="1"/>
  <c r="R1142" i="13"/>
  <c r="M1142" i="13" l="1"/>
  <c r="T1142" i="13" s="1"/>
  <c r="N1142" i="13"/>
  <c r="L1142" i="13"/>
  <c r="I1143" i="13" l="1"/>
  <c r="O1143" i="13" s="1"/>
  <c r="AA1143" i="13" l="1"/>
  <c r="AB1140" i="13"/>
  <c r="K1143" i="13"/>
  <c r="P1143" i="13" s="1"/>
  <c r="Q1143" i="13" l="1"/>
  <c r="J1143" i="13" s="1"/>
  <c r="R1143" i="13"/>
  <c r="N1143" i="13" l="1"/>
  <c r="M1143" i="13"/>
  <c r="T1143" i="13" s="1"/>
  <c r="L1143" i="13"/>
  <c r="I1144" i="13" l="1"/>
  <c r="O1144" i="13" s="1"/>
  <c r="AA1144" i="13" l="1"/>
  <c r="AB1141" i="13"/>
  <c r="K1144" i="13"/>
  <c r="P1144" i="13" s="1"/>
  <c r="R1144" i="13" l="1"/>
  <c r="Q1144" i="13"/>
  <c r="J1144" i="13" s="1"/>
  <c r="N1144" i="13" l="1"/>
  <c r="M1144" i="13"/>
  <c r="T1144" i="13" s="1"/>
  <c r="L1144" i="13"/>
  <c r="I1145" i="13" l="1"/>
  <c r="O1145" i="13" s="1"/>
  <c r="AA1145" i="13" l="1"/>
  <c r="AB1142" i="13"/>
  <c r="K1145" i="13"/>
  <c r="P1145" i="13" s="1"/>
  <c r="R1145" i="13" l="1"/>
  <c r="Q1145" i="13"/>
  <c r="J1145" i="13" s="1"/>
  <c r="N1145" i="13" l="1"/>
  <c r="M1145" i="13"/>
  <c r="T1145" i="13" s="1"/>
  <c r="L1145" i="13"/>
  <c r="I1146" i="13" l="1"/>
  <c r="O1146" i="13" s="1"/>
  <c r="AA1146" i="13" l="1"/>
  <c r="AB1143" i="13"/>
  <c r="K1146" i="13"/>
  <c r="P1146" i="13" s="1"/>
  <c r="R1146" i="13" l="1"/>
  <c r="Q1146" i="13"/>
  <c r="J1146" i="13" s="1"/>
  <c r="N1146" i="13" l="1"/>
  <c r="M1146" i="13"/>
  <c r="T1146" i="13" s="1"/>
  <c r="L1146" i="13"/>
  <c r="I1147" i="13" l="1"/>
  <c r="O1147" i="13" s="1"/>
  <c r="AA1147" i="13" l="1"/>
  <c r="AB1144" i="13"/>
  <c r="K1147" i="13"/>
  <c r="P1147" i="13" s="1"/>
  <c r="Q1147" i="13" l="1"/>
  <c r="J1147" i="13" s="1"/>
  <c r="R1147" i="13"/>
  <c r="N1147" i="13" l="1"/>
  <c r="M1147" i="13"/>
  <c r="T1147" i="13" s="1"/>
  <c r="L1147" i="13"/>
  <c r="I1148" i="13" l="1"/>
  <c r="O1148" i="13" s="1"/>
  <c r="AA1148" i="13" l="1"/>
  <c r="AB1145" i="13"/>
  <c r="K1148" i="13"/>
  <c r="P1148" i="13" s="1"/>
  <c r="Q1148" i="13" s="1"/>
  <c r="J1148" i="13" s="1"/>
  <c r="L1148" i="13" s="1"/>
  <c r="R1148" i="13" l="1"/>
  <c r="N1148" i="13"/>
  <c r="M1148" i="13"/>
  <c r="I1149" i="13" l="1"/>
  <c r="O1149" i="13" s="1"/>
  <c r="AA1149" i="13" s="1"/>
  <c r="T1148" i="13"/>
  <c r="AB1146" i="13" l="1"/>
  <c r="K1149" i="13"/>
  <c r="P1149" i="13" s="1"/>
  <c r="Q1149" i="13" s="1"/>
  <c r="J1149" i="13" s="1"/>
  <c r="R1149" i="13" l="1"/>
  <c r="L1149" i="13"/>
  <c r="M1149" i="13"/>
  <c r="T1149" i="13" s="1"/>
  <c r="N1149" i="13"/>
  <c r="I1150" i="13" l="1"/>
  <c r="O1150" i="13" s="1"/>
  <c r="AA1150" i="13" l="1"/>
  <c r="AB1147" i="13"/>
  <c r="K1150" i="13"/>
  <c r="P1150" i="13" s="1"/>
  <c r="Q1150" i="13" l="1"/>
  <c r="J1150" i="13" s="1"/>
  <c r="R1150" i="13"/>
  <c r="L1150" i="13" l="1"/>
  <c r="M1150" i="13"/>
  <c r="T1150" i="13" s="1"/>
  <c r="N1150" i="13"/>
  <c r="I1151" i="13" l="1"/>
  <c r="O1151" i="13" s="1"/>
  <c r="AA1151" i="13" l="1"/>
  <c r="AB1148" i="13"/>
  <c r="K1151" i="13"/>
  <c r="P1151" i="13" l="1"/>
  <c r="Q1151" i="13" l="1"/>
  <c r="J1151" i="13" s="1"/>
  <c r="R1151" i="13"/>
  <c r="N1151" i="13" l="1"/>
  <c r="M1151" i="13"/>
  <c r="T1151" i="13" s="1"/>
  <c r="L1151" i="13"/>
  <c r="I1152" i="13" l="1"/>
  <c r="O1152" i="13" s="1"/>
  <c r="AA1152" i="13" l="1"/>
  <c r="AB1149" i="13"/>
  <c r="K1152" i="13"/>
  <c r="P1152" i="13" s="1"/>
  <c r="R1152" i="13" s="1"/>
  <c r="Q1152" i="13" l="1"/>
  <c r="J1152" i="13" s="1"/>
  <c r="L1152" i="13" s="1"/>
  <c r="N1152" i="13" l="1"/>
  <c r="M1152" i="13"/>
  <c r="T1152" i="13" s="1"/>
  <c r="I1153" i="13" l="1"/>
  <c r="O1153" i="13" s="1"/>
  <c r="AA1153" i="13" l="1"/>
  <c r="AB1150" i="13"/>
  <c r="K1153" i="13"/>
  <c r="P1153" i="13" s="1"/>
  <c r="R1153" i="13" s="1"/>
  <c r="Q1153" i="13" l="1"/>
  <c r="J1153" i="13" s="1"/>
  <c r="N1153" i="13" s="1"/>
  <c r="L1153" i="13" l="1"/>
  <c r="M1153" i="13"/>
  <c r="T1153" i="13" s="1"/>
  <c r="I1154" i="13" l="1"/>
  <c r="O1154" i="13" s="1"/>
  <c r="AA1154" i="13" l="1"/>
  <c r="AB1151" i="13"/>
  <c r="K1154" i="13"/>
  <c r="P1154" i="13" s="1"/>
  <c r="Q1154" i="13" s="1"/>
  <c r="J1154" i="13" s="1"/>
  <c r="R1154" i="13" l="1"/>
  <c r="M1154" i="13"/>
  <c r="T1154" i="13" s="1"/>
  <c r="N1154" i="13"/>
  <c r="L1154" i="13"/>
  <c r="I1155" i="13" l="1"/>
  <c r="O1155" i="13" s="1"/>
  <c r="AA1155" i="13" l="1"/>
  <c r="AB1152" i="13"/>
  <c r="K1155" i="13"/>
  <c r="P1155" i="13" s="1"/>
  <c r="Q1155" i="13" l="1"/>
  <c r="J1155" i="13" s="1"/>
  <c r="R1155" i="13"/>
  <c r="M1155" i="13" l="1"/>
  <c r="T1155" i="13" s="1"/>
  <c r="N1155" i="13"/>
  <c r="L1155" i="13"/>
  <c r="I1156" i="13" l="1"/>
  <c r="O1156" i="13" s="1"/>
  <c r="AA1156" i="13" l="1"/>
  <c r="AB1153" i="13"/>
  <c r="K1156" i="13"/>
  <c r="P1156" i="13" s="1"/>
  <c r="R1156" i="13" l="1"/>
  <c r="Q1156" i="13"/>
  <c r="J1156" i="13" s="1"/>
  <c r="N1156" i="13" l="1"/>
  <c r="M1156" i="13"/>
  <c r="T1156" i="13" s="1"/>
  <c r="L1156" i="13"/>
  <c r="I1157" i="13" l="1"/>
  <c r="O1157" i="13" s="1"/>
  <c r="AA1157" i="13" l="1"/>
  <c r="AB1154" i="13"/>
  <c r="K1157" i="13"/>
  <c r="P1157" i="13" l="1"/>
  <c r="R1157" i="13" l="1"/>
  <c r="Q1157" i="13"/>
  <c r="J1157" i="13" s="1"/>
  <c r="N1157" i="13" l="1"/>
  <c r="M1157" i="13"/>
  <c r="T1157" i="13" s="1"/>
  <c r="L1157" i="13"/>
  <c r="I1158" i="13" l="1"/>
  <c r="O1158" i="13" s="1"/>
  <c r="AA1158" i="13" l="1"/>
  <c r="AB1155" i="13"/>
  <c r="K1158" i="13"/>
  <c r="P1158" i="13" s="1"/>
  <c r="R1158" i="13" s="1"/>
  <c r="Q1158" i="13" l="1"/>
  <c r="J1158" i="13" s="1"/>
  <c r="L1158" i="13" s="1"/>
  <c r="M1158" i="13" l="1"/>
  <c r="T1158" i="13" s="1"/>
  <c r="N1158" i="13"/>
  <c r="I1159" i="13" l="1"/>
  <c r="O1159" i="13" s="1"/>
  <c r="AA1159" i="13" l="1"/>
  <c r="AB1156" i="13"/>
  <c r="K1159" i="13"/>
  <c r="P1159" i="13" s="1"/>
  <c r="Q1159" i="13" s="1"/>
  <c r="J1159" i="13" s="1"/>
  <c r="R1159" i="13" l="1"/>
  <c r="N1159" i="13"/>
  <c r="M1159" i="13"/>
  <c r="T1159" i="13" s="1"/>
  <c r="L1159" i="13"/>
  <c r="I1160" i="13" l="1"/>
  <c r="O1160" i="13" s="1"/>
  <c r="AA1160" i="13" l="1"/>
  <c r="AB1157" i="13"/>
  <c r="K1160" i="13"/>
  <c r="P1160" i="13" l="1"/>
  <c r="R1160" i="13" l="1"/>
  <c r="Q1160" i="13"/>
  <c r="J1160" i="13" s="1"/>
  <c r="N1160" i="13" l="1"/>
  <c r="M1160" i="13"/>
  <c r="T1160" i="13" s="1"/>
  <c r="L1160" i="13"/>
  <c r="I1161" i="13" l="1"/>
  <c r="O1161" i="13" s="1"/>
  <c r="AA1161" i="13" l="1"/>
  <c r="AB1158" i="13"/>
  <c r="K1161" i="13"/>
  <c r="P1161" i="13" s="1"/>
  <c r="Q1161" i="13" l="1"/>
  <c r="J1161" i="13" s="1"/>
  <c r="R1161" i="13"/>
  <c r="M1161" i="13" l="1"/>
  <c r="T1161" i="13" s="1"/>
  <c r="N1161" i="13"/>
  <c r="L1161" i="13"/>
  <c r="I1162" i="13" l="1"/>
  <c r="O1162" i="13" s="1"/>
  <c r="AA1162" i="13" l="1"/>
  <c r="AB1159" i="13"/>
  <c r="K1162" i="13"/>
  <c r="P1162" i="13" s="1"/>
  <c r="Q1162" i="13" l="1"/>
  <c r="J1162" i="13" s="1"/>
  <c r="R1162" i="13"/>
  <c r="M1162" i="13" l="1"/>
  <c r="T1162" i="13" s="1"/>
  <c r="N1162" i="13"/>
  <c r="L1162" i="13"/>
  <c r="I1163" i="13" l="1"/>
  <c r="O1163" i="13" s="1"/>
  <c r="AA1163" i="13" l="1"/>
  <c r="AB1160" i="13"/>
  <c r="K1163" i="13"/>
  <c r="P1163" i="13" s="1"/>
  <c r="Q1163" i="13" l="1"/>
  <c r="J1163" i="13" s="1"/>
  <c r="R1163" i="13"/>
  <c r="M1163" i="13" l="1"/>
  <c r="T1163" i="13" s="1"/>
  <c r="N1163" i="13"/>
  <c r="L1163" i="13"/>
  <c r="I1164" i="13" l="1"/>
  <c r="O1164" i="13" s="1"/>
  <c r="AA1164" i="13" l="1"/>
  <c r="AB1161" i="13"/>
  <c r="K1164" i="13"/>
  <c r="P1164" i="13" s="1"/>
  <c r="R1164" i="13" l="1"/>
  <c r="Q1164" i="13"/>
  <c r="J1164" i="13" s="1"/>
  <c r="M1164" i="13" l="1"/>
  <c r="T1164" i="13" s="1"/>
  <c r="N1164" i="13"/>
  <c r="L1164" i="13"/>
  <c r="I1165" i="13" l="1"/>
  <c r="O1165" i="13" s="1"/>
  <c r="AA1165" i="13" l="1"/>
  <c r="AB1162" i="13"/>
  <c r="K1165" i="13"/>
  <c r="P1165" i="13" s="1"/>
  <c r="R1165" i="13" l="1"/>
  <c r="Q1165" i="13"/>
  <c r="J1165" i="13" s="1"/>
  <c r="M1165" i="13" l="1"/>
  <c r="T1165" i="13" s="1"/>
  <c r="N1165" i="13"/>
  <c r="L1165" i="13"/>
  <c r="I1166" i="13" l="1"/>
  <c r="O1166" i="13" s="1"/>
  <c r="AA1166" i="13" l="1"/>
  <c r="AB1163" i="13"/>
  <c r="K1166" i="13"/>
  <c r="P1166" i="13" s="1"/>
  <c r="Q1166" i="13" l="1"/>
  <c r="J1166" i="13" s="1"/>
  <c r="R1166" i="13"/>
  <c r="M1166" i="13" l="1"/>
  <c r="T1166" i="13" s="1"/>
  <c r="N1166" i="13"/>
  <c r="L1166" i="13"/>
  <c r="I1167" i="13" l="1"/>
  <c r="O1167" i="13" s="1"/>
  <c r="AA1167" i="13" l="1"/>
  <c r="AB1164" i="13"/>
  <c r="K1167" i="13"/>
  <c r="P1167" i="13" s="1"/>
  <c r="Q1167" i="13" l="1"/>
  <c r="J1167" i="13" s="1"/>
  <c r="R1167" i="13"/>
  <c r="N1167" i="13" l="1"/>
  <c r="M1167" i="13"/>
  <c r="T1167" i="13" s="1"/>
  <c r="L1167" i="13"/>
  <c r="I1168" i="13" l="1"/>
  <c r="O1168" i="13" s="1"/>
  <c r="AA1168" i="13" l="1"/>
  <c r="AB1165" i="13"/>
  <c r="K1168" i="13"/>
  <c r="P1168" i="13" s="1"/>
  <c r="R1168" i="13" l="1"/>
  <c r="Q1168" i="13"/>
  <c r="J1168" i="13" s="1"/>
  <c r="N1168" i="13" l="1"/>
  <c r="M1168" i="13"/>
  <c r="T1168" i="13" s="1"/>
  <c r="L1168" i="13"/>
  <c r="I1169" i="13" l="1"/>
  <c r="O1169" i="13" s="1"/>
  <c r="AA1169" i="13" l="1"/>
  <c r="AB1166" i="13"/>
  <c r="K1169" i="13"/>
  <c r="P1169" i="13" s="1"/>
  <c r="R1169" i="13" l="1"/>
  <c r="Q1169" i="13"/>
  <c r="J1169" i="13" s="1"/>
  <c r="N1169" i="13" l="1"/>
  <c r="M1169" i="13"/>
  <c r="T1169" i="13" s="1"/>
  <c r="L1169" i="13"/>
  <c r="I1170" i="13" l="1"/>
  <c r="O1170" i="13" s="1"/>
  <c r="AA1170" i="13" l="1"/>
  <c r="AB1167" i="13"/>
  <c r="K1170" i="13"/>
  <c r="P1170" i="13" s="1"/>
  <c r="R1170" i="13" s="1"/>
  <c r="Q1170" i="13" l="1"/>
  <c r="J1170" i="13" s="1"/>
  <c r="M1170" i="13" s="1"/>
  <c r="T1170" i="13" s="1"/>
  <c r="N1170" i="13" l="1"/>
  <c r="L1170" i="13"/>
  <c r="I1171" i="13" l="1"/>
  <c r="O1171" i="13" s="1"/>
  <c r="AA1171" i="13" l="1"/>
  <c r="AB1168" i="13"/>
  <c r="K1171" i="13"/>
  <c r="P1171" i="13" s="1"/>
  <c r="Q1171" i="13" s="1"/>
  <c r="J1171" i="13" s="1"/>
  <c r="R1171" i="13" l="1"/>
  <c r="M1171" i="13"/>
  <c r="T1171" i="13" s="1"/>
  <c r="N1171" i="13"/>
  <c r="L1171" i="13"/>
  <c r="I1172" i="13" l="1"/>
  <c r="O1172" i="13" s="1"/>
  <c r="AA1172" i="13" l="1"/>
  <c r="AB1169" i="13"/>
  <c r="K1172" i="13"/>
  <c r="P1172" i="13" s="1"/>
  <c r="R1172" i="13" l="1"/>
  <c r="Q1172" i="13"/>
  <c r="J1172" i="13" s="1"/>
  <c r="M1172" i="13" l="1"/>
  <c r="T1172" i="13" s="1"/>
  <c r="N1172" i="13"/>
  <c r="L1172" i="13"/>
  <c r="I1173" i="13" l="1"/>
  <c r="O1173" i="13" s="1"/>
  <c r="AA1173" i="13" l="1"/>
  <c r="AB1170" i="13"/>
  <c r="K1173" i="13"/>
  <c r="P1173" i="13" s="1"/>
  <c r="Q1173" i="13" l="1"/>
  <c r="J1173" i="13" s="1"/>
  <c r="R1173" i="13"/>
  <c r="M1173" i="13" l="1"/>
  <c r="T1173" i="13" s="1"/>
  <c r="N1173" i="13"/>
  <c r="L1173" i="13"/>
  <c r="I1174" i="13" l="1"/>
  <c r="O1174" i="13" s="1"/>
  <c r="K1174" i="13" l="1"/>
  <c r="P1174" i="13" s="1"/>
  <c r="AA1174" i="13"/>
  <c r="AB1171" i="13"/>
  <c r="Q1174" i="13" l="1"/>
  <c r="J1174" i="13" s="1"/>
  <c r="R1174" i="13"/>
  <c r="M1174" i="13" l="1"/>
  <c r="T1174" i="13" s="1"/>
  <c r="N1174" i="13"/>
  <c r="L1174" i="13"/>
  <c r="I1175" i="13" l="1"/>
  <c r="O1175" i="13" s="1"/>
  <c r="AA1175" i="13" l="1"/>
  <c r="AB1172" i="13"/>
  <c r="K1175" i="13"/>
  <c r="P1175" i="13" s="1"/>
  <c r="Q1175" i="13" l="1"/>
  <c r="J1175" i="13" s="1"/>
  <c r="R1175" i="13"/>
  <c r="M1175" i="13" l="1"/>
  <c r="T1175" i="13" s="1"/>
  <c r="N1175" i="13"/>
  <c r="L1175" i="13"/>
  <c r="I1176" i="13" l="1"/>
  <c r="O1176" i="13" s="1"/>
  <c r="AA1176" i="13" l="1"/>
  <c r="AB1173" i="13"/>
  <c r="K1176" i="13"/>
  <c r="P1176" i="13" s="1"/>
  <c r="Q1176" i="13" l="1"/>
  <c r="J1176" i="13" s="1"/>
  <c r="R1176" i="13"/>
  <c r="M1176" i="13" l="1"/>
  <c r="T1176" i="13" s="1"/>
  <c r="N1176" i="13"/>
  <c r="L1176" i="13"/>
  <c r="I1177" i="13" l="1"/>
  <c r="O1177" i="13" s="1"/>
  <c r="AA1177" i="13" l="1"/>
  <c r="AB1174" i="13"/>
  <c r="K1177" i="13"/>
  <c r="P1177" i="13" s="1"/>
  <c r="R1177" i="13" l="1"/>
  <c r="Q1177" i="13"/>
  <c r="J1177" i="13" s="1"/>
  <c r="M1177" i="13" l="1"/>
  <c r="T1177" i="13" s="1"/>
  <c r="N1177" i="13"/>
  <c r="L1177" i="13"/>
  <c r="I1178" i="13" l="1"/>
  <c r="O1178" i="13" s="1"/>
  <c r="AA1178" i="13" l="1"/>
  <c r="AB1175" i="13"/>
  <c r="K1178" i="13"/>
  <c r="P1178" i="13" s="1"/>
  <c r="Q1178" i="13" l="1"/>
  <c r="J1178" i="13" s="1"/>
  <c r="R1178" i="13"/>
  <c r="M1178" i="13" l="1"/>
  <c r="T1178" i="13" s="1"/>
  <c r="N1178" i="13"/>
  <c r="L1178" i="13"/>
  <c r="I1179" i="13" l="1"/>
  <c r="O1179" i="13" s="1"/>
  <c r="AA1179" i="13" l="1"/>
  <c r="AB1176" i="13"/>
  <c r="K1179" i="13"/>
  <c r="P1179" i="13" s="1"/>
  <c r="R1179" i="13" l="1"/>
  <c r="Q1179" i="13"/>
  <c r="J1179" i="13" s="1"/>
  <c r="M1179" i="13" l="1"/>
  <c r="T1179" i="13" s="1"/>
  <c r="N1179" i="13"/>
  <c r="L1179" i="13"/>
  <c r="I1180" i="13" l="1"/>
  <c r="O1180" i="13" s="1"/>
  <c r="K1180" i="13" l="1"/>
  <c r="P1180" i="13" s="1"/>
  <c r="AA1180" i="13"/>
  <c r="AB1177" i="13"/>
  <c r="R1180" i="13" l="1"/>
  <c r="Q1180" i="13"/>
  <c r="J1180" i="13" s="1"/>
  <c r="M1180" i="13" l="1"/>
  <c r="T1180" i="13" s="1"/>
  <c r="N1180" i="13"/>
  <c r="L1180" i="13"/>
  <c r="I1181" i="13" l="1"/>
  <c r="O1181" i="13" s="1"/>
  <c r="K1181" i="13" l="1"/>
  <c r="P1181" i="13" s="1"/>
  <c r="AA1181" i="13"/>
  <c r="AB1178" i="13"/>
  <c r="R1181" i="13" l="1"/>
  <c r="Q1181" i="13"/>
  <c r="J1181" i="13" s="1"/>
  <c r="M1181" i="13" l="1"/>
  <c r="T1181" i="13" s="1"/>
  <c r="N1181" i="13"/>
  <c r="L1181" i="13"/>
  <c r="I1182" i="13" l="1"/>
  <c r="O1182" i="13" s="1"/>
  <c r="AA1182" i="13" l="1"/>
  <c r="AB1179" i="13"/>
  <c r="K1182" i="13"/>
  <c r="P1182" i="13" s="1"/>
  <c r="Q1182" i="13" s="1"/>
  <c r="J1182" i="13" s="1"/>
  <c r="R1182" i="13" l="1"/>
  <c r="L1182" i="13"/>
  <c r="M1182" i="13"/>
  <c r="T1182" i="13" s="1"/>
  <c r="N1182" i="13"/>
  <c r="I1183" i="13" l="1"/>
  <c r="O1183" i="13" s="1"/>
  <c r="AA1183" i="13" l="1"/>
  <c r="AB1180" i="13"/>
  <c r="K1183" i="13"/>
  <c r="P1183" i="13" l="1"/>
  <c r="R1183" i="13" l="1"/>
  <c r="Q1183" i="13"/>
  <c r="J1183" i="13" s="1"/>
  <c r="N1183" i="13" l="1"/>
  <c r="M1183" i="13"/>
  <c r="T1183" i="13" s="1"/>
  <c r="L1183" i="13"/>
  <c r="I1184" i="13" l="1"/>
  <c r="O1184" i="13" s="1"/>
  <c r="AA1184" i="13" l="1"/>
  <c r="AB1181" i="13"/>
  <c r="K1184" i="13"/>
  <c r="P1184" i="13" s="1"/>
  <c r="Q1184" i="13" s="1"/>
  <c r="J1184" i="13" s="1"/>
  <c r="L1184" i="13" s="1"/>
  <c r="R1184" i="13" l="1"/>
  <c r="N1184" i="13"/>
  <c r="M1184" i="13"/>
  <c r="I1185" i="13" l="1"/>
  <c r="O1185" i="13" s="1"/>
  <c r="AA1185" i="13" s="1"/>
  <c r="T1184" i="13"/>
  <c r="AB1182" i="13"/>
  <c r="K1185" i="13" l="1"/>
  <c r="P1185" i="13" s="1"/>
  <c r="R1185" i="13" s="1"/>
  <c r="Q1185" i="13" l="1"/>
  <c r="J1185" i="13" s="1"/>
  <c r="L1185" i="13" s="1"/>
  <c r="M1185" i="13" l="1"/>
  <c r="T1185" i="13" s="1"/>
  <c r="N1185" i="13"/>
  <c r="I1186" i="13" l="1"/>
  <c r="O1186" i="13" s="1"/>
  <c r="AA1186" i="13" s="1"/>
  <c r="AB1183" i="13"/>
  <c r="K1186" i="13" l="1"/>
  <c r="P1186" i="13" s="1"/>
  <c r="Q1186" i="13" s="1"/>
  <c r="J1186" i="13" s="1"/>
  <c r="R1186" i="13" l="1"/>
  <c r="M1186" i="13"/>
  <c r="T1186" i="13" s="1"/>
  <c r="N1186" i="13"/>
  <c r="L1186" i="13"/>
  <c r="I1187" i="13" l="1"/>
  <c r="O1187" i="13" s="1"/>
  <c r="K1187" i="13" l="1"/>
  <c r="P1187" i="13" s="1"/>
  <c r="AA1187" i="13"/>
  <c r="AB1184" i="13"/>
  <c r="R1187" i="13" l="1"/>
  <c r="Q1187" i="13"/>
  <c r="J1187" i="13" s="1"/>
  <c r="N1187" i="13" l="1"/>
  <c r="M1187" i="13"/>
  <c r="T1187" i="13" s="1"/>
  <c r="L1187" i="13"/>
  <c r="I1188" i="13" l="1"/>
  <c r="O1188" i="13" s="1"/>
  <c r="AA1188" i="13" l="1"/>
  <c r="AB1185" i="13"/>
  <c r="K1188" i="13"/>
  <c r="P1188" i="13" s="1"/>
  <c r="R1188" i="13" l="1"/>
  <c r="Q1188" i="13"/>
  <c r="J1188" i="13" s="1"/>
  <c r="N1188" i="13" l="1"/>
  <c r="M1188" i="13"/>
  <c r="T1188" i="13" s="1"/>
  <c r="L1188" i="13"/>
  <c r="I1189" i="13" l="1"/>
  <c r="O1189" i="13" s="1"/>
  <c r="AA1189" i="13" l="1"/>
  <c r="AB1186" i="13"/>
  <c r="K1189" i="13"/>
  <c r="P1189" i="13" s="1"/>
  <c r="Q1189" i="13" l="1"/>
  <c r="J1189" i="13" s="1"/>
  <c r="R1189" i="13"/>
  <c r="N1189" i="13" l="1"/>
  <c r="M1189" i="13"/>
  <c r="T1189" i="13" s="1"/>
  <c r="L1189" i="13"/>
  <c r="I1190" i="13" l="1"/>
  <c r="O1190" i="13" s="1"/>
  <c r="AA1190" i="13" l="1"/>
  <c r="AB1187" i="13"/>
  <c r="K1190" i="13"/>
  <c r="P1190" i="13" s="1"/>
  <c r="R1190" i="13" l="1"/>
  <c r="Q1190" i="13"/>
  <c r="J1190" i="13" s="1"/>
  <c r="M1190" i="13" l="1"/>
  <c r="T1190" i="13" s="1"/>
  <c r="N1190" i="13"/>
  <c r="L1190" i="13"/>
  <c r="I1191" i="13" l="1"/>
  <c r="O1191" i="13" s="1"/>
  <c r="AA1191" i="13" l="1"/>
  <c r="AB1188" i="13"/>
  <c r="K1191" i="13"/>
  <c r="P1191" i="13" s="1"/>
  <c r="R1191" i="13" l="1"/>
  <c r="Q1191" i="13"/>
  <c r="J1191" i="13" s="1"/>
  <c r="M1191" i="13" l="1"/>
  <c r="T1191" i="13" s="1"/>
  <c r="N1191" i="13"/>
  <c r="L1191" i="13"/>
  <c r="I1192" i="13" l="1"/>
  <c r="O1192" i="13" s="1"/>
  <c r="AA1192" i="13" l="1"/>
  <c r="AB1189" i="13"/>
  <c r="K1192" i="13"/>
  <c r="P1192" i="13" s="1"/>
  <c r="R1192" i="13" l="1"/>
  <c r="Q1192" i="13"/>
  <c r="J1192" i="13" s="1"/>
  <c r="N1192" i="13" l="1"/>
  <c r="M1192" i="13"/>
  <c r="T1192" i="13" s="1"/>
  <c r="L1192" i="13"/>
  <c r="I1193" i="13" l="1"/>
  <c r="O1193" i="13" s="1"/>
  <c r="AA1193" i="13" l="1"/>
  <c r="AB1190" i="13"/>
  <c r="K1193" i="13"/>
  <c r="P1193" i="13" s="1"/>
  <c r="R1193" i="13" l="1"/>
  <c r="Q1193" i="13"/>
  <c r="J1193" i="13" s="1"/>
  <c r="M1193" i="13" l="1"/>
  <c r="T1193" i="13" s="1"/>
  <c r="N1193" i="13"/>
  <c r="L1193" i="13"/>
  <c r="I1194" i="13" l="1"/>
  <c r="O1194" i="13" s="1"/>
  <c r="K1194" i="13" l="1"/>
  <c r="P1194" i="13" s="1"/>
  <c r="AA1194" i="13"/>
  <c r="AB1191" i="13"/>
  <c r="R1194" i="13" l="1"/>
  <c r="Q1194" i="13"/>
  <c r="J1194" i="13" s="1"/>
  <c r="M1194" i="13" l="1"/>
  <c r="T1194" i="13" s="1"/>
  <c r="N1194" i="13"/>
  <c r="L1194" i="13"/>
  <c r="I1195" i="13" l="1"/>
  <c r="O1195" i="13" s="1"/>
  <c r="AA1195" i="13" l="1"/>
  <c r="AB1192" i="13"/>
  <c r="K1195" i="13"/>
  <c r="P1195" i="13" s="1"/>
  <c r="Q1195" i="13" l="1"/>
  <c r="J1195" i="13" s="1"/>
  <c r="R1195" i="13"/>
  <c r="M1195" i="13" l="1"/>
  <c r="T1195" i="13" s="1"/>
  <c r="N1195" i="13"/>
  <c r="L1195" i="13"/>
  <c r="I1196" i="13" l="1"/>
  <c r="O1196" i="13" s="1"/>
  <c r="AA1196" i="13" l="1"/>
  <c r="AB1193" i="13"/>
  <c r="K1196" i="13"/>
  <c r="P1196" i="13" s="1"/>
  <c r="R1196" i="13" l="1"/>
  <c r="Q1196" i="13"/>
  <c r="J1196" i="13" s="1"/>
  <c r="M1196" i="13" l="1"/>
  <c r="T1196" i="13" s="1"/>
  <c r="N1196" i="13"/>
  <c r="L1196" i="13"/>
  <c r="I1197" i="13" l="1"/>
  <c r="O1197" i="13" s="1"/>
  <c r="AA1197" i="13" l="1"/>
  <c r="AB1194" i="13"/>
  <c r="K1197" i="13"/>
  <c r="P1197" i="13" s="1"/>
  <c r="Q1197" i="13" l="1"/>
  <c r="J1197" i="13" s="1"/>
  <c r="R1197" i="13"/>
  <c r="M1197" i="13" l="1"/>
  <c r="T1197" i="13" s="1"/>
  <c r="N1197" i="13"/>
  <c r="L1197" i="13"/>
  <c r="I1198" i="13" l="1"/>
  <c r="O1198" i="13" s="1"/>
  <c r="AA1198" i="13" l="1"/>
  <c r="AB1195" i="13"/>
  <c r="K1198" i="13"/>
  <c r="P1198" i="13" s="1"/>
  <c r="Q1198" i="13" l="1"/>
  <c r="J1198" i="13" s="1"/>
  <c r="R1198" i="13"/>
  <c r="M1198" i="13" l="1"/>
  <c r="T1198" i="13" s="1"/>
  <c r="L1198" i="13"/>
  <c r="N1198" i="13"/>
  <c r="I1199" i="13" l="1"/>
  <c r="O1199" i="13" s="1"/>
  <c r="AA1199" i="13" l="1"/>
  <c r="AB1196" i="13"/>
  <c r="K1199" i="13"/>
  <c r="P1199" i="13" s="1"/>
  <c r="Q1199" i="13" l="1"/>
  <c r="J1199" i="13" s="1"/>
  <c r="R1199" i="13"/>
  <c r="M1199" i="13" l="1"/>
  <c r="T1199" i="13" s="1"/>
  <c r="N1199" i="13"/>
  <c r="L1199" i="13"/>
  <c r="I1200" i="13" l="1"/>
  <c r="O1200" i="13" s="1"/>
  <c r="AA1200" i="13" l="1"/>
  <c r="AB1197" i="13"/>
  <c r="K1200" i="13"/>
  <c r="P1200" i="13" s="1"/>
  <c r="Q1200" i="13" l="1"/>
  <c r="J1200" i="13" s="1"/>
  <c r="R1200" i="13"/>
  <c r="M1200" i="13" l="1"/>
  <c r="T1200" i="13" s="1"/>
  <c r="N1200" i="13"/>
  <c r="L1200" i="13"/>
  <c r="I1201" i="13" l="1"/>
  <c r="O1201" i="13" s="1"/>
  <c r="AA1201" i="13" l="1"/>
  <c r="AB1198" i="13"/>
  <c r="K1201" i="13"/>
  <c r="P1201" i="13" s="1"/>
  <c r="Q1201" i="13" l="1"/>
  <c r="J1201" i="13" s="1"/>
  <c r="R1201" i="13"/>
  <c r="M1201" i="13" l="1"/>
  <c r="T1201" i="13" s="1"/>
  <c r="N1201" i="13"/>
  <c r="L1201" i="13"/>
  <c r="I1202" i="13" l="1"/>
  <c r="O1202" i="13" s="1"/>
  <c r="AA1202" i="13" l="1"/>
  <c r="AB1199" i="13"/>
  <c r="K1202" i="13"/>
  <c r="P1202" i="13" s="1"/>
  <c r="Q1202" i="13" s="1"/>
  <c r="J1202" i="13" s="1"/>
  <c r="R1202" i="13" l="1"/>
  <c r="L1202" i="13"/>
  <c r="M1202" i="13"/>
  <c r="T1202" i="13" s="1"/>
  <c r="N1202" i="13"/>
  <c r="I1203" i="13" l="1"/>
  <c r="O1203" i="13" s="1"/>
  <c r="AA1203" i="13" l="1"/>
  <c r="AB1200" i="13"/>
  <c r="K1203" i="13"/>
  <c r="P1203" i="13" l="1"/>
  <c r="R1203" i="13" l="1"/>
  <c r="Q1203" i="13"/>
  <c r="J1203" i="13" s="1"/>
  <c r="N1203" i="13" l="1"/>
  <c r="M1203" i="13"/>
  <c r="T1203" i="13" s="1"/>
  <c r="L1203" i="13"/>
  <c r="I1204" i="13" l="1"/>
  <c r="O1204" i="13" s="1"/>
  <c r="AA1204" i="13" l="1"/>
  <c r="AB1201" i="13"/>
  <c r="K1204" i="13"/>
  <c r="P1204" i="13" s="1"/>
  <c r="R1204" i="13" l="1"/>
  <c r="Q1204" i="13"/>
  <c r="J1204" i="13" s="1"/>
  <c r="M1204" i="13" l="1"/>
  <c r="T1204" i="13" s="1"/>
  <c r="N1204" i="13"/>
  <c r="L1204" i="13"/>
  <c r="I1205" i="13" l="1"/>
  <c r="O1205" i="13" s="1"/>
  <c r="AA1205" i="13" l="1"/>
  <c r="AB1202" i="13"/>
  <c r="K1205" i="13"/>
  <c r="P1205" i="13" s="1"/>
  <c r="Q1205" i="13" l="1"/>
  <c r="J1205" i="13" s="1"/>
  <c r="R1205" i="13"/>
  <c r="M1205" i="13" l="1"/>
  <c r="T1205" i="13" s="1"/>
  <c r="N1205" i="13"/>
  <c r="L1205" i="13"/>
  <c r="I1206" i="13" l="1"/>
  <c r="O1206" i="13" s="1"/>
  <c r="AA1206" i="13" l="1"/>
  <c r="AB1203" i="13"/>
  <c r="K1206" i="13"/>
  <c r="P1206" i="13" s="1"/>
  <c r="R1206" i="13" l="1"/>
  <c r="Q1206" i="13"/>
  <c r="J1206" i="13" s="1"/>
  <c r="N1206" i="13" l="1"/>
  <c r="M1206" i="13"/>
  <c r="T1206" i="13" s="1"/>
  <c r="L1206" i="13"/>
  <c r="I1207" i="13" l="1"/>
  <c r="O1207" i="13" s="1"/>
  <c r="AA1207" i="13" l="1"/>
  <c r="AB1204" i="13"/>
  <c r="K1207" i="13"/>
  <c r="P1207" i="13" s="1"/>
  <c r="Q1207" i="13" l="1"/>
  <c r="J1207" i="13" s="1"/>
  <c r="R1207" i="13"/>
  <c r="N1207" i="13" l="1"/>
  <c r="M1207" i="13"/>
  <c r="T1207" i="13" s="1"/>
  <c r="L1207" i="13"/>
  <c r="I1208" i="13" l="1"/>
  <c r="O1208" i="13" s="1"/>
  <c r="AA1208" i="13" l="1"/>
  <c r="AB1205" i="13"/>
  <c r="K1208" i="13"/>
  <c r="P1208" i="13" s="1"/>
  <c r="R1208" i="13" l="1"/>
  <c r="Q1208" i="13"/>
  <c r="J1208" i="13" s="1"/>
  <c r="N1208" i="13" l="1"/>
  <c r="M1208" i="13"/>
  <c r="T1208" i="13" s="1"/>
  <c r="L1208" i="13"/>
  <c r="I1209" i="13" l="1"/>
  <c r="O1209" i="13" s="1"/>
  <c r="AA1209" i="13" l="1"/>
  <c r="AB1206" i="13"/>
  <c r="K1209" i="13"/>
  <c r="P1209" i="13" s="1"/>
  <c r="R1209" i="13" l="1"/>
  <c r="Q1209" i="13"/>
  <c r="J1209" i="13" s="1"/>
  <c r="M1209" i="13" l="1"/>
  <c r="T1209" i="13" s="1"/>
  <c r="N1209" i="13"/>
  <c r="L1209" i="13"/>
  <c r="I1210" i="13" l="1"/>
  <c r="O1210" i="13" s="1"/>
  <c r="AA1210" i="13" l="1"/>
  <c r="AB1207" i="13"/>
  <c r="K1210" i="13"/>
  <c r="P1210" i="13" s="1"/>
  <c r="R1210" i="13" s="1"/>
  <c r="Q1210" i="13" l="1"/>
  <c r="J1210" i="13" s="1"/>
  <c r="L1210" i="13" s="1"/>
  <c r="N1210" i="13" l="1"/>
  <c r="M1210" i="13"/>
  <c r="T1210" i="13" s="1"/>
  <c r="I1211" i="13" l="1"/>
  <c r="O1211" i="13" s="1"/>
  <c r="AA1211" i="13" l="1"/>
  <c r="AB1208" i="13"/>
  <c r="K1211" i="13"/>
  <c r="P1211" i="13" s="1"/>
  <c r="R1211" i="13" l="1"/>
  <c r="Q1211" i="13"/>
  <c r="J1211" i="13" s="1"/>
  <c r="M1211" i="13" l="1"/>
  <c r="T1211" i="13" s="1"/>
  <c r="N1211" i="13"/>
  <c r="L1211" i="13"/>
  <c r="I1212" i="13" l="1"/>
  <c r="O1212" i="13" s="1"/>
  <c r="K1212" i="13" l="1"/>
  <c r="P1212" i="13" s="1"/>
  <c r="AA1212" i="13"/>
  <c r="AB1209" i="13"/>
  <c r="Q1212" i="13" l="1"/>
  <c r="J1212" i="13" s="1"/>
  <c r="R1212" i="13"/>
  <c r="M1212" i="13" l="1"/>
  <c r="T1212" i="13" s="1"/>
  <c r="N1212" i="13"/>
  <c r="L1212" i="13"/>
  <c r="I1213" i="13" l="1"/>
  <c r="O1213" i="13" s="1"/>
  <c r="AA1213" i="13" l="1"/>
  <c r="AB1210" i="13"/>
  <c r="K1213" i="13"/>
  <c r="P1213" i="13" s="1"/>
  <c r="R1213" i="13" l="1"/>
  <c r="Q1213" i="13"/>
  <c r="J1213" i="13" s="1"/>
  <c r="M1213" i="13" l="1"/>
  <c r="T1213" i="13" s="1"/>
  <c r="N1213" i="13"/>
  <c r="L1213" i="13"/>
  <c r="I1214" i="13" l="1"/>
  <c r="O1214" i="13" s="1"/>
  <c r="AA1214" i="13" l="1"/>
  <c r="AB1211" i="13"/>
  <c r="K1214" i="13"/>
  <c r="P1214" i="13" s="1"/>
  <c r="R1214" i="13" l="1"/>
  <c r="Q1214" i="13"/>
  <c r="J1214" i="13" s="1"/>
  <c r="M1214" i="13" l="1"/>
  <c r="T1214" i="13" s="1"/>
  <c r="N1214" i="13"/>
  <c r="L1214" i="13"/>
  <c r="I1215" i="13" l="1"/>
  <c r="O1215" i="13" s="1"/>
  <c r="AA1215" i="13" l="1"/>
  <c r="AB1212" i="13"/>
  <c r="K1215" i="13"/>
  <c r="P1215" i="13" s="1"/>
  <c r="Q1215" i="13" s="1"/>
  <c r="J1215" i="13" s="1"/>
  <c r="R1215" i="13" l="1"/>
  <c r="L1215" i="13"/>
  <c r="M1215" i="13"/>
  <c r="T1215" i="13" s="1"/>
  <c r="N1215" i="13"/>
  <c r="I1216" i="13" l="1"/>
  <c r="O1216" i="13" s="1"/>
  <c r="AA1216" i="13" l="1"/>
  <c r="AB1213" i="13"/>
  <c r="K1216" i="13"/>
  <c r="P1216" i="13" l="1"/>
  <c r="R1216" i="13" l="1"/>
  <c r="Q1216" i="13"/>
  <c r="J1216" i="13" s="1"/>
  <c r="N1216" i="13" l="1"/>
  <c r="M1216" i="13"/>
  <c r="T1216" i="13" s="1"/>
  <c r="L1216" i="13"/>
  <c r="I1217" i="13" l="1"/>
  <c r="O1217" i="13" s="1"/>
  <c r="AA1217" i="13" l="1"/>
  <c r="AB1214" i="13"/>
  <c r="K1217" i="13"/>
  <c r="P1217" i="13" s="1"/>
  <c r="Q1217" i="13" s="1"/>
  <c r="J1217" i="13" s="1"/>
  <c r="R1217" i="13" l="1"/>
  <c r="L1217" i="13"/>
  <c r="M1217" i="13"/>
  <c r="T1217" i="13" s="1"/>
  <c r="N1217" i="13"/>
  <c r="I1218" i="13" l="1"/>
  <c r="O1218" i="13" s="1"/>
  <c r="AA1218" i="13" l="1"/>
  <c r="AB1215" i="13"/>
  <c r="K1218" i="13"/>
  <c r="P1218" i="13" l="1"/>
  <c r="R1218" i="13" l="1"/>
  <c r="Q1218" i="13"/>
  <c r="J1218" i="13" s="1"/>
  <c r="N1218" i="13" l="1"/>
  <c r="M1218" i="13"/>
  <c r="T1218" i="13" s="1"/>
  <c r="L1218" i="13"/>
  <c r="I1219" i="13" l="1"/>
  <c r="O1219" i="13" s="1"/>
  <c r="AA1219" i="13" l="1"/>
  <c r="AB1216" i="13"/>
  <c r="K1219" i="13"/>
  <c r="P1219" i="13" s="1"/>
  <c r="Q1219" i="13" l="1"/>
  <c r="J1219" i="13" s="1"/>
  <c r="R1219" i="13"/>
  <c r="N1219" i="13" l="1"/>
  <c r="M1219" i="13"/>
  <c r="T1219" i="13" s="1"/>
  <c r="L1219" i="13"/>
  <c r="I1220" i="13" l="1"/>
  <c r="O1220" i="13" s="1"/>
  <c r="AA1220" i="13" l="1"/>
  <c r="AB1217" i="13"/>
  <c r="K1220" i="13"/>
  <c r="P1220" i="13" s="1"/>
  <c r="R1220" i="13" l="1"/>
  <c r="Q1220" i="13"/>
  <c r="J1220" i="13" s="1"/>
  <c r="N1220" i="13" l="1"/>
  <c r="M1220" i="13"/>
  <c r="T1220" i="13" s="1"/>
  <c r="L1220" i="13"/>
  <c r="I1221" i="13" l="1"/>
  <c r="O1221" i="13" s="1"/>
  <c r="AA1221" i="13" l="1"/>
  <c r="AB1218" i="13"/>
  <c r="K1221" i="13"/>
  <c r="P1221" i="13" s="1"/>
  <c r="R1221" i="13" l="1"/>
  <c r="Q1221" i="13"/>
  <c r="J1221" i="13" s="1"/>
  <c r="M1221" i="13" l="1"/>
  <c r="T1221" i="13" s="1"/>
  <c r="N1221" i="13"/>
  <c r="L1221" i="13"/>
  <c r="I1222" i="13" l="1"/>
  <c r="O1222" i="13" s="1"/>
  <c r="AA1222" i="13" l="1"/>
  <c r="AB1219" i="13"/>
  <c r="K1222" i="13"/>
  <c r="P1222" i="13" s="1"/>
  <c r="R1222" i="13" l="1"/>
  <c r="Q1222" i="13"/>
  <c r="J1222" i="13" s="1"/>
  <c r="N1222" i="13" l="1"/>
  <c r="M1222" i="13"/>
  <c r="T1222" i="13" s="1"/>
  <c r="L1222" i="13"/>
  <c r="I1223" i="13" l="1"/>
  <c r="O1223" i="13" s="1"/>
  <c r="AA1223" i="13" l="1"/>
  <c r="AB1220" i="13"/>
  <c r="K1223" i="13"/>
  <c r="P1223" i="13" s="1"/>
  <c r="R1223" i="13" l="1"/>
  <c r="Q1223" i="13"/>
  <c r="J1223" i="13" s="1"/>
  <c r="N1223" i="13" l="1"/>
  <c r="M1223" i="13"/>
  <c r="T1223" i="13" s="1"/>
  <c r="L1223" i="13"/>
  <c r="I1224" i="13" l="1"/>
  <c r="O1224" i="13" s="1"/>
  <c r="AA1224" i="13" l="1"/>
  <c r="AB1221" i="13"/>
  <c r="K1224" i="13"/>
  <c r="P1224" i="13" s="1"/>
  <c r="R1224" i="13" l="1"/>
  <c r="Q1224" i="13"/>
  <c r="J1224" i="13" s="1"/>
  <c r="N1224" i="13" l="1"/>
  <c r="M1224" i="13"/>
  <c r="T1224" i="13" s="1"/>
  <c r="L1224" i="13"/>
  <c r="I1225" i="13" l="1"/>
  <c r="O1225" i="13" s="1"/>
  <c r="AA1225" i="13" l="1"/>
  <c r="AB1222" i="13"/>
  <c r="K1225" i="13"/>
  <c r="P1225" i="13" s="1"/>
  <c r="R1225" i="13" l="1"/>
  <c r="Q1225" i="13"/>
  <c r="J1225" i="13" s="1"/>
  <c r="N1225" i="13" l="1"/>
  <c r="M1225" i="13"/>
  <c r="T1225" i="13" s="1"/>
  <c r="L1225" i="13"/>
  <c r="I1226" i="13" l="1"/>
  <c r="O1226" i="13" s="1"/>
  <c r="K1226" i="13" l="1"/>
  <c r="P1226" i="13" s="1"/>
  <c r="AA1226" i="13"/>
  <c r="AB1223" i="13"/>
  <c r="Q1226" i="13" l="1"/>
  <c r="J1226" i="13" s="1"/>
  <c r="R1226" i="13"/>
  <c r="M1226" i="13" l="1"/>
  <c r="T1226" i="13" s="1"/>
  <c r="N1226" i="13"/>
  <c r="L1226" i="13"/>
  <c r="I1227" i="13" l="1"/>
  <c r="O1227" i="13" s="1"/>
  <c r="AA1227" i="13" l="1"/>
  <c r="AB1224" i="13"/>
  <c r="K1227" i="13"/>
  <c r="P1227" i="13" s="1"/>
  <c r="Q1227" i="13" l="1"/>
  <c r="J1227" i="13" s="1"/>
  <c r="R1227" i="13"/>
  <c r="M1227" i="13" l="1"/>
  <c r="T1227" i="13" s="1"/>
  <c r="N1227" i="13"/>
  <c r="L1227" i="13"/>
  <c r="I1228" i="13" l="1"/>
  <c r="O1228" i="13" s="1"/>
  <c r="K1228" i="13" l="1"/>
  <c r="P1228" i="13" s="1"/>
  <c r="AA1228" i="13"/>
  <c r="AB1225" i="13"/>
  <c r="Q1228" i="13" l="1"/>
  <c r="J1228" i="13" s="1"/>
  <c r="R1228" i="13"/>
  <c r="M1228" i="13" l="1"/>
  <c r="T1228" i="13" s="1"/>
  <c r="N1228" i="13"/>
  <c r="L1228" i="13"/>
  <c r="I1229" i="13" l="1"/>
  <c r="O1229" i="13" s="1"/>
  <c r="K1229" i="13" l="1"/>
  <c r="P1229" i="13" s="1"/>
  <c r="Q1229" i="13" s="1"/>
  <c r="J1229" i="13" s="1"/>
  <c r="AA1229" i="13"/>
  <c r="AB1226" i="13"/>
  <c r="R1229" i="13" l="1"/>
  <c r="L1229" i="13"/>
  <c r="M1229" i="13"/>
  <c r="T1229" i="13" s="1"/>
  <c r="N1229" i="13"/>
  <c r="I1230" i="13" l="1"/>
  <c r="O1230" i="13" s="1"/>
  <c r="AA1230" i="13" l="1"/>
  <c r="AB1227" i="13"/>
  <c r="K1230" i="13"/>
  <c r="P1230" i="13" l="1"/>
  <c r="R1230" i="13" l="1"/>
  <c r="Q1230" i="13"/>
  <c r="J1230" i="13" s="1"/>
  <c r="M1230" i="13" l="1"/>
  <c r="T1230" i="13" s="1"/>
  <c r="N1230" i="13"/>
  <c r="L1230" i="13"/>
  <c r="I1231" i="13" l="1"/>
  <c r="O1231" i="13" s="1"/>
  <c r="AA1231" i="13" l="1"/>
  <c r="AB1228" i="13"/>
  <c r="K1231" i="13"/>
  <c r="P1231" i="13" s="1"/>
  <c r="Q1231" i="13" l="1"/>
  <c r="J1231" i="13" s="1"/>
  <c r="R1231" i="13"/>
  <c r="N1231" i="13" l="1"/>
  <c r="M1231" i="13"/>
  <c r="T1231" i="13" s="1"/>
  <c r="L1231" i="13"/>
  <c r="I1232" i="13" l="1"/>
  <c r="O1232" i="13" s="1"/>
  <c r="AA1232" i="13" l="1"/>
  <c r="AB1229" i="13"/>
  <c r="K1232" i="13"/>
  <c r="P1232" i="13" s="1"/>
  <c r="Q1232" i="13" l="1"/>
  <c r="J1232" i="13" s="1"/>
  <c r="R1232" i="13"/>
  <c r="N1232" i="13" l="1"/>
  <c r="M1232" i="13"/>
  <c r="T1232" i="13" s="1"/>
  <c r="L1232" i="13"/>
  <c r="I1233" i="13" l="1"/>
  <c r="O1233" i="13" s="1"/>
  <c r="AA1233" i="13" l="1"/>
  <c r="AB1230" i="13"/>
  <c r="K1233" i="13"/>
  <c r="P1233" i="13" s="1"/>
  <c r="R1233" i="13" l="1"/>
  <c r="Q1233" i="13"/>
  <c r="J1233" i="13" s="1"/>
  <c r="M1233" i="13" l="1"/>
  <c r="T1233" i="13" s="1"/>
  <c r="N1233" i="13"/>
  <c r="L1233" i="13"/>
  <c r="I1234" i="13" l="1"/>
  <c r="O1234" i="13" s="1"/>
  <c r="AA1234" i="13" l="1"/>
  <c r="AB1231" i="13"/>
  <c r="K1234" i="13"/>
  <c r="P1234" i="13" s="1"/>
  <c r="Q1234" i="13" l="1"/>
  <c r="J1234" i="13" s="1"/>
  <c r="R1234" i="13"/>
  <c r="N1234" i="13" l="1"/>
  <c r="M1234" i="13"/>
  <c r="T1234" i="13" s="1"/>
  <c r="L1234" i="13"/>
  <c r="I1235" i="13" l="1"/>
  <c r="O1235" i="13" s="1"/>
  <c r="AA1235" i="13" l="1"/>
  <c r="AB1232" i="13"/>
  <c r="K1235" i="13"/>
  <c r="P1235" i="13" s="1"/>
  <c r="Q1235" i="13" l="1"/>
  <c r="J1235" i="13" s="1"/>
  <c r="R1235" i="13"/>
  <c r="M1235" i="13" l="1"/>
  <c r="T1235" i="13" s="1"/>
  <c r="N1235" i="13"/>
  <c r="L1235" i="13"/>
  <c r="I1236" i="13" l="1"/>
  <c r="O1236" i="13" s="1"/>
  <c r="AA1236" i="13" l="1"/>
  <c r="AB1233" i="13"/>
  <c r="K1236" i="13"/>
  <c r="P1236" i="13" s="1"/>
  <c r="Q1236" i="13" l="1"/>
  <c r="J1236" i="13" s="1"/>
  <c r="R1236" i="13"/>
  <c r="M1236" i="13" l="1"/>
  <c r="T1236" i="13" s="1"/>
  <c r="N1236" i="13"/>
  <c r="L1236" i="13"/>
  <c r="I1237" i="13" l="1"/>
  <c r="O1237" i="13" s="1"/>
  <c r="AA1237" i="13" l="1"/>
  <c r="AB1234" i="13"/>
  <c r="K1237" i="13"/>
  <c r="P1237" i="13" s="1"/>
  <c r="R1237" i="13" l="1"/>
  <c r="Q1237" i="13"/>
  <c r="J1237" i="13" s="1"/>
  <c r="M1237" i="13" l="1"/>
  <c r="T1237" i="13" s="1"/>
  <c r="N1237" i="13"/>
  <c r="L1237" i="13"/>
  <c r="I1238" i="13" l="1"/>
  <c r="O1238" i="13" s="1"/>
  <c r="AA1238" i="13" l="1"/>
  <c r="AB1235" i="13"/>
  <c r="K1238" i="13"/>
  <c r="P1238" i="13" s="1"/>
  <c r="R1238" i="13" l="1"/>
  <c r="Q1238" i="13"/>
  <c r="J1238" i="13" s="1"/>
  <c r="M1238" i="13" l="1"/>
  <c r="T1238" i="13" s="1"/>
  <c r="N1238" i="13"/>
  <c r="L1238" i="13"/>
  <c r="I1239" i="13" l="1"/>
  <c r="O1239" i="13" s="1"/>
  <c r="AA1239" i="13" l="1"/>
  <c r="AB1236" i="13"/>
  <c r="K1239" i="13"/>
  <c r="P1239" i="13" s="1"/>
  <c r="Q1239" i="13" l="1"/>
  <c r="J1239" i="13" s="1"/>
  <c r="R1239" i="13"/>
  <c r="N1239" i="13" l="1"/>
  <c r="M1239" i="13"/>
  <c r="T1239" i="13" s="1"/>
  <c r="L1239" i="13"/>
  <c r="I1240" i="13" l="1"/>
  <c r="O1240" i="13" s="1"/>
  <c r="AA1240" i="13" l="1"/>
  <c r="AB1237" i="13"/>
  <c r="K1240" i="13"/>
  <c r="P1240" i="13" s="1"/>
  <c r="R1240" i="13" l="1"/>
  <c r="Q1240" i="13"/>
  <c r="J1240" i="13" s="1"/>
  <c r="M1240" i="13" l="1"/>
  <c r="T1240" i="13" s="1"/>
  <c r="N1240" i="13"/>
  <c r="L1240" i="13"/>
  <c r="I1241" i="13" l="1"/>
  <c r="O1241" i="13" s="1"/>
  <c r="AA1241" i="13" l="1"/>
  <c r="AB1238" i="13"/>
  <c r="K1241" i="13"/>
  <c r="P1241" i="13" s="1"/>
  <c r="R1241" i="13" l="1"/>
  <c r="Q1241" i="13"/>
  <c r="J1241" i="13" s="1"/>
  <c r="M1241" i="13" l="1"/>
  <c r="T1241" i="13" s="1"/>
  <c r="N1241" i="13"/>
  <c r="L1241" i="13"/>
  <c r="I1242" i="13" l="1"/>
  <c r="O1242" i="13" s="1"/>
  <c r="AA1242" i="13" l="1"/>
  <c r="AB1239" i="13"/>
  <c r="K1242" i="13"/>
  <c r="P1242" i="13" s="1"/>
  <c r="Q1242" i="13" l="1"/>
  <c r="J1242" i="13" s="1"/>
  <c r="R1242" i="13"/>
  <c r="M1242" i="13" l="1"/>
  <c r="T1242" i="13" s="1"/>
  <c r="N1242" i="13"/>
  <c r="L1242" i="13"/>
  <c r="I1243" i="13" l="1"/>
  <c r="O1243" i="13" s="1"/>
  <c r="AA1243" i="13" l="1"/>
  <c r="AB1240" i="13"/>
  <c r="K1243" i="13"/>
  <c r="P1243" i="13" s="1"/>
  <c r="Q1243" i="13" l="1"/>
  <c r="J1243" i="13" s="1"/>
  <c r="R1243" i="13"/>
  <c r="M1243" i="13" l="1"/>
  <c r="T1243" i="13" s="1"/>
  <c r="N1243" i="13"/>
  <c r="L1243" i="13"/>
  <c r="I1244" i="13" l="1"/>
  <c r="O1244" i="13" s="1"/>
  <c r="AA1244" i="13" l="1"/>
  <c r="AB1241" i="13"/>
  <c r="K1244" i="13"/>
  <c r="P1244" i="13" s="1"/>
  <c r="R1244" i="13" l="1"/>
  <c r="Q1244" i="13"/>
  <c r="J1244" i="13" s="1"/>
  <c r="M1244" i="13" l="1"/>
  <c r="T1244" i="13" s="1"/>
  <c r="N1244" i="13"/>
  <c r="L1244" i="13"/>
  <c r="I1245" i="13" l="1"/>
  <c r="O1245" i="13" s="1"/>
  <c r="AA1245" i="13" l="1"/>
  <c r="AB1242" i="13"/>
  <c r="K1245" i="13"/>
  <c r="P1245" i="13" s="1"/>
  <c r="Q1245" i="13" l="1"/>
  <c r="J1245" i="13" s="1"/>
  <c r="R1245" i="13"/>
  <c r="M1245" i="13" l="1"/>
  <c r="T1245" i="13" s="1"/>
  <c r="N1245" i="13"/>
  <c r="L1245" i="13"/>
  <c r="I1246" i="13" l="1"/>
  <c r="O1246" i="13" s="1"/>
  <c r="AA1246" i="13" l="1"/>
  <c r="AB1243" i="13"/>
  <c r="K1246" i="13"/>
  <c r="P1246" i="13" s="1"/>
  <c r="R1246" i="13" l="1"/>
  <c r="Q1246" i="13"/>
  <c r="J1246" i="13" s="1"/>
  <c r="M1246" i="13" l="1"/>
  <c r="T1246" i="13" s="1"/>
  <c r="N1246" i="13"/>
  <c r="L1246" i="13"/>
  <c r="I1247" i="13" l="1"/>
  <c r="O1247" i="13" s="1"/>
  <c r="AA1247" i="13" l="1"/>
  <c r="AB1244" i="13"/>
  <c r="K1247" i="13"/>
  <c r="P1247" i="13" s="1"/>
  <c r="R1247" i="13" s="1"/>
  <c r="Q1247" i="13" l="1"/>
  <c r="J1247" i="13" s="1"/>
  <c r="L1247" i="13" s="1"/>
  <c r="N1247" i="13" l="1"/>
  <c r="M1247" i="13"/>
  <c r="T1247" i="13" s="1"/>
  <c r="I1248" i="13" l="1"/>
  <c r="O1248" i="13" s="1"/>
  <c r="AA1248" i="13" l="1"/>
  <c r="AB1245" i="13"/>
  <c r="K1248" i="13"/>
  <c r="P1248" i="13" s="1"/>
  <c r="Q1248" i="13" s="1"/>
  <c r="J1248" i="13" s="1"/>
  <c r="R1248" i="13" l="1"/>
  <c r="L1248" i="13"/>
  <c r="M1248" i="13"/>
  <c r="T1248" i="13" s="1"/>
  <c r="N1248" i="13"/>
  <c r="I1249" i="13" l="1"/>
  <c r="O1249" i="13" s="1"/>
  <c r="AA1249" i="13" l="1"/>
  <c r="AB1246" i="13"/>
  <c r="K1249" i="13"/>
  <c r="P1249" i="13" l="1"/>
  <c r="Q1249" i="13" l="1"/>
  <c r="J1249" i="13" s="1"/>
  <c r="R1249" i="13"/>
  <c r="N1249" i="13" l="1"/>
  <c r="M1249" i="13"/>
  <c r="T1249" i="13" s="1"/>
  <c r="L1249" i="13"/>
  <c r="I1250" i="13" l="1"/>
  <c r="O1250" i="13" s="1"/>
  <c r="AA1250" i="13" l="1"/>
  <c r="AB1247" i="13"/>
  <c r="K1250" i="13"/>
  <c r="P1250" i="13" l="1"/>
  <c r="Q1250" i="13" l="1"/>
  <c r="J1250" i="13" s="1"/>
  <c r="R1250" i="13"/>
  <c r="N1250" i="13" l="1"/>
  <c r="M1250" i="13"/>
  <c r="T1250" i="13" s="1"/>
  <c r="L1250" i="13"/>
  <c r="I1251" i="13" l="1"/>
  <c r="O1251" i="13" s="1"/>
  <c r="AA1251" i="13" l="1"/>
  <c r="AB1248" i="13"/>
  <c r="K1251" i="13"/>
  <c r="P1251" i="13" s="1"/>
  <c r="Q1251" i="13" l="1"/>
  <c r="J1251" i="13" s="1"/>
  <c r="R1251" i="13"/>
  <c r="M1251" i="13" l="1"/>
  <c r="T1251" i="13" s="1"/>
  <c r="N1251" i="13"/>
  <c r="L1251" i="13"/>
  <c r="I1252" i="13" l="1"/>
  <c r="O1252" i="13" s="1"/>
  <c r="AA1252" i="13" l="1"/>
  <c r="AB1249" i="13"/>
  <c r="K1252" i="13"/>
  <c r="P1252" i="13" s="1"/>
  <c r="R1252" i="13" l="1"/>
  <c r="Q1252" i="13"/>
  <c r="J1252" i="13" s="1"/>
  <c r="M1252" i="13" l="1"/>
  <c r="T1252" i="13" s="1"/>
  <c r="N1252" i="13"/>
  <c r="L1252" i="13"/>
  <c r="I1253" i="13" l="1"/>
  <c r="O1253" i="13" s="1"/>
  <c r="AA1253" i="13" l="1"/>
  <c r="AB1250" i="13"/>
  <c r="K1253" i="13"/>
  <c r="P1253" i="13" s="1"/>
  <c r="R1253" i="13" l="1"/>
  <c r="Q1253" i="13"/>
  <c r="J1253" i="13" s="1"/>
  <c r="M1253" i="13" l="1"/>
  <c r="T1253" i="13" s="1"/>
  <c r="N1253" i="13"/>
  <c r="L1253" i="13"/>
  <c r="I1254" i="13" l="1"/>
  <c r="O1254" i="13" s="1"/>
  <c r="AA1254" i="13" l="1"/>
  <c r="AB1251" i="13"/>
  <c r="K1254" i="13"/>
  <c r="P1254" i="13" s="1"/>
  <c r="R1254" i="13" l="1"/>
  <c r="Q1254" i="13"/>
  <c r="J1254" i="13" s="1"/>
  <c r="M1254" i="13" l="1"/>
  <c r="T1254" i="13" s="1"/>
  <c r="N1254" i="13"/>
  <c r="L1254" i="13"/>
  <c r="I1255" i="13" l="1"/>
  <c r="O1255" i="13" s="1"/>
  <c r="AA1255" i="13" l="1"/>
  <c r="AB1252" i="13"/>
  <c r="K1255" i="13"/>
  <c r="P1255" i="13" s="1"/>
  <c r="R1255" i="13" l="1"/>
  <c r="Q1255" i="13"/>
  <c r="J1255" i="13" s="1"/>
  <c r="M1255" i="13" l="1"/>
  <c r="T1255" i="13" s="1"/>
  <c r="N1255" i="13"/>
  <c r="L1255" i="13"/>
  <c r="I1256" i="13" l="1"/>
  <c r="O1256" i="13" s="1"/>
  <c r="K1256" i="13" l="1"/>
  <c r="P1256" i="13" s="1"/>
  <c r="AA1256" i="13"/>
  <c r="AB1253" i="13"/>
  <c r="R1256" i="13" l="1"/>
  <c r="Q1256" i="13"/>
  <c r="J1256" i="13" s="1"/>
  <c r="M1256" i="13" l="1"/>
  <c r="T1256" i="13" s="1"/>
  <c r="N1256" i="13"/>
  <c r="L1256" i="13"/>
  <c r="I1257" i="13" l="1"/>
  <c r="O1257" i="13" s="1"/>
  <c r="AA1257" i="13" l="1"/>
  <c r="AB1254" i="13"/>
  <c r="K1257" i="13"/>
  <c r="P1257" i="13" s="1"/>
  <c r="R1257" i="13" s="1"/>
  <c r="Q1257" i="13" l="1"/>
  <c r="J1257" i="13" s="1"/>
  <c r="L1257" i="13" s="1"/>
  <c r="N1257" i="13" l="1"/>
  <c r="M1257" i="13"/>
  <c r="T1257" i="13" s="1"/>
  <c r="I1258" i="13" l="1"/>
  <c r="O1258" i="13" s="1"/>
  <c r="AA1258" i="13" l="1"/>
  <c r="AB1255" i="13"/>
  <c r="K1258" i="13"/>
  <c r="P1258" i="13" s="1"/>
  <c r="R1258" i="13" l="1"/>
  <c r="Q1258" i="13"/>
  <c r="J1258" i="13" s="1"/>
  <c r="M1258" i="13" l="1"/>
  <c r="T1258" i="13" s="1"/>
  <c r="N1258" i="13"/>
  <c r="L1258" i="13"/>
  <c r="I1259" i="13" l="1"/>
  <c r="O1259" i="13" s="1"/>
  <c r="AA1259" i="13" l="1"/>
  <c r="AB1256" i="13"/>
  <c r="K1259" i="13"/>
  <c r="P1259" i="13" s="1"/>
  <c r="R1259" i="13" l="1"/>
  <c r="Q1259" i="13"/>
  <c r="J1259" i="13" s="1"/>
  <c r="M1259" i="13" l="1"/>
  <c r="T1259" i="13" s="1"/>
  <c r="N1259" i="13"/>
  <c r="L1259" i="13"/>
  <c r="I1260" i="13" l="1"/>
  <c r="O1260" i="13" s="1"/>
  <c r="AA1260" i="13" l="1"/>
  <c r="AB1257" i="13"/>
  <c r="K1260" i="13"/>
  <c r="P1260" i="13" s="1"/>
  <c r="Q1260" i="13" l="1"/>
  <c r="J1260" i="13" s="1"/>
  <c r="R1260" i="13"/>
  <c r="M1260" i="13" l="1"/>
  <c r="T1260" i="13" s="1"/>
  <c r="N1260" i="13"/>
  <c r="L1260" i="13"/>
  <c r="I1261" i="13" l="1"/>
  <c r="O1261" i="13" s="1"/>
  <c r="AA1261" i="13" l="1"/>
  <c r="AB1258" i="13"/>
  <c r="K1261" i="13"/>
  <c r="P1261" i="13" s="1"/>
  <c r="R1261" i="13" l="1"/>
  <c r="Q1261" i="13"/>
  <c r="J1261" i="13" s="1"/>
  <c r="M1261" i="13" l="1"/>
  <c r="T1261" i="13" s="1"/>
  <c r="N1261" i="13"/>
  <c r="L1261" i="13"/>
  <c r="I1262" i="13" l="1"/>
  <c r="O1262" i="13" s="1"/>
  <c r="AA1262" i="13" l="1"/>
  <c r="AB1259" i="13"/>
  <c r="K1262" i="13"/>
  <c r="P1262" i="13" s="1"/>
  <c r="R1262" i="13" l="1"/>
  <c r="Q1262" i="13"/>
  <c r="J1262" i="13" s="1"/>
  <c r="M1262" i="13" l="1"/>
  <c r="T1262" i="13" s="1"/>
  <c r="N1262" i="13"/>
  <c r="L1262" i="13"/>
  <c r="I1263" i="13" l="1"/>
  <c r="O1263" i="13" s="1"/>
  <c r="AA1263" i="13" l="1"/>
  <c r="AB1260" i="13"/>
  <c r="K1263" i="13"/>
  <c r="P1263" i="13" s="1"/>
  <c r="Q1263" i="13" l="1"/>
  <c r="J1263" i="13" s="1"/>
  <c r="R1263" i="13"/>
  <c r="N1263" i="13" l="1"/>
  <c r="M1263" i="13"/>
  <c r="T1263" i="13" s="1"/>
  <c r="L1263" i="13"/>
  <c r="I1264" i="13" l="1"/>
  <c r="O1264" i="13" s="1"/>
  <c r="AA1264" i="13" l="1"/>
  <c r="AB1261" i="13"/>
  <c r="K1264" i="13"/>
  <c r="P1264" i="13" s="1"/>
  <c r="R1264" i="13" s="1"/>
  <c r="Q1264" i="13" l="1"/>
  <c r="J1264" i="13" s="1"/>
  <c r="L1264" i="13" s="1"/>
  <c r="N1264" i="13" l="1"/>
  <c r="M1264" i="13"/>
  <c r="T1264" i="13" s="1"/>
  <c r="I1265" i="13" l="1"/>
  <c r="O1265" i="13" s="1"/>
  <c r="AA1265" i="13" l="1"/>
  <c r="AB1262" i="13"/>
  <c r="K1265" i="13"/>
  <c r="P1265" i="13" s="1"/>
  <c r="Q1265" i="13" s="1"/>
  <c r="J1265" i="13" s="1"/>
  <c r="R1265" i="13" l="1"/>
  <c r="L1265" i="13"/>
  <c r="M1265" i="13"/>
  <c r="T1265" i="13" s="1"/>
  <c r="N1265" i="13"/>
  <c r="I1266" i="13" l="1"/>
  <c r="O1266" i="13" s="1"/>
  <c r="AA1266" i="13" l="1"/>
  <c r="AB1263" i="13"/>
  <c r="K1266" i="13"/>
  <c r="P1266" i="13" l="1"/>
  <c r="R1266" i="13" l="1"/>
  <c r="Q1266" i="13"/>
  <c r="J1266" i="13" s="1"/>
  <c r="M1266" i="13" l="1"/>
  <c r="T1266" i="13" s="1"/>
  <c r="N1266" i="13"/>
  <c r="L1266" i="13"/>
  <c r="I1267" i="13" l="1"/>
  <c r="O1267" i="13" s="1"/>
  <c r="AA1267" i="13" l="1"/>
  <c r="AB1264" i="13"/>
  <c r="K1267" i="13"/>
  <c r="P1267" i="13" s="1"/>
  <c r="R1267" i="13" l="1"/>
  <c r="Q1267" i="13"/>
  <c r="J1267" i="13" s="1"/>
  <c r="M1267" i="13" l="1"/>
  <c r="T1267" i="13" s="1"/>
  <c r="N1267" i="13"/>
  <c r="L1267" i="13"/>
  <c r="I1268" i="13" l="1"/>
  <c r="O1268" i="13" s="1"/>
  <c r="AA1268" i="13" l="1"/>
  <c r="AB1265" i="13"/>
  <c r="K1268" i="13"/>
  <c r="P1268" i="13" s="1"/>
  <c r="Q1268" i="13" s="1"/>
  <c r="J1268" i="13" s="1"/>
  <c r="R1268" i="13" l="1"/>
  <c r="L1268" i="13"/>
  <c r="M1268" i="13"/>
  <c r="T1268" i="13" s="1"/>
  <c r="N1268" i="13"/>
  <c r="I1269" i="13" l="1"/>
  <c r="O1269" i="13" s="1"/>
  <c r="AA1269" i="13" l="1"/>
  <c r="AB1266" i="13"/>
  <c r="K1269" i="13"/>
  <c r="P1269" i="13" l="1"/>
  <c r="Q1269" i="13" l="1"/>
  <c r="J1269" i="13" s="1"/>
  <c r="R1269" i="13"/>
  <c r="N1269" i="13" l="1"/>
  <c r="M1269" i="13"/>
  <c r="T1269" i="13" s="1"/>
  <c r="L1269" i="13"/>
  <c r="I1270" i="13" l="1"/>
  <c r="O1270" i="13" s="1"/>
  <c r="K1270" i="13" l="1"/>
  <c r="P1270" i="13" s="1"/>
  <c r="Q1270" i="13" s="1"/>
  <c r="J1270" i="13" s="1"/>
  <c r="AA1270" i="13"/>
  <c r="AB1267" i="13"/>
  <c r="R1270" i="13" l="1"/>
  <c r="L1270" i="13"/>
  <c r="M1270" i="13"/>
  <c r="T1270" i="13" s="1"/>
  <c r="N1270" i="13"/>
  <c r="I1271" i="13" l="1"/>
  <c r="O1271" i="13" s="1"/>
  <c r="AA1271" i="13" l="1"/>
  <c r="AB1268" i="13"/>
  <c r="K1271" i="13"/>
  <c r="P1271" i="13" l="1"/>
  <c r="R1271" i="13" l="1"/>
  <c r="Q1271" i="13"/>
  <c r="J1271" i="13" s="1"/>
  <c r="N1271" i="13" l="1"/>
  <c r="M1271" i="13"/>
  <c r="T1271" i="13" s="1"/>
  <c r="L1271" i="13"/>
  <c r="I1272" i="13" l="1"/>
  <c r="O1272" i="13" s="1"/>
  <c r="AA1272" i="13" l="1"/>
  <c r="AB1269" i="13"/>
  <c r="K1272" i="13"/>
  <c r="P1272" i="13" s="1"/>
  <c r="Q1272" i="13" l="1"/>
  <c r="J1272" i="13" s="1"/>
  <c r="R1272" i="13"/>
  <c r="N1272" i="13" l="1"/>
  <c r="M1272" i="13"/>
  <c r="T1272" i="13" s="1"/>
  <c r="L1272" i="13"/>
  <c r="I1273" i="13" l="1"/>
  <c r="O1273" i="13" s="1"/>
  <c r="AA1273" i="13" l="1"/>
  <c r="AB1270" i="13"/>
  <c r="K1273" i="13"/>
  <c r="P1273" i="13" s="1"/>
  <c r="R1273" i="13" l="1"/>
  <c r="Q1273" i="13"/>
  <c r="J1273" i="13" s="1"/>
  <c r="N1273" i="13" l="1"/>
  <c r="M1273" i="13"/>
  <c r="T1273" i="13" s="1"/>
  <c r="L1273" i="13"/>
  <c r="I1274" i="13" l="1"/>
  <c r="O1274" i="13" s="1"/>
  <c r="AA1274" i="13" l="1"/>
  <c r="AB1271" i="13"/>
  <c r="K1274" i="13"/>
  <c r="P1274" i="13" s="1"/>
  <c r="R1274" i="13" l="1"/>
  <c r="Q1274" i="13"/>
  <c r="J1274" i="13" s="1"/>
  <c r="N1274" i="13" l="1"/>
  <c r="M1274" i="13"/>
  <c r="T1274" i="13" s="1"/>
  <c r="L1274" i="13"/>
  <c r="I1275" i="13" l="1"/>
  <c r="O1275" i="13" s="1"/>
  <c r="AA1275" i="13" l="1"/>
  <c r="AB1272" i="13"/>
  <c r="K1275" i="13"/>
  <c r="P1275" i="13" s="1"/>
  <c r="Q1275" i="13" s="1"/>
  <c r="J1275" i="13" s="1"/>
  <c r="R1275" i="13" l="1"/>
  <c r="L1275" i="13"/>
  <c r="M1275" i="13"/>
  <c r="T1275" i="13" s="1"/>
  <c r="N1275" i="13"/>
  <c r="I1276" i="13" l="1"/>
  <c r="O1276" i="13" s="1"/>
  <c r="AA1276" i="13" l="1"/>
  <c r="AB1273" i="13"/>
  <c r="K1276" i="13"/>
  <c r="P1276" i="13" l="1"/>
  <c r="Q1276" i="13" l="1"/>
  <c r="J1276" i="13" s="1"/>
  <c r="R1276" i="13"/>
  <c r="M1276" i="13" l="1"/>
  <c r="T1276" i="13" s="1"/>
  <c r="N1276" i="13"/>
  <c r="L1276" i="13"/>
  <c r="I1277" i="13" l="1"/>
  <c r="O1277" i="13" s="1"/>
  <c r="AA1277" i="13" l="1"/>
  <c r="AB1274" i="13"/>
  <c r="K1277" i="13"/>
  <c r="P1277" i="13" s="1"/>
  <c r="R1277" i="13" l="1"/>
  <c r="Q1277" i="13"/>
  <c r="J1277" i="13" s="1"/>
  <c r="M1277" i="13" l="1"/>
  <c r="T1277" i="13" s="1"/>
  <c r="N1277" i="13"/>
  <c r="L1277" i="13"/>
  <c r="I1278" i="13" l="1"/>
  <c r="O1278" i="13" s="1"/>
  <c r="AA1278" i="13" l="1"/>
  <c r="AB1275" i="13"/>
  <c r="K1278" i="13"/>
  <c r="P1278" i="13" s="1"/>
  <c r="R1278" i="13" l="1"/>
  <c r="Q1278" i="13"/>
  <c r="J1278" i="13" s="1"/>
  <c r="M1278" i="13" l="1"/>
  <c r="T1278" i="13" s="1"/>
  <c r="N1278" i="13"/>
  <c r="L1278" i="13"/>
  <c r="I1279" i="13" l="1"/>
  <c r="O1279" i="13" s="1"/>
  <c r="AA1279" i="13" l="1"/>
  <c r="AB1276" i="13"/>
  <c r="K1279" i="13"/>
  <c r="P1279" i="13" s="1"/>
  <c r="R1279" i="13" l="1"/>
  <c r="Q1279" i="13"/>
  <c r="J1279" i="13" s="1"/>
  <c r="M1279" i="13" l="1"/>
  <c r="T1279" i="13" s="1"/>
  <c r="N1279" i="13"/>
  <c r="L1279" i="13"/>
  <c r="I1280" i="13" l="1"/>
  <c r="O1280" i="13" s="1"/>
  <c r="K1280" i="13" l="1"/>
  <c r="P1280" i="13" s="1"/>
  <c r="R1280" i="13" s="1"/>
  <c r="AA1280" i="13"/>
  <c r="AB1277" i="13"/>
  <c r="Q1280" i="13" l="1"/>
  <c r="J1280" i="13" s="1"/>
  <c r="L1280" i="13" s="1"/>
  <c r="N1280" i="13" l="1"/>
  <c r="M1280" i="13"/>
  <c r="I1281" i="13" l="1"/>
  <c r="O1281" i="13" s="1"/>
  <c r="AA1281" i="13" s="1"/>
  <c r="T1280" i="13"/>
  <c r="AB1278" i="13" l="1"/>
  <c r="K1281" i="13"/>
  <c r="P1281" i="13" s="1"/>
  <c r="R1281" i="13" l="1"/>
  <c r="Q1281" i="13"/>
  <c r="J1281" i="13" s="1"/>
  <c r="N1281" i="13" l="1"/>
  <c r="M1281" i="13"/>
  <c r="T1281" i="13" s="1"/>
  <c r="L1281" i="13"/>
  <c r="I1282" i="13" l="1"/>
  <c r="O1282" i="13" s="1"/>
  <c r="AA1282" i="13" l="1"/>
  <c r="AB1279" i="13"/>
  <c r="K1282" i="13"/>
  <c r="P1282" i="13" s="1"/>
  <c r="Q1282" i="13" l="1"/>
  <c r="J1282" i="13" s="1"/>
  <c r="R1282" i="13"/>
  <c r="N1282" i="13" l="1"/>
  <c r="M1282" i="13"/>
  <c r="T1282" i="13" s="1"/>
  <c r="L1282" i="13"/>
  <c r="I1283" i="13" l="1"/>
  <c r="O1283" i="13" s="1"/>
  <c r="AA1283" i="13" l="1"/>
  <c r="AB1280" i="13"/>
  <c r="K1283" i="13"/>
  <c r="P1283" i="13" s="1"/>
  <c r="R1283" i="13" l="1"/>
  <c r="Q1283" i="13"/>
  <c r="J1283" i="13" s="1"/>
  <c r="N1283" i="13" l="1"/>
  <c r="M1283" i="13"/>
  <c r="T1283" i="13" s="1"/>
  <c r="L1283" i="13"/>
  <c r="I1284" i="13" l="1"/>
  <c r="O1284" i="13" s="1"/>
  <c r="K1284" i="13" l="1"/>
  <c r="P1284" i="13" s="1"/>
  <c r="R1284" i="13" s="1"/>
  <c r="AA1284" i="13"/>
  <c r="AB1281" i="13"/>
  <c r="Q1284" i="13" l="1"/>
  <c r="J1284" i="13" s="1"/>
  <c r="L1284" i="13" s="1"/>
  <c r="N1284" i="13" l="1"/>
  <c r="M1284" i="13"/>
  <c r="I1285" i="13" l="1"/>
  <c r="O1285" i="13" s="1"/>
  <c r="AA1285" i="13" s="1"/>
  <c r="T1284" i="13"/>
  <c r="AB1282" i="13" l="1"/>
  <c r="K1285" i="13"/>
  <c r="P1285" i="13" s="1"/>
  <c r="R1285" i="13" l="1"/>
  <c r="Q1285" i="13"/>
  <c r="J1285" i="13" s="1"/>
  <c r="N1285" i="13" l="1"/>
  <c r="M1285" i="13"/>
  <c r="T1285" i="13" s="1"/>
  <c r="L1285" i="13"/>
  <c r="I1286" i="13" l="1"/>
  <c r="O1286" i="13" s="1"/>
  <c r="AA1286" i="13" l="1"/>
  <c r="AB1283" i="13"/>
  <c r="K1286" i="13"/>
  <c r="P1286" i="13" s="1"/>
  <c r="Q1286" i="13" s="1"/>
  <c r="J1286" i="13" s="1"/>
  <c r="R1286" i="13" l="1"/>
  <c r="L1286" i="13"/>
  <c r="M1286" i="13"/>
  <c r="T1286" i="13" s="1"/>
  <c r="N1286" i="13"/>
  <c r="I1287" i="13" l="1"/>
  <c r="O1287" i="13" s="1"/>
  <c r="AA1287" i="13" l="1"/>
  <c r="AB1284" i="13"/>
  <c r="K1287" i="13"/>
  <c r="P1287" i="13" l="1"/>
  <c r="Q1287" i="13" l="1"/>
  <c r="J1287" i="13" s="1"/>
  <c r="R1287" i="13"/>
  <c r="N1287" i="13" l="1"/>
  <c r="M1287" i="13"/>
  <c r="T1287" i="13" s="1"/>
  <c r="L1287" i="13"/>
  <c r="I1288" i="13" l="1"/>
  <c r="O1288" i="13" s="1"/>
  <c r="AA1288" i="13" l="1"/>
  <c r="AB1285" i="13"/>
  <c r="K1288" i="13"/>
  <c r="P1288" i="13" s="1"/>
  <c r="Q1288" i="13" l="1"/>
  <c r="J1288" i="13" s="1"/>
  <c r="R1288" i="13"/>
  <c r="M1288" i="13" l="1"/>
  <c r="T1288" i="13" s="1"/>
  <c r="N1288" i="13"/>
  <c r="L1288" i="13"/>
  <c r="I1289" i="13" l="1"/>
  <c r="O1289" i="13" s="1"/>
  <c r="AA1289" i="13" l="1"/>
  <c r="AB1286" i="13"/>
  <c r="K1289" i="13"/>
  <c r="P1289" i="13" s="1"/>
  <c r="Q1289" i="13" l="1"/>
  <c r="J1289" i="13" s="1"/>
  <c r="R1289" i="13"/>
  <c r="M1289" i="13" l="1"/>
  <c r="T1289" i="13" s="1"/>
  <c r="N1289" i="13"/>
  <c r="L1289" i="13"/>
  <c r="I1290" i="13" l="1"/>
  <c r="O1290" i="13" s="1"/>
  <c r="AA1290" i="13" l="1"/>
  <c r="AB1287" i="13"/>
  <c r="K1290" i="13"/>
  <c r="P1290" i="13" s="1"/>
  <c r="Q1290" i="13" l="1"/>
  <c r="J1290" i="13" s="1"/>
  <c r="R1290" i="13"/>
  <c r="M1290" i="13" l="1"/>
  <c r="T1290" i="13" s="1"/>
  <c r="N1290" i="13"/>
  <c r="L1290" i="13"/>
  <c r="I1291" i="13" l="1"/>
  <c r="O1291" i="13" s="1"/>
  <c r="AA1291" i="13" l="1"/>
  <c r="AB1288" i="13"/>
  <c r="K1291" i="13"/>
  <c r="P1291" i="13" s="1"/>
  <c r="R1291" i="13" l="1"/>
  <c r="Q1291" i="13"/>
  <c r="J1291" i="13" s="1"/>
  <c r="M1291" i="13" l="1"/>
  <c r="T1291" i="13" s="1"/>
  <c r="N1291" i="13"/>
  <c r="L1291" i="13"/>
  <c r="I1292" i="13" l="1"/>
  <c r="O1292" i="13" s="1"/>
  <c r="AA1292" i="13" l="1"/>
  <c r="AB1289" i="13"/>
  <c r="K1292" i="13"/>
  <c r="P1292" i="13" s="1"/>
  <c r="R1292" i="13" l="1"/>
  <c r="Q1292" i="13"/>
  <c r="J1292" i="13" s="1"/>
  <c r="M1292" i="13" l="1"/>
  <c r="T1292" i="13" s="1"/>
  <c r="N1292" i="13"/>
  <c r="L1292" i="13"/>
  <c r="I1293" i="13" l="1"/>
  <c r="O1293" i="13" s="1"/>
  <c r="AA1293" i="13" l="1"/>
  <c r="AB1290" i="13"/>
  <c r="K1293" i="13"/>
  <c r="P1293" i="13" s="1"/>
  <c r="Q1293" i="13" l="1"/>
  <c r="J1293" i="13" s="1"/>
  <c r="R1293" i="13"/>
  <c r="M1293" i="13" l="1"/>
  <c r="T1293" i="13" s="1"/>
  <c r="N1293" i="13"/>
  <c r="L1293" i="13"/>
  <c r="I1294" i="13" l="1"/>
  <c r="O1294" i="13" s="1"/>
  <c r="AA1294" i="13" l="1"/>
  <c r="AB1291" i="13"/>
  <c r="K1294" i="13"/>
  <c r="P1294" i="13" s="1"/>
  <c r="Q1294" i="13" l="1"/>
  <c r="J1294" i="13" s="1"/>
  <c r="R1294" i="13"/>
  <c r="M1294" i="13" l="1"/>
  <c r="T1294" i="13" s="1"/>
  <c r="N1294" i="13"/>
  <c r="L1294" i="13"/>
  <c r="I1295" i="13" l="1"/>
  <c r="O1295" i="13" s="1"/>
  <c r="AA1295" i="13" l="1"/>
  <c r="AB1292" i="13"/>
  <c r="K1295" i="13"/>
  <c r="P1295" i="13" s="1"/>
  <c r="R1295" i="13" s="1"/>
  <c r="Q1295" i="13" l="1"/>
  <c r="J1295" i="13" s="1"/>
  <c r="L1295" i="13" s="1"/>
  <c r="N1295" i="13" l="1"/>
  <c r="M1295" i="13"/>
  <c r="T1295" i="13" s="1"/>
  <c r="I1296" i="13" l="1"/>
  <c r="O1296" i="13" s="1"/>
  <c r="AA1296" i="13" l="1"/>
  <c r="AB1293" i="13"/>
  <c r="K1296" i="13"/>
  <c r="P1296" i="13" s="1"/>
  <c r="R1296" i="13" s="1"/>
  <c r="Q1296" i="13" l="1"/>
  <c r="J1296" i="13" s="1"/>
  <c r="M1296" i="13" s="1"/>
  <c r="T1296" i="13" s="1"/>
  <c r="N1296" i="13" l="1"/>
  <c r="L1296" i="13"/>
  <c r="I1297" i="13" l="1"/>
  <c r="O1297" i="13" s="1"/>
  <c r="AA1297" i="13" l="1"/>
  <c r="AB1294" i="13"/>
  <c r="K1297" i="13"/>
  <c r="P1297" i="13" s="1"/>
  <c r="Q1297" i="13" s="1"/>
  <c r="J1297" i="13" s="1"/>
  <c r="R1297" i="13" l="1"/>
  <c r="N1297" i="13"/>
  <c r="M1297" i="13"/>
  <c r="T1297" i="13" s="1"/>
  <c r="L1297" i="13"/>
  <c r="I1298" i="13" l="1"/>
  <c r="O1298" i="13" s="1"/>
  <c r="AA1298" i="13" l="1"/>
  <c r="AB1295" i="13"/>
  <c r="K1298" i="13"/>
  <c r="P1298" i="13" s="1"/>
  <c r="Q1298" i="13" s="1"/>
  <c r="J1298" i="13" s="1"/>
  <c r="L1298" i="13" s="1"/>
  <c r="R1298" i="13" l="1"/>
  <c r="N1298" i="13"/>
  <c r="M1298" i="13"/>
  <c r="I1299" i="13" l="1"/>
  <c r="O1299" i="13" s="1"/>
  <c r="AA1299" i="13" s="1"/>
  <c r="T1298" i="13"/>
  <c r="AB1296" i="13" l="1"/>
  <c r="K1299" i="13"/>
  <c r="P1299" i="13" s="1"/>
  <c r="R1299" i="13" s="1"/>
  <c r="Q1299" i="13" l="1"/>
  <c r="J1299" i="13" s="1"/>
  <c r="L1299" i="13" s="1"/>
  <c r="M1299" i="13" l="1"/>
  <c r="T1299" i="13" s="1"/>
  <c r="N1299" i="13"/>
  <c r="I1300" i="13" l="1"/>
  <c r="O1300" i="13" s="1"/>
  <c r="AA1300" i="13" s="1"/>
  <c r="AB1297" i="13" l="1"/>
  <c r="K1300" i="13"/>
  <c r="P1300" i="13" s="1"/>
  <c r="R1300" i="13" s="1"/>
  <c r="Q1300" i="13" l="1"/>
  <c r="J1300" i="13" s="1"/>
  <c r="M1300" i="13" s="1"/>
  <c r="T1300" i="13" s="1"/>
  <c r="N1300" i="13" l="1"/>
  <c r="L1300" i="13"/>
  <c r="I1301" i="13" l="1"/>
  <c r="O1301" i="13" s="1"/>
  <c r="AA1301" i="13" s="1"/>
  <c r="AB1298" i="13" l="1"/>
  <c r="K1301" i="13"/>
  <c r="P1301" i="13" s="1"/>
  <c r="R1301" i="13" s="1"/>
  <c r="Q1301" i="13" l="1"/>
  <c r="J1301" i="13" s="1"/>
  <c r="N1301" i="13" s="1"/>
  <c r="L1301" i="13" l="1"/>
  <c r="M1301" i="13"/>
  <c r="T1301" i="13" s="1"/>
  <c r="I1302" i="13" l="1"/>
  <c r="O1302" i="13" s="1"/>
  <c r="AA1302" i="13" s="1"/>
  <c r="K1302" i="13" l="1"/>
  <c r="P1302" i="13" s="1"/>
  <c r="Q1302" i="13" s="1"/>
  <c r="J1302" i="13" s="1"/>
  <c r="AB1299" i="13"/>
  <c r="R1302" i="13" l="1"/>
  <c r="N1302" i="13"/>
  <c r="M1302" i="13"/>
  <c r="T1302" i="13" s="1"/>
  <c r="L1302" i="13"/>
  <c r="I1303" i="13" l="1"/>
  <c r="O1303" i="13" s="1"/>
  <c r="AA1303" i="13" l="1"/>
  <c r="AB1300" i="13"/>
  <c r="K1303" i="13"/>
  <c r="P1303" i="13" s="1"/>
  <c r="R1303" i="13" l="1"/>
  <c r="Q1303" i="13"/>
  <c r="J1303" i="13" s="1"/>
  <c r="N1303" i="13" l="1"/>
  <c r="M1303" i="13"/>
  <c r="T1303" i="13" s="1"/>
  <c r="L1303" i="13"/>
  <c r="I1304" i="13" l="1"/>
  <c r="O1304" i="13" s="1"/>
  <c r="AA1304" i="13" l="1"/>
  <c r="AB1301" i="13"/>
  <c r="K1304" i="13"/>
  <c r="P1304" i="13" s="1"/>
  <c r="R1304" i="13" l="1"/>
  <c r="Q1304" i="13"/>
  <c r="J1304" i="13" s="1"/>
  <c r="N1304" i="13" l="1"/>
  <c r="M1304" i="13"/>
  <c r="T1304" i="13" s="1"/>
  <c r="L1304" i="13"/>
  <c r="I1305" i="13" l="1"/>
  <c r="O1305" i="13" s="1"/>
  <c r="AA1305" i="13" l="1"/>
  <c r="AB1302" i="13"/>
  <c r="K1305" i="13"/>
  <c r="P1305" i="13" s="1"/>
  <c r="R1305" i="13" s="1"/>
  <c r="Q1305" i="13" l="1"/>
  <c r="J1305" i="13" s="1"/>
  <c r="L1305" i="13" s="1"/>
  <c r="N1305" i="13" l="1"/>
  <c r="M1305" i="13"/>
  <c r="T1305" i="13" s="1"/>
  <c r="I1306" i="13" l="1"/>
  <c r="O1306" i="13" s="1"/>
  <c r="AA1306" i="13" l="1"/>
  <c r="AB1303" i="13"/>
  <c r="K1306" i="13"/>
  <c r="P1306" i="13" s="1"/>
  <c r="R1306" i="13" s="1"/>
  <c r="Q1306" i="13" l="1"/>
  <c r="J1306" i="13" s="1"/>
  <c r="M1306" i="13" s="1"/>
  <c r="T1306" i="13" s="1"/>
  <c r="L1306" i="13" l="1"/>
  <c r="N1306" i="13"/>
  <c r="I1307" i="13" l="1"/>
  <c r="O1307" i="13" s="1"/>
  <c r="AA1307" i="13" l="1"/>
  <c r="AB1304" i="13"/>
  <c r="K1307" i="13"/>
  <c r="P1307" i="13" s="1"/>
  <c r="Q1307" i="13" s="1"/>
  <c r="J1307" i="13" s="1"/>
  <c r="R1307" i="13" l="1"/>
  <c r="M1307" i="13"/>
  <c r="T1307" i="13" s="1"/>
  <c r="N1307" i="13"/>
  <c r="L1307" i="13"/>
  <c r="I1308" i="13" l="1"/>
  <c r="O1308" i="13" s="1"/>
  <c r="AA1308" i="13" l="1"/>
  <c r="AB1305" i="13"/>
  <c r="K1308" i="13"/>
  <c r="P1308" i="13" s="1"/>
  <c r="Q1308" i="13" l="1"/>
  <c r="J1308" i="13" s="1"/>
  <c r="R1308" i="13"/>
  <c r="M1308" i="13" l="1"/>
  <c r="T1308" i="13" s="1"/>
  <c r="N1308" i="13"/>
  <c r="L1308" i="13"/>
  <c r="I1309" i="13" l="1"/>
  <c r="O1309" i="13" s="1"/>
  <c r="AA1309" i="13" l="1"/>
  <c r="AB1306" i="13"/>
  <c r="K1309" i="13"/>
  <c r="P1309" i="13" s="1"/>
  <c r="Q1309" i="13" l="1"/>
  <c r="J1309" i="13" s="1"/>
  <c r="R1309" i="13"/>
  <c r="M1309" i="13" l="1"/>
  <c r="T1309" i="13" s="1"/>
  <c r="N1309" i="13"/>
  <c r="L1309" i="13"/>
  <c r="I1310" i="13" l="1"/>
  <c r="O1310" i="13" s="1"/>
  <c r="AA1310" i="13" l="1"/>
  <c r="AB1307" i="13"/>
  <c r="K1310" i="13"/>
  <c r="P1310" i="13" s="1"/>
  <c r="Q1310" i="13" l="1"/>
  <c r="J1310" i="13" s="1"/>
  <c r="R1310" i="13"/>
  <c r="M1310" i="13" l="1"/>
  <c r="T1310" i="13" s="1"/>
  <c r="N1310" i="13"/>
  <c r="L1310" i="13"/>
  <c r="I1311" i="13" l="1"/>
  <c r="O1311" i="13" s="1"/>
  <c r="AA1311" i="13" l="1"/>
  <c r="AB1308" i="13"/>
  <c r="K1311" i="13"/>
  <c r="P1311" i="13" s="1"/>
  <c r="Q1311" i="13" l="1"/>
  <c r="J1311" i="13" s="1"/>
  <c r="R1311" i="13"/>
  <c r="M1311" i="13" l="1"/>
  <c r="T1311" i="13" s="1"/>
  <c r="L1311" i="13"/>
  <c r="N1311" i="13"/>
  <c r="I1312" i="13" l="1"/>
  <c r="O1312" i="13" s="1"/>
  <c r="AA1312" i="13" l="1"/>
  <c r="AB1309" i="13"/>
  <c r="K1312" i="13"/>
  <c r="P1312" i="13" s="1"/>
  <c r="Q1312" i="13" l="1"/>
  <c r="J1312" i="13" s="1"/>
  <c r="R1312" i="13"/>
  <c r="M1312" i="13" l="1"/>
  <c r="T1312" i="13" s="1"/>
  <c r="N1312" i="13"/>
  <c r="L1312" i="13"/>
  <c r="I1313" i="13" l="1"/>
  <c r="O1313" i="13" s="1"/>
  <c r="AA1313" i="13" l="1"/>
  <c r="AB1310" i="13"/>
  <c r="K1313" i="13"/>
  <c r="P1313" i="13" s="1"/>
  <c r="R1313" i="13" l="1"/>
  <c r="Q1313" i="13"/>
  <c r="J1313" i="13" s="1"/>
  <c r="L1313" i="13" l="1"/>
  <c r="M1313" i="13"/>
  <c r="T1313" i="13" s="1"/>
  <c r="N1313" i="13"/>
  <c r="I1314" i="13" l="1"/>
  <c r="O1314" i="13" s="1"/>
  <c r="AA1314" i="13" l="1"/>
  <c r="AB1311" i="13"/>
  <c r="K1314" i="13"/>
  <c r="P1314" i="13" l="1"/>
  <c r="Q1314" i="13" l="1"/>
  <c r="J1314" i="13" s="1"/>
  <c r="R1314" i="13"/>
  <c r="M1314" i="13" l="1"/>
  <c r="T1314" i="13" s="1"/>
  <c r="N1314" i="13"/>
  <c r="L1314" i="13"/>
  <c r="I1315" i="13" l="1"/>
  <c r="O1315" i="13" s="1"/>
  <c r="AA1315" i="13" l="1"/>
  <c r="AB1312" i="13"/>
  <c r="K1315" i="13"/>
  <c r="P1315" i="13" s="1"/>
  <c r="Q1315" i="13" l="1"/>
  <c r="J1315" i="13" s="1"/>
  <c r="R1315" i="13"/>
  <c r="M1315" i="13" l="1"/>
  <c r="T1315" i="13" s="1"/>
  <c r="N1315" i="13"/>
  <c r="L1315" i="13"/>
  <c r="I1316" i="13" l="1"/>
  <c r="O1316" i="13" s="1"/>
  <c r="AA1316" i="13" l="1"/>
  <c r="AB1313" i="13"/>
  <c r="K1316" i="13"/>
  <c r="P1316" i="13" s="1"/>
  <c r="Q1316" i="13" s="1"/>
  <c r="J1316" i="13" s="1"/>
  <c r="R1316" i="13" l="1"/>
  <c r="L1316" i="13"/>
  <c r="M1316" i="13"/>
  <c r="T1316" i="13" s="1"/>
  <c r="N1316" i="13"/>
  <c r="I1317" i="13" l="1"/>
  <c r="O1317" i="13" s="1"/>
  <c r="AA1317" i="13" l="1"/>
  <c r="AB1314" i="13"/>
  <c r="K1317" i="13"/>
  <c r="P1317" i="13" l="1"/>
  <c r="R1317" i="13" l="1"/>
  <c r="Q1317" i="13"/>
  <c r="J1317" i="13" s="1"/>
  <c r="M1317" i="13" l="1"/>
  <c r="T1317" i="13" s="1"/>
  <c r="N1317" i="13"/>
  <c r="L1317" i="13"/>
  <c r="I1318" i="13" l="1"/>
  <c r="O1318" i="13" s="1"/>
  <c r="K1318" i="13" l="1"/>
  <c r="P1318" i="13" s="1"/>
  <c r="AA1318" i="13"/>
  <c r="AB1315" i="13"/>
  <c r="Q1318" i="13" l="1"/>
  <c r="J1318" i="13" s="1"/>
  <c r="R1318" i="13"/>
  <c r="M1318" i="13" l="1"/>
  <c r="T1318" i="13" s="1"/>
  <c r="N1318" i="13"/>
  <c r="L1318" i="13"/>
  <c r="I1319" i="13" l="1"/>
  <c r="O1319" i="13" s="1"/>
  <c r="AA1319" i="13" l="1"/>
  <c r="AB1316" i="13"/>
  <c r="K1319" i="13"/>
  <c r="P1319" i="13" s="1"/>
  <c r="Q1319" i="13" l="1"/>
  <c r="J1319" i="13" s="1"/>
  <c r="R1319" i="13"/>
  <c r="M1319" i="13" l="1"/>
  <c r="T1319" i="13" s="1"/>
  <c r="N1319" i="13"/>
  <c r="L1319" i="13"/>
  <c r="I1320" i="13" l="1"/>
  <c r="O1320" i="13" s="1"/>
  <c r="AA1320" i="13" l="1"/>
  <c r="AB1317" i="13"/>
  <c r="K1320" i="13"/>
  <c r="P1320" i="13" s="1"/>
  <c r="R1320" i="13" s="1"/>
  <c r="Q1320" i="13" l="1"/>
  <c r="J1320" i="13" s="1"/>
  <c r="L1320" i="13" s="1"/>
  <c r="N1320" i="13" l="1"/>
  <c r="M1320" i="13"/>
  <c r="T1320" i="13" s="1"/>
  <c r="I1321" i="13" l="1"/>
  <c r="O1321" i="13" s="1"/>
  <c r="AA1321" i="13" l="1"/>
  <c r="AB1318" i="13"/>
  <c r="K1321" i="13"/>
  <c r="P1321" i="13" s="1"/>
  <c r="R1321" i="13" l="1"/>
  <c r="Q1321" i="13"/>
  <c r="J1321" i="13" s="1"/>
  <c r="M1321" i="13" l="1"/>
  <c r="T1321" i="13" s="1"/>
  <c r="N1321" i="13"/>
  <c r="L1321" i="13"/>
  <c r="I1322" i="13" l="1"/>
  <c r="O1322" i="13" s="1"/>
  <c r="K1322" i="13" l="1"/>
  <c r="P1322" i="13" s="1"/>
  <c r="AA1322" i="13"/>
  <c r="AB1319" i="13"/>
  <c r="Q1322" i="13" l="1"/>
  <c r="J1322" i="13" s="1"/>
  <c r="R1322" i="13"/>
  <c r="M1322" i="13" l="1"/>
  <c r="T1322" i="13" s="1"/>
  <c r="N1322" i="13"/>
  <c r="L1322" i="13"/>
  <c r="I1323" i="13" l="1"/>
  <c r="O1323" i="13" s="1"/>
  <c r="AA1323" i="13" l="1"/>
  <c r="AB1320" i="13"/>
  <c r="K1323" i="13"/>
  <c r="P1323" i="13" s="1"/>
  <c r="Q1323" i="13" l="1"/>
  <c r="J1323" i="13" s="1"/>
  <c r="R1323" i="13"/>
  <c r="M1323" i="13" l="1"/>
  <c r="T1323" i="13" s="1"/>
  <c r="N1323" i="13"/>
  <c r="L1323" i="13"/>
  <c r="I1324" i="13" l="1"/>
  <c r="O1324" i="13" s="1"/>
  <c r="K1324" i="13" l="1"/>
  <c r="P1324" i="13" s="1"/>
  <c r="AA1324" i="13"/>
  <c r="AB1321" i="13"/>
  <c r="R1324" i="13" l="1"/>
  <c r="Q1324" i="13"/>
  <c r="J1324" i="13" s="1"/>
  <c r="M1324" i="13" l="1"/>
  <c r="T1324" i="13" s="1"/>
  <c r="N1324" i="13"/>
  <c r="L1324" i="13"/>
  <c r="I1325" i="13" l="1"/>
  <c r="O1325" i="13" s="1"/>
  <c r="K1325" i="13" l="1"/>
  <c r="P1325" i="13" s="1"/>
  <c r="AA1325" i="13"/>
  <c r="AB1322" i="13"/>
  <c r="R1325" i="13" l="1"/>
  <c r="Q1325" i="13"/>
  <c r="J1325" i="13" s="1"/>
  <c r="M1325" i="13" l="1"/>
  <c r="T1325" i="13" s="1"/>
  <c r="N1325" i="13"/>
  <c r="L1325" i="13"/>
  <c r="I1326" i="13" l="1"/>
  <c r="O1326" i="13" s="1"/>
  <c r="AA1326" i="13" l="1"/>
  <c r="AB1323" i="13"/>
  <c r="K1326" i="13"/>
  <c r="P1326" i="13" s="1"/>
  <c r="Q1326" i="13" l="1"/>
  <c r="J1326" i="13" s="1"/>
  <c r="R1326" i="13"/>
  <c r="M1326" i="13" l="1"/>
  <c r="T1326" i="13" s="1"/>
  <c r="N1326" i="13"/>
  <c r="L1326" i="13"/>
  <c r="I1327" i="13" l="1"/>
  <c r="O1327" i="13" s="1"/>
  <c r="AA1327" i="13" l="1"/>
  <c r="AB1324" i="13"/>
  <c r="K1327" i="13"/>
  <c r="P1327" i="13" s="1"/>
  <c r="R1327" i="13" l="1"/>
  <c r="Q1327" i="13"/>
  <c r="J1327" i="13" s="1"/>
  <c r="M1327" i="13" l="1"/>
  <c r="T1327" i="13" s="1"/>
  <c r="N1327" i="13"/>
  <c r="L1327" i="13"/>
  <c r="I1328" i="13" l="1"/>
  <c r="O1328" i="13" s="1"/>
  <c r="AA1328" i="13" l="1"/>
  <c r="AB1325" i="13"/>
  <c r="K1328" i="13"/>
  <c r="P1328" i="13" s="1"/>
  <c r="R1328" i="13" s="1"/>
  <c r="Q1328" i="13" l="1"/>
  <c r="J1328" i="13" s="1"/>
  <c r="L1328" i="13" s="1"/>
  <c r="N1328" i="13" l="1"/>
  <c r="M1328" i="13"/>
  <c r="T1328" i="13" s="1"/>
  <c r="I1329" i="13" l="1"/>
  <c r="O1329" i="13" s="1"/>
  <c r="AA1329" i="13" l="1"/>
  <c r="AB1326" i="13"/>
  <c r="K1329" i="13"/>
  <c r="P1329" i="13" s="1"/>
  <c r="R1329" i="13" l="1"/>
  <c r="Q1329" i="13"/>
  <c r="J1329" i="13" s="1"/>
  <c r="M1329" i="13" l="1"/>
  <c r="T1329" i="13" s="1"/>
  <c r="N1329" i="13"/>
  <c r="L1329" i="13"/>
  <c r="I1330" i="13" l="1"/>
  <c r="O1330" i="13" s="1"/>
  <c r="K1330" i="13" l="1"/>
  <c r="P1330" i="13" s="1"/>
  <c r="AA1330" i="13"/>
  <c r="AB1327" i="13"/>
  <c r="R1330" i="13" l="1"/>
  <c r="Q1330" i="13"/>
  <c r="J1330" i="13" s="1"/>
  <c r="N1330" i="13" l="1"/>
  <c r="M1330" i="13"/>
  <c r="T1330" i="13" s="1"/>
  <c r="L1330" i="13"/>
  <c r="I1331" i="13" l="1"/>
  <c r="O1331" i="13" s="1"/>
  <c r="AA1331" i="13" l="1"/>
  <c r="AB1328" i="13"/>
  <c r="K1331" i="13"/>
  <c r="P1331" i="13" s="1"/>
  <c r="R1331" i="13" l="1"/>
  <c r="Q1331" i="13"/>
  <c r="J1331" i="13" s="1"/>
  <c r="M1331" i="13" l="1"/>
  <c r="T1331" i="13" s="1"/>
  <c r="N1331" i="13"/>
  <c r="L1331" i="13"/>
  <c r="I1332" i="13" l="1"/>
  <c r="O1332" i="13" s="1"/>
  <c r="K1332" i="13" l="1"/>
  <c r="P1332" i="13" s="1"/>
  <c r="R1332" i="13" s="1"/>
  <c r="AA1332" i="13"/>
  <c r="AB1329" i="13"/>
  <c r="Q1332" i="13" l="1"/>
  <c r="J1332" i="13" s="1"/>
  <c r="L1332" i="13" s="1"/>
  <c r="N1332" i="13" l="1"/>
  <c r="M1332" i="13"/>
  <c r="T1332" i="13" s="1"/>
  <c r="I1333" i="13" l="1"/>
  <c r="O1333" i="13" s="1"/>
  <c r="AA1333" i="13" s="1"/>
  <c r="AB1330" i="13" l="1"/>
  <c r="K1333" i="13"/>
  <c r="P1333" i="13" s="1"/>
  <c r="Q1333" i="13" l="1"/>
  <c r="J1333" i="13" s="1"/>
  <c r="R1333" i="13"/>
  <c r="M1333" i="13" l="1"/>
  <c r="T1333" i="13" s="1"/>
  <c r="N1333" i="13"/>
  <c r="L1333" i="13"/>
  <c r="I1334" i="13" l="1"/>
  <c r="O1334" i="13" s="1"/>
  <c r="AA1334" i="13" l="1"/>
  <c r="AB1331" i="13"/>
  <c r="K1334" i="13"/>
  <c r="P1334" i="13" s="1"/>
  <c r="Q1334" i="13" l="1"/>
  <c r="J1334" i="13" s="1"/>
  <c r="R1334" i="13"/>
  <c r="M1334" i="13" l="1"/>
  <c r="T1334" i="13" s="1"/>
  <c r="N1334" i="13"/>
  <c r="L1334" i="13"/>
  <c r="I1335" i="13" l="1"/>
  <c r="O1335" i="13" s="1"/>
  <c r="AA1335" i="13" l="1"/>
  <c r="AB1332" i="13"/>
  <c r="K1335" i="13"/>
  <c r="P1335" i="13" s="1"/>
  <c r="R1335" i="13" l="1"/>
  <c r="Q1335" i="13"/>
  <c r="J1335" i="13" s="1"/>
  <c r="M1335" i="13" l="1"/>
  <c r="T1335" i="13" s="1"/>
  <c r="N1335" i="13"/>
  <c r="L1335" i="13"/>
  <c r="I1336" i="13" l="1"/>
  <c r="O1336" i="13" s="1"/>
  <c r="AA1336" i="13" l="1"/>
  <c r="AB1333" i="13"/>
  <c r="K1336" i="13"/>
  <c r="P1336" i="13" s="1"/>
  <c r="Q1336" i="13" l="1"/>
  <c r="J1336" i="13" s="1"/>
  <c r="R1336" i="13"/>
  <c r="M1336" i="13" l="1"/>
  <c r="T1336" i="13" s="1"/>
  <c r="N1336" i="13"/>
  <c r="L1336" i="13"/>
  <c r="I1337" i="13" l="1"/>
  <c r="O1337" i="13" s="1"/>
  <c r="AA1337" i="13" l="1"/>
  <c r="AB1334" i="13"/>
  <c r="K1337" i="13"/>
  <c r="P1337" i="13" s="1"/>
  <c r="Q1337" i="13" l="1"/>
  <c r="J1337" i="13" s="1"/>
  <c r="R1337" i="13"/>
  <c r="M1337" i="13" l="1"/>
  <c r="T1337" i="13" s="1"/>
  <c r="N1337" i="13"/>
  <c r="L1337" i="13"/>
  <c r="I1338" i="13" l="1"/>
  <c r="O1338" i="13" s="1"/>
  <c r="K1338" i="13" l="1"/>
  <c r="P1338" i="13" s="1"/>
  <c r="AA1338" i="13"/>
  <c r="AB1335" i="13"/>
  <c r="R1338" i="13" l="1"/>
  <c r="Q1338" i="13"/>
  <c r="J1338" i="13" s="1"/>
  <c r="M1338" i="13" l="1"/>
  <c r="T1338" i="13" s="1"/>
  <c r="N1338" i="13"/>
  <c r="L1338" i="13"/>
  <c r="I1339" i="13" l="1"/>
  <c r="O1339" i="13" s="1"/>
  <c r="AA1339" i="13" l="1"/>
  <c r="AB1336" i="13"/>
  <c r="K1339" i="13"/>
  <c r="P1339" i="13" s="1"/>
  <c r="Q1339" i="13" l="1"/>
  <c r="J1339" i="13" s="1"/>
  <c r="R1339" i="13"/>
  <c r="M1339" i="13" l="1"/>
  <c r="T1339" i="13" s="1"/>
  <c r="N1339" i="13"/>
  <c r="L1339" i="13"/>
  <c r="I1340" i="13" l="1"/>
  <c r="O1340" i="13" s="1"/>
  <c r="AA1340" i="13" l="1"/>
  <c r="AB1337" i="13"/>
  <c r="K1340" i="13"/>
  <c r="P1340" i="13" s="1"/>
  <c r="Q1340" i="13" l="1"/>
  <c r="J1340" i="13" s="1"/>
  <c r="R1340" i="13"/>
  <c r="M1340" i="13" l="1"/>
  <c r="T1340" i="13" s="1"/>
  <c r="N1340" i="13"/>
  <c r="L1340" i="13"/>
  <c r="I1341" i="13" l="1"/>
  <c r="O1341" i="13" s="1"/>
  <c r="AA1341" i="13" l="1"/>
  <c r="AB1338" i="13"/>
  <c r="K1341" i="13"/>
  <c r="P1341" i="13" s="1"/>
  <c r="R1341" i="13" l="1"/>
  <c r="Q1341" i="13"/>
  <c r="J1341" i="13" s="1"/>
  <c r="M1341" i="13" l="1"/>
  <c r="T1341" i="13" s="1"/>
  <c r="N1341" i="13"/>
  <c r="L1341" i="13"/>
  <c r="I1342" i="13" l="1"/>
  <c r="O1342" i="13" s="1"/>
  <c r="AA1342" i="13" l="1"/>
  <c r="AB1339" i="13"/>
  <c r="K1342" i="13"/>
  <c r="P1342" i="13" s="1"/>
  <c r="Q1342" i="13" l="1"/>
  <c r="J1342" i="13" s="1"/>
  <c r="R1342" i="13"/>
  <c r="M1342" i="13" l="1"/>
  <c r="T1342" i="13" s="1"/>
  <c r="N1342" i="13"/>
  <c r="L1342" i="13"/>
  <c r="I1343" i="13" l="1"/>
  <c r="O1343" i="13" s="1"/>
  <c r="AA1343" i="13" l="1"/>
  <c r="AB1340" i="13"/>
  <c r="K1343" i="13"/>
  <c r="P1343" i="13" s="1"/>
  <c r="R1343" i="13" l="1"/>
  <c r="Q1343" i="13"/>
  <c r="J1343" i="13" s="1"/>
  <c r="N1343" i="13" l="1"/>
  <c r="M1343" i="13"/>
  <c r="T1343" i="13" s="1"/>
  <c r="L1343" i="13"/>
  <c r="I1344" i="13" l="1"/>
  <c r="O1344" i="13" s="1"/>
  <c r="AA1344" i="13" l="1"/>
  <c r="AB1341" i="13"/>
  <c r="K1344" i="13"/>
  <c r="P1344" i="13" s="1"/>
  <c r="R1344" i="13" l="1"/>
  <c r="Q1344" i="13"/>
  <c r="J1344" i="13" s="1"/>
  <c r="N1344" i="13" l="1"/>
  <c r="M1344" i="13"/>
  <c r="T1344" i="13" s="1"/>
  <c r="L1344" i="13"/>
  <c r="I1345" i="13" l="1"/>
  <c r="O1345" i="13" s="1"/>
  <c r="AA1345" i="13" l="1"/>
  <c r="AB1342" i="13"/>
  <c r="K1345" i="13"/>
  <c r="P1345" i="13" s="1"/>
  <c r="Q1345" i="13" l="1"/>
  <c r="J1345" i="13" s="1"/>
  <c r="R1345" i="13"/>
  <c r="N1345" i="13" l="1"/>
  <c r="M1345" i="13"/>
  <c r="T1345" i="13" s="1"/>
  <c r="L1345" i="13"/>
  <c r="I1346" i="13" l="1"/>
  <c r="O1346" i="13" s="1"/>
  <c r="AA1346" i="13" l="1"/>
  <c r="AB1343" i="13"/>
  <c r="K1346" i="13"/>
  <c r="P1346" i="13" s="1"/>
  <c r="R1346" i="13" l="1"/>
  <c r="Q1346" i="13"/>
  <c r="J1346" i="13" s="1"/>
  <c r="M1346" i="13" l="1"/>
  <c r="T1346" i="13" s="1"/>
  <c r="N1346" i="13"/>
  <c r="L1346" i="13"/>
  <c r="I1347" i="13" l="1"/>
  <c r="O1347" i="13" s="1"/>
  <c r="AA1347" i="13" l="1"/>
  <c r="AB1344" i="13"/>
  <c r="K1347" i="13"/>
  <c r="P1347" i="13" s="1"/>
  <c r="Q1347" i="13" l="1"/>
  <c r="J1347" i="13" s="1"/>
  <c r="R1347" i="13"/>
  <c r="N1347" i="13" l="1"/>
  <c r="M1347" i="13"/>
  <c r="T1347" i="13" s="1"/>
  <c r="L1347" i="13"/>
  <c r="I1348" i="13" l="1"/>
  <c r="O1348" i="13" s="1"/>
  <c r="AA1348" i="13" l="1"/>
  <c r="AB1345" i="13"/>
  <c r="K1348" i="13"/>
  <c r="P1348" i="13" s="1"/>
  <c r="R1348" i="13" l="1"/>
  <c r="Q1348" i="13"/>
  <c r="J1348" i="13" s="1"/>
  <c r="N1348" i="13" l="1"/>
  <c r="M1348" i="13"/>
  <c r="T1348" i="13" s="1"/>
  <c r="L1348" i="13"/>
  <c r="I1349" i="13" l="1"/>
  <c r="O1349" i="13" s="1"/>
  <c r="AA1349" i="13" l="1"/>
  <c r="AB1346" i="13"/>
  <c r="K1349" i="13"/>
  <c r="P1349" i="13" s="1"/>
  <c r="R1349" i="13" l="1"/>
  <c r="Q1349" i="13"/>
  <c r="J1349" i="13" s="1"/>
  <c r="N1349" i="13" l="1"/>
  <c r="M1349" i="13"/>
  <c r="T1349" i="13" s="1"/>
  <c r="L1349" i="13"/>
  <c r="I1350" i="13" l="1"/>
  <c r="O1350" i="13" s="1"/>
  <c r="AA1350" i="13" l="1"/>
  <c r="AB1347" i="13"/>
  <c r="K1350" i="13"/>
  <c r="P1350" i="13" s="1"/>
  <c r="Q1350" i="13" l="1"/>
  <c r="J1350" i="13" s="1"/>
  <c r="R1350" i="13"/>
  <c r="N1350" i="13" l="1"/>
  <c r="M1350" i="13"/>
  <c r="T1350" i="13" s="1"/>
  <c r="L1350" i="13"/>
  <c r="I1351" i="13" l="1"/>
  <c r="O1351" i="13" s="1"/>
  <c r="AA1351" i="13" l="1"/>
  <c r="AB1348" i="13"/>
  <c r="K1351" i="13"/>
  <c r="P1351" i="13" l="1"/>
  <c r="R1351" i="13" l="1"/>
  <c r="Q1351" i="13"/>
  <c r="J1351" i="13" s="1"/>
  <c r="N1351" i="13" l="1"/>
  <c r="M1351" i="13"/>
  <c r="T1351" i="13" s="1"/>
  <c r="L1351" i="13"/>
  <c r="I1352" i="13" l="1"/>
  <c r="O1352" i="13" s="1"/>
  <c r="AA1352" i="13" l="1"/>
  <c r="AB1349" i="13"/>
  <c r="K1352" i="13"/>
  <c r="P1352" i="13" s="1"/>
  <c r="R1352" i="13" l="1"/>
  <c r="Q1352" i="13"/>
  <c r="J1352" i="13" s="1"/>
  <c r="N1352" i="13" l="1"/>
  <c r="M1352" i="13"/>
  <c r="T1352" i="13" s="1"/>
  <c r="L1352" i="13"/>
  <c r="I1353" i="13" l="1"/>
  <c r="O1353" i="13" s="1"/>
  <c r="AA1353" i="13" l="1"/>
  <c r="AB1350" i="13"/>
  <c r="K1353" i="13"/>
  <c r="P1353" i="13" s="1"/>
  <c r="Q1353" i="13" l="1"/>
  <c r="J1353" i="13" s="1"/>
  <c r="R1353" i="13"/>
  <c r="N1353" i="13" l="1"/>
  <c r="M1353" i="13"/>
  <c r="T1353" i="13" s="1"/>
  <c r="L1353" i="13"/>
  <c r="I1354" i="13" l="1"/>
  <c r="O1354" i="13" s="1"/>
  <c r="AA1354" i="13" l="1"/>
  <c r="AB1351" i="13"/>
  <c r="K1354" i="13"/>
  <c r="P1354" i="13" s="1"/>
  <c r="Q1354" i="13" l="1"/>
  <c r="J1354" i="13" s="1"/>
  <c r="R1354" i="13"/>
  <c r="N1354" i="13" l="1"/>
  <c r="M1354" i="13"/>
  <c r="T1354" i="13" s="1"/>
  <c r="L1354" i="13"/>
  <c r="I1355" i="13" l="1"/>
  <c r="O1355" i="13" s="1"/>
  <c r="AA1355" i="13" l="1"/>
  <c r="AB1352" i="13"/>
  <c r="K1355" i="13"/>
  <c r="P1355" i="13" s="1"/>
  <c r="R1355" i="13" s="1"/>
  <c r="Q1355" i="13" l="1"/>
  <c r="J1355" i="13" s="1"/>
  <c r="L1355" i="13" s="1"/>
  <c r="N1355" i="13" l="1"/>
  <c r="M1355" i="13"/>
  <c r="T1355" i="13" s="1"/>
  <c r="I1356" i="13" l="1"/>
  <c r="O1356" i="13" s="1"/>
  <c r="AA1356" i="13" l="1"/>
  <c r="AB1353" i="13"/>
  <c r="K1356" i="13"/>
  <c r="P1356" i="13" s="1"/>
  <c r="R1356" i="13" l="1"/>
  <c r="Q1356" i="13"/>
  <c r="J1356" i="13" s="1"/>
  <c r="N1356" i="13" l="1"/>
  <c r="M1356" i="13"/>
  <c r="T1356" i="13" s="1"/>
  <c r="L1356" i="13"/>
  <c r="I1357" i="13" l="1"/>
  <c r="O1357" i="13" s="1"/>
  <c r="AA1357" i="13" l="1"/>
  <c r="AB1354" i="13"/>
  <c r="K1357" i="13"/>
  <c r="P1357" i="13" s="1"/>
  <c r="R1357" i="13" l="1"/>
  <c r="Q1357" i="13"/>
  <c r="J1357" i="13" s="1"/>
  <c r="N1357" i="13" l="1"/>
  <c r="M1357" i="13"/>
  <c r="T1357" i="13" s="1"/>
  <c r="L1357" i="13"/>
  <c r="I1358" i="13" l="1"/>
  <c r="O1358" i="13" s="1"/>
  <c r="AA1358" i="13" l="1"/>
  <c r="AB1355" i="13"/>
  <c r="K1358" i="13"/>
  <c r="P1358" i="13" s="1"/>
  <c r="R1358" i="13" l="1"/>
  <c r="Q1358" i="13"/>
  <c r="J1358" i="13" s="1"/>
  <c r="N1358" i="13" l="1"/>
  <c r="M1358" i="13"/>
  <c r="T1358" i="13" s="1"/>
  <c r="L1358" i="13"/>
  <c r="I1359" i="13" l="1"/>
  <c r="O1359" i="13" s="1"/>
  <c r="AA1359" i="13" l="1"/>
  <c r="AB1356" i="13"/>
  <c r="K1359" i="13"/>
  <c r="P1359" i="13" s="1"/>
  <c r="R1359" i="13" l="1"/>
  <c r="Q1359" i="13"/>
  <c r="J1359" i="13" s="1"/>
  <c r="N1359" i="13" l="1"/>
  <c r="M1359" i="13"/>
  <c r="T1359" i="13" s="1"/>
  <c r="L1359" i="13"/>
  <c r="I1360" i="13" l="1"/>
  <c r="O1360" i="13" s="1"/>
  <c r="AA1360" i="13" l="1"/>
  <c r="AB1357" i="13"/>
  <c r="K1360" i="13"/>
  <c r="P1360" i="13" s="1"/>
  <c r="R1360" i="13" l="1"/>
  <c r="Q1360" i="13"/>
  <c r="J1360" i="13" s="1"/>
  <c r="N1360" i="13" l="1"/>
  <c r="M1360" i="13"/>
  <c r="T1360" i="13" s="1"/>
  <c r="L1360" i="13"/>
  <c r="I1361" i="13" l="1"/>
  <c r="O1361" i="13" s="1"/>
  <c r="AA1361" i="13" l="1"/>
  <c r="AB1358" i="13"/>
  <c r="K1361" i="13"/>
  <c r="P1361" i="13" s="1"/>
  <c r="Q1361" i="13" l="1"/>
  <c r="J1361" i="13" s="1"/>
  <c r="R1361" i="13"/>
  <c r="M1361" i="13" l="1"/>
  <c r="T1361" i="13" s="1"/>
  <c r="N1361" i="13"/>
  <c r="L1361" i="13"/>
  <c r="I1362" i="13" l="1"/>
  <c r="O1362" i="13" s="1"/>
  <c r="AA1362" i="13" l="1"/>
  <c r="AB1359" i="13"/>
  <c r="K1362" i="13"/>
  <c r="P1362" i="13" s="1"/>
  <c r="R1362" i="13" s="1"/>
  <c r="Q1362" i="13" l="1"/>
  <c r="J1362" i="13" s="1"/>
  <c r="L1362" i="13" s="1"/>
  <c r="N1362" i="13" l="1"/>
  <c r="M1362" i="13"/>
  <c r="T1362" i="13" s="1"/>
  <c r="I1363" i="13" l="1"/>
  <c r="O1363" i="13" s="1"/>
  <c r="AA1363" i="13" l="1"/>
  <c r="AB1360" i="13"/>
  <c r="K1363" i="13"/>
  <c r="P1363" i="13" s="1"/>
  <c r="R1363" i="13" s="1"/>
  <c r="Q1363" i="13" l="1"/>
  <c r="J1363" i="13" s="1"/>
  <c r="L1363" i="13" s="1"/>
  <c r="N1363" i="13" l="1"/>
  <c r="M1363" i="13"/>
  <c r="T1363" i="13" s="1"/>
  <c r="I1364" i="13" l="1"/>
  <c r="O1364" i="13" s="1"/>
  <c r="AA1364" i="13" l="1"/>
  <c r="AB1361" i="13"/>
  <c r="K1364" i="13"/>
  <c r="P1364" i="13" s="1"/>
  <c r="Q1364" i="13" l="1"/>
  <c r="J1364" i="13" s="1"/>
  <c r="R1364" i="13"/>
  <c r="N1364" i="13" l="1"/>
  <c r="M1364" i="13"/>
  <c r="T1364" i="13" s="1"/>
  <c r="L1364" i="13"/>
  <c r="I1365" i="13" l="1"/>
  <c r="O1365" i="13" s="1"/>
  <c r="AA1365" i="13" l="1"/>
  <c r="AB1362" i="13"/>
  <c r="K1365" i="13"/>
  <c r="P1365" i="13" s="1"/>
  <c r="Q1365" i="13" l="1"/>
  <c r="J1365" i="13" s="1"/>
  <c r="R1365" i="13"/>
  <c r="M1365" i="13" l="1"/>
  <c r="T1365" i="13" s="1"/>
  <c r="N1365" i="13"/>
  <c r="L1365" i="13"/>
  <c r="I1366" i="13" l="1"/>
  <c r="O1366" i="13" s="1"/>
  <c r="AA1366" i="13" l="1"/>
  <c r="AB1363" i="13"/>
  <c r="K1366" i="13"/>
  <c r="P1366" i="13" s="1"/>
  <c r="Q1366" i="13" s="1"/>
  <c r="J1366" i="13" s="1"/>
  <c r="R1366" i="13" l="1"/>
  <c r="L1366" i="13"/>
  <c r="M1366" i="13"/>
  <c r="T1366" i="13" s="1"/>
  <c r="N1366" i="13"/>
  <c r="I1367" i="13" l="1"/>
  <c r="O1367" i="13" s="1"/>
  <c r="AA1367" i="13" l="1"/>
  <c r="AB1364" i="13"/>
  <c r="K1367" i="13"/>
  <c r="P1367" i="13" l="1"/>
  <c r="R1367" i="13" l="1"/>
  <c r="Q1367" i="13"/>
  <c r="J1367" i="13" s="1"/>
  <c r="M1367" i="13" l="1"/>
  <c r="T1367" i="13" s="1"/>
  <c r="N1367" i="13"/>
  <c r="L1367" i="13"/>
  <c r="I1368" i="13" l="1"/>
  <c r="O1368" i="13" s="1"/>
  <c r="AA1368" i="13" l="1"/>
  <c r="AB1365" i="13"/>
  <c r="K1368" i="13"/>
  <c r="P1368" i="13" s="1"/>
  <c r="Q1368" i="13" l="1"/>
  <c r="J1368" i="13" s="1"/>
  <c r="R1368" i="13"/>
  <c r="N1368" i="13" l="1"/>
  <c r="M1368" i="13"/>
  <c r="T1368" i="13" s="1"/>
  <c r="L1368" i="13"/>
  <c r="I1369" i="13" l="1"/>
  <c r="O1369" i="13" s="1"/>
  <c r="AA1369" i="13" l="1"/>
  <c r="AB1366" i="13"/>
  <c r="K1369" i="13"/>
  <c r="P1369" i="13" s="1"/>
  <c r="Q1369" i="13" l="1"/>
  <c r="J1369" i="13" s="1"/>
  <c r="R1369" i="13"/>
  <c r="M1369" i="13" l="1"/>
  <c r="T1369" i="13" s="1"/>
  <c r="N1369" i="13"/>
  <c r="L1369" i="13"/>
  <c r="I1370" i="13" l="1"/>
  <c r="O1370" i="13" s="1"/>
  <c r="AA1370" i="13" l="1"/>
  <c r="AB1367" i="13"/>
  <c r="K1370" i="13"/>
  <c r="P1370" i="13" s="1"/>
  <c r="R1370" i="13" l="1"/>
  <c r="Q1370" i="13"/>
  <c r="J1370" i="13" s="1"/>
  <c r="M1370" i="13" l="1"/>
  <c r="T1370" i="13" s="1"/>
  <c r="N1370" i="13"/>
  <c r="L1370" i="13"/>
  <c r="I1371" i="13" l="1"/>
  <c r="O1371" i="13" s="1"/>
  <c r="AA1371" i="13" l="1"/>
  <c r="AB1368" i="13"/>
  <c r="K1371" i="13"/>
  <c r="P1371" i="13" s="1"/>
  <c r="R1371" i="13" l="1"/>
  <c r="Q1371" i="13"/>
  <c r="J1371" i="13" s="1"/>
  <c r="M1371" i="13" l="1"/>
  <c r="T1371" i="13" s="1"/>
  <c r="N1371" i="13"/>
  <c r="L1371" i="13"/>
  <c r="I1372" i="13" l="1"/>
  <c r="O1372" i="13" s="1"/>
  <c r="AA1372" i="13" l="1"/>
  <c r="AB1369" i="13"/>
  <c r="K1372" i="13"/>
  <c r="P1372" i="13" s="1"/>
  <c r="R1372" i="13" l="1"/>
  <c r="Q1372" i="13"/>
  <c r="J1372" i="13" s="1"/>
  <c r="M1372" i="13" l="1"/>
  <c r="T1372" i="13" s="1"/>
  <c r="N1372" i="13"/>
  <c r="L1372" i="13"/>
  <c r="I1373" i="13" l="1"/>
  <c r="O1373" i="13" s="1"/>
  <c r="AA1373" i="13" l="1"/>
  <c r="AB1370" i="13"/>
  <c r="K1373" i="13"/>
  <c r="P1373" i="13" s="1"/>
  <c r="R1373" i="13" l="1"/>
  <c r="Q1373" i="13"/>
  <c r="J1373" i="13" s="1"/>
  <c r="M1373" i="13" l="1"/>
  <c r="T1373" i="13" s="1"/>
  <c r="N1373" i="13"/>
  <c r="L1373" i="13"/>
  <c r="I1374" i="13" l="1"/>
  <c r="O1374" i="13" s="1"/>
  <c r="K1374" i="13" l="1"/>
  <c r="P1374" i="13" s="1"/>
  <c r="Q1374" i="13" s="1"/>
  <c r="J1374" i="13" s="1"/>
  <c r="AA1374" i="13"/>
  <c r="AB1371" i="13"/>
  <c r="R1374" i="13" l="1"/>
  <c r="L1374" i="13"/>
  <c r="M1374" i="13"/>
  <c r="T1374" i="13" s="1"/>
  <c r="N1374" i="13"/>
  <c r="I1375" i="13" l="1"/>
  <c r="O1375" i="13" s="1"/>
  <c r="AA1375" i="13" l="1"/>
  <c r="AB1372" i="13"/>
  <c r="K1375" i="13"/>
  <c r="P1375" i="13" l="1"/>
  <c r="Q1375" i="13" l="1"/>
  <c r="J1375" i="13" s="1"/>
  <c r="R1375" i="13"/>
  <c r="M1375" i="13" l="1"/>
  <c r="T1375" i="13" s="1"/>
  <c r="N1375" i="13"/>
  <c r="L1375" i="13"/>
  <c r="I1376" i="13" l="1"/>
  <c r="O1376" i="13" s="1"/>
  <c r="K1376" i="13" l="1"/>
  <c r="P1376" i="13" s="1"/>
  <c r="AA1376" i="13"/>
  <c r="AB1373" i="13"/>
  <c r="Q1376" i="13" l="1"/>
  <c r="J1376" i="13" s="1"/>
  <c r="R1376" i="13"/>
  <c r="M1376" i="13" l="1"/>
  <c r="T1376" i="13" s="1"/>
  <c r="N1376" i="13"/>
  <c r="L1376" i="13"/>
  <c r="I1377" i="13" l="1"/>
  <c r="O1377" i="13" s="1"/>
  <c r="AA1377" i="13" l="1"/>
  <c r="AB1374" i="13"/>
  <c r="K1377" i="13"/>
  <c r="P1377" i="13" s="1"/>
  <c r="Q1377" i="13" l="1"/>
  <c r="J1377" i="13" s="1"/>
  <c r="R1377" i="13"/>
  <c r="M1377" i="13" l="1"/>
  <c r="T1377" i="13" s="1"/>
  <c r="N1377" i="13"/>
  <c r="L1377" i="13"/>
  <c r="I1378" i="13" l="1"/>
  <c r="O1378" i="13" s="1"/>
  <c r="AA1378" i="13" l="1"/>
  <c r="AB1375" i="13"/>
  <c r="K1378" i="13"/>
  <c r="P1378" i="13" s="1"/>
  <c r="Q1378" i="13" l="1"/>
  <c r="J1378" i="13" s="1"/>
  <c r="R1378" i="13"/>
  <c r="M1378" i="13" l="1"/>
  <c r="T1378" i="13" s="1"/>
  <c r="N1378" i="13"/>
  <c r="L1378" i="13"/>
  <c r="I1379" i="13" l="1"/>
  <c r="O1379" i="13" s="1"/>
  <c r="AA1379" i="13" l="1"/>
  <c r="AB1376" i="13"/>
  <c r="K1379" i="13"/>
  <c r="P1379" i="13" s="1"/>
  <c r="R1379" i="13" s="1"/>
  <c r="Q1379" i="13" l="1"/>
  <c r="J1379" i="13" s="1"/>
  <c r="L1379" i="13" s="1"/>
  <c r="N1379" i="13" l="1"/>
  <c r="M1379" i="13"/>
  <c r="I1380" i="13" l="1"/>
  <c r="O1380" i="13" s="1"/>
  <c r="AA1380" i="13" s="1"/>
  <c r="T1379" i="13"/>
  <c r="AB1377" i="13" l="1"/>
  <c r="K1380" i="13"/>
  <c r="P1380" i="13" s="1"/>
  <c r="Q1380" i="13" s="1"/>
  <c r="J1380" i="13" s="1"/>
  <c r="R1380" i="13" l="1"/>
  <c r="N1380" i="13"/>
  <c r="M1380" i="13"/>
  <c r="T1380" i="13" s="1"/>
  <c r="L1380" i="13"/>
  <c r="I1381" i="13" l="1"/>
  <c r="O1381" i="13" s="1"/>
  <c r="AA1381" i="13" l="1"/>
  <c r="AB1378" i="13"/>
  <c r="K1381" i="13"/>
  <c r="P1381" i="13" s="1"/>
  <c r="R1381" i="13" l="1"/>
  <c r="Q1381" i="13"/>
  <c r="J1381" i="13" s="1"/>
  <c r="M1381" i="13" l="1"/>
  <c r="T1381" i="13" s="1"/>
  <c r="N1381" i="13"/>
  <c r="L1381" i="13"/>
  <c r="I1382" i="13" l="1"/>
  <c r="O1382" i="13" s="1"/>
  <c r="AA1382" i="13" l="1"/>
  <c r="AB1379" i="13"/>
  <c r="K1382" i="13"/>
  <c r="P1382" i="13" s="1"/>
  <c r="Q1382" i="13" l="1"/>
  <c r="J1382" i="13" s="1"/>
  <c r="R1382" i="13"/>
  <c r="M1382" i="13" l="1"/>
  <c r="T1382" i="13" s="1"/>
  <c r="N1382" i="13"/>
  <c r="L1382" i="13"/>
  <c r="I1383" i="13" l="1"/>
  <c r="O1383" i="13" s="1"/>
  <c r="AA1383" i="13" l="1"/>
  <c r="AB1380" i="13"/>
  <c r="K1383" i="13"/>
  <c r="P1383" i="13" s="1"/>
  <c r="R1383" i="13" l="1"/>
  <c r="Q1383" i="13"/>
  <c r="J1383" i="13" s="1"/>
  <c r="M1383" i="13" l="1"/>
  <c r="T1383" i="13" s="1"/>
  <c r="N1383" i="13"/>
  <c r="L1383" i="13"/>
  <c r="I1384" i="13" l="1"/>
  <c r="O1384" i="13" s="1"/>
  <c r="AA1384" i="13" l="1"/>
  <c r="AB1381" i="13"/>
  <c r="K1384" i="13"/>
  <c r="P1384" i="13" s="1"/>
  <c r="R1384" i="13" l="1"/>
  <c r="Q1384" i="13"/>
  <c r="J1384" i="13" s="1"/>
  <c r="M1384" i="13" l="1"/>
  <c r="T1384" i="13" s="1"/>
  <c r="N1384" i="13"/>
  <c r="L1384" i="13"/>
  <c r="I1385" i="13" l="1"/>
  <c r="O1385" i="13" s="1"/>
  <c r="AA1385" i="13" l="1"/>
  <c r="AB1382" i="13"/>
  <c r="K1385" i="13"/>
  <c r="P1385" i="13" s="1"/>
  <c r="Q1385" i="13" l="1"/>
  <c r="J1385" i="13" s="1"/>
  <c r="R1385" i="13"/>
  <c r="M1385" i="13" l="1"/>
  <c r="T1385" i="13" s="1"/>
  <c r="N1385" i="13"/>
  <c r="L1385" i="13"/>
  <c r="I1386" i="13" l="1"/>
  <c r="O1386" i="13" s="1"/>
  <c r="AA1386" i="13" l="1"/>
  <c r="AB1383" i="13"/>
  <c r="K1386" i="13"/>
  <c r="P1386" i="13" s="1"/>
  <c r="R1386" i="13" l="1"/>
  <c r="Q1386" i="13"/>
  <c r="J1386" i="13" s="1"/>
  <c r="N1386" i="13" l="1"/>
  <c r="M1386" i="13"/>
  <c r="T1386" i="13" s="1"/>
  <c r="L1386" i="13"/>
  <c r="I1387" i="13" l="1"/>
  <c r="O1387" i="13" s="1"/>
  <c r="AA1387" i="13" l="1"/>
  <c r="AB1384" i="13"/>
  <c r="K1387" i="13"/>
  <c r="P1387" i="13" s="1"/>
  <c r="Q1387" i="13" l="1"/>
  <c r="J1387" i="13" s="1"/>
  <c r="R1387" i="13"/>
  <c r="N1387" i="13" l="1"/>
  <c r="M1387" i="13"/>
  <c r="T1387" i="13" s="1"/>
  <c r="L1387" i="13"/>
  <c r="I1388" i="13" l="1"/>
  <c r="O1388" i="13" s="1"/>
  <c r="AA1388" i="13" l="1"/>
  <c r="AB1385" i="13"/>
  <c r="K1388" i="13"/>
  <c r="P1388" i="13" l="1"/>
  <c r="R1388" i="13" l="1"/>
  <c r="Q1388" i="13"/>
  <c r="J1388" i="13" s="1"/>
  <c r="M1388" i="13" l="1"/>
  <c r="T1388" i="13" s="1"/>
  <c r="N1388" i="13"/>
  <c r="L1388" i="13"/>
  <c r="I1389" i="13" l="1"/>
  <c r="O1389" i="13" s="1"/>
  <c r="AA1389" i="13" l="1"/>
  <c r="AB1386" i="13"/>
  <c r="K1389" i="13"/>
  <c r="P1389" i="13" s="1"/>
  <c r="R1389" i="13" l="1"/>
  <c r="Q1389" i="13"/>
  <c r="J1389" i="13" s="1"/>
  <c r="M1389" i="13" l="1"/>
  <c r="T1389" i="13" s="1"/>
  <c r="N1389" i="13"/>
  <c r="L1389" i="13"/>
  <c r="I1390" i="13" l="1"/>
  <c r="O1390" i="13" s="1"/>
  <c r="AA1390" i="13" l="1"/>
  <c r="AB1387" i="13"/>
  <c r="K1390" i="13"/>
  <c r="P1390" i="13" s="1"/>
  <c r="R1390" i="13" l="1"/>
  <c r="Q1390" i="13"/>
  <c r="J1390" i="13" s="1"/>
  <c r="M1390" i="13" l="1"/>
  <c r="T1390" i="13" s="1"/>
  <c r="N1390" i="13"/>
  <c r="L1390" i="13"/>
  <c r="I1391" i="13" l="1"/>
  <c r="O1391" i="13" s="1"/>
  <c r="AA1391" i="13" l="1"/>
  <c r="AB1388" i="13"/>
  <c r="K1391" i="13"/>
  <c r="P1391" i="13" s="1"/>
  <c r="Q1391" i="13" l="1"/>
  <c r="J1391" i="13" s="1"/>
  <c r="R1391" i="13"/>
  <c r="M1391" i="13" l="1"/>
  <c r="T1391" i="13" s="1"/>
  <c r="N1391" i="13"/>
  <c r="L1391" i="13"/>
  <c r="I1392" i="13" l="1"/>
  <c r="O1392" i="13" s="1"/>
  <c r="AA1392" i="13" l="1"/>
  <c r="AB1389" i="13"/>
  <c r="K1392" i="13"/>
  <c r="P1392" i="13" s="1"/>
  <c r="Q1392" i="13" l="1"/>
  <c r="J1392" i="13" s="1"/>
  <c r="R1392" i="13"/>
  <c r="M1392" i="13" l="1"/>
  <c r="T1392" i="13" s="1"/>
  <c r="N1392" i="13"/>
  <c r="L1392" i="13"/>
  <c r="I1393" i="13" l="1"/>
  <c r="O1393" i="13" s="1"/>
  <c r="AA1393" i="13" l="1"/>
  <c r="AB1390" i="13"/>
  <c r="K1393" i="13"/>
  <c r="P1393" i="13" s="1"/>
  <c r="R1393" i="13" l="1"/>
  <c r="Q1393" i="13"/>
  <c r="J1393" i="13" s="1"/>
  <c r="M1393" i="13" l="1"/>
  <c r="T1393" i="13" s="1"/>
  <c r="N1393" i="13"/>
  <c r="L1393" i="13"/>
  <c r="I1394" i="13" l="1"/>
  <c r="O1394" i="13" s="1"/>
  <c r="AA1394" i="13" l="1"/>
  <c r="AB1391" i="13"/>
  <c r="K1394" i="13"/>
  <c r="P1394" i="13" s="1"/>
  <c r="Q1394" i="13" l="1"/>
  <c r="J1394" i="13" s="1"/>
  <c r="R1394" i="13"/>
  <c r="N1394" i="13" l="1"/>
  <c r="M1394" i="13"/>
  <c r="T1394" i="13" s="1"/>
  <c r="L1394" i="13"/>
  <c r="I1395" i="13" l="1"/>
  <c r="O1395" i="13" s="1"/>
  <c r="AA1395" i="13" l="1"/>
  <c r="AB1392" i="13"/>
  <c r="K1395" i="13"/>
  <c r="P1395" i="13" s="1"/>
  <c r="R1395" i="13" l="1"/>
  <c r="Q1395" i="13"/>
  <c r="J1395" i="13" s="1"/>
  <c r="N1395" i="13" l="1"/>
  <c r="M1395" i="13"/>
  <c r="T1395" i="13" s="1"/>
  <c r="L1395" i="13"/>
  <c r="I1396" i="13" l="1"/>
  <c r="O1396" i="13" s="1"/>
  <c r="AA1396" i="13" l="1"/>
  <c r="AB1393" i="13"/>
  <c r="K1396" i="13"/>
  <c r="P1396" i="13" s="1"/>
  <c r="Q1396" i="13" l="1"/>
  <c r="J1396" i="13" s="1"/>
  <c r="R1396" i="13"/>
  <c r="M1396" i="13" l="1"/>
  <c r="T1396" i="13" s="1"/>
  <c r="N1396" i="13"/>
  <c r="L1396" i="13"/>
  <c r="I1397" i="13" l="1"/>
  <c r="O1397" i="13" s="1"/>
  <c r="AA1397" i="13" l="1"/>
  <c r="AB1394" i="13"/>
  <c r="K1397" i="13"/>
  <c r="P1397" i="13" s="1"/>
  <c r="R1397" i="13" l="1"/>
  <c r="Q1397" i="13"/>
  <c r="J1397" i="13" s="1"/>
  <c r="M1397" i="13" l="1"/>
  <c r="T1397" i="13" s="1"/>
  <c r="N1397" i="13"/>
  <c r="L1397" i="13"/>
  <c r="I1398" i="13" l="1"/>
  <c r="O1398" i="13" s="1"/>
  <c r="AA1398" i="13" l="1"/>
  <c r="AB1395" i="13"/>
  <c r="K1398" i="13"/>
  <c r="P1398" i="13" s="1"/>
  <c r="Q1398" i="13" l="1"/>
  <c r="J1398" i="13" s="1"/>
  <c r="R1398" i="13"/>
  <c r="M1398" i="13" l="1"/>
  <c r="T1398" i="13" s="1"/>
  <c r="N1398" i="13"/>
  <c r="L1398" i="13"/>
  <c r="I1399" i="13" l="1"/>
  <c r="O1399" i="13" s="1"/>
  <c r="AA1399" i="13" l="1"/>
  <c r="AB1396" i="13"/>
  <c r="K1399" i="13"/>
  <c r="P1399" i="13" s="1"/>
  <c r="Q1399" i="13" l="1"/>
  <c r="J1399" i="13" s="1"/>
  <c r="R1399" i="13"/>
  <c r="N1399" i="13" l="1"/>
  <c r="M1399" i="13"/>
  <c r="T1399" i="13" s="1"/>
  <c r="L1399" i="13"/>
  <c r="I1400" i="13" l="1"/>
  <c r="O1400" i="13" s="1"/>
  <c r="AA1400" i="13" l="1"/>
  <c r="AB1397" i="13"/>
  <c r="K1400" i="13"/>
  <c r="P1400" i="13" s="1"/>
  <c r="Q1400" i="13" s="1"/>
  <c r="J1400" i="13" s="1"/>
  <c r="N1400" i="13" s="1"/>
  <c r="R1400" i="13" l="1"/>
  <c r="L1400" i="13"/>
  <c r="M1400" i="13"/>
  <c r="T1400" i="13" s="1"/>
  <c r="I1401" i="13" l="1"/>
  <c r="O1401" i="13" s="1"/>
  <c r="AA1401" i="13" l="1"/>
  <c r="AB1398" i="13"/>
  <c r="K1401" i="13"/>
  <c r="P1401" i="13" l="1"/>
  <c r="R1401" i="13" l="1"/>
  <c r="Q1401" i="13"/>
  <c r="J1401" i="13" s="1"/>
  <c r="M1401" i="13" l="1"/>
  <c r="T1401" i="13" s="1"/>
  <c r="N1401" i="13"/>
  <c r="L1401" i="13"/>
  <c r="I1402" i="13" l="1"/>
  <c r="O1402" i="13" s="1"/>
  <c r="AA1402" i="13" l="1"/>
  <c r="AB1399" i="13"/>
  <c r="K1402" i="13"/>
  <c r="P1402" i="13" s="1"/>
  <c r="Q1402" i="13" l="1"/>
  <c r="J1402" i="13" s="1"/>
  <c r="R1402" i="13"/>
  <c r="N1402" i="13" l="1"/>
  <c r="M1402" i="13"/>
  <c r="T1402" i="13" s="1"/>
  <c r="L1402" i="13"/>
  <c r="I1403" i="13" l="1"/>
  <c r="O1403" i="13" s="1"/>
  <c r="AA1403" i="13" l="1"/>
  <c r="AB1400" i="13"/>
  <c r="K1403" i="13"/>
  <c r="P1403" i="13" s="1"/>
  <c r="Q1403" i="13" l="1"/>
  <c r="J1403" i="13" s="1"/>
  <c r="R1403" i="13"/>
  <c r="N1403" i="13" l="1"/>
  <c r="M1403" i="13"/>
  <c r="T1403" i="13" s="1"/>
  <c r="L1403" i="13"/>
  <c r="I1404" i="13" l="1"/>
  <c r="O1404" i="13" s="1"/>
  <c r="AA1404" i="13" l="1"/>
  <c r="AB1401" i="13"/>
  <c r="K1404" i="13"/>
  <c r="P1404" i="13" s="1"/>
  <c r="R1404" i="13" l="1"/>
  <c r="Q1404" i="13"/>
  <c r="J1404" i="13" s="1"/>
  <c r="M1404" i="13" l="1"/>
  <c r="T1404" i="13" s="1"/>
  <c r="N1404" i="13"/>
  <c r="L1404" i="13"/>
  <c r="I1405" i="13" l="1"/>
  <c r="O1405" i="13" s="1"/>
  <c r="AA1405" i="13" l="1"/>
  <c r="AB1402" i="13"/>
  <c r="K1405" i="13"/>
  <c r="P1405" i="13" s="1"/>
  <c r="R1405" i="13" l="1"/>
  <c r="Q1405" i="13"/>
  <c r="J1405" i="13" s="1"/>
  <c r="N1405" i="13" l="1"/>
  <c r="M1405" i="13"/>
  <c r="T1405" i="13" s="1"/>
  <c r="L1405" i="13"/>
  <c r="I1406" i="13" l="1"/>
  <c r="O1406" i="13" s="1"/>
  <c r="AA1406" i="13" l="1"/>
  <c r="AB1403" i="13"/>
  <c r="K1406" i="13"/>
  <c r="P1406" i="13" s="1"/>
  <c r="Q1406" i="13" l="1"/>
  <c r="J1406" i="13" s="1"/>
  <c r="R1406" i="13"/>
  <c r="N1406" i="13" l="1"/>
  <c r="M1406" i="13"/>
  <c r="T1406" i="13" s="1"/>
  <c r="L1406" i="13"/>
  <c r="I1407" i="13" l="1"/>
  <c r="O1407" i="13" s="1"/>
  <c r="AA1407" i="13" l="1"/>
  <c r="AB1404" i="13"/>
  <c r="K1407" i="13"/>
  <c r="P1407" i="13" s="1"/>
  <c r="R1407" i="13" l="1"/>
  <c r="Q1407" i="13"/>
  <c r="J1407" i="13" s="1"/>
  <c r="N1407" i="13" l="1"/>
  <c r="M1407" i="13"/>
  <c r="T1407" i="13" s="1"/>
  <c r="L1407" i="13"/>
  <c r="I1408" i="13" l="1"/>
  <c r="O1408" i="13" s="1"/>
  <c r="AA1408" i="13" l="1"/>
  <c r="AB1405" i="13"/>
  <c r="K1408" i="13"/>
  <c r="P1408" i="13" s="1"/>
  <c r="R1408" i="13" l="1"/>
  <c r="Q1408" i="13"/>
  <c r="J1408" i="13" s="1"/>
  <c r="M1408" i="13" l="1"/>
  <c r="T1408" i="13" s="1"/>
  <c r="N1408" i="13"/>
  <c r="L1408" i="13"/>
  <c r="I1409" i="13" l="1"/>
  <c r="O1409" i="13" s="1"/>
  <c r="AA1409" i="13" l="1"/>
  <c r="AB1406" i="13"/>
  <c r="K1409" i="13"/>
  <c r="P1409" i="13" s="1"/>
  <c r="R1409" i="13" l="1"/>
  <c r="Q1409" i="13"/>
  <c r="J1409" i="13" s="1"/>
  <c r="M1409" i="13" l="1"/>
  <c r="T1409" i="13" s="1"/>
  <c r="N1409" i="13"/>
  <c r="L1409" i="13"/>
  <c r="I1410" i="13" l="1"/>
  <c r="O1410" i="13" s="1"/>
  <c r="AA1410" i="13" l="1"/>
  <c r="AB1407" i="13"/>
  <c r="K1410" i="13"/>
  <c r="P1410" i="13" s="1"/>
  <c r="Q1410" i="13" s="1"/>
  <c r="J1410" i="13" s="1"/>
  <c r="R1410" i="13" l="1"/>
  <c r="L1410" i="13"/>
  <c r="M1410" i="13"/>
  <c r="T1410" i="13" s="1"/>
  <c r="N1410" i="13"/>
  <c r="I1411" i="13" l="1"/>
  <c r="O1411" i="13" s="1"/>
  <c r="AA1411" i="13" l="1"/>
  <c r="AB1408" i="13"/>
  <c r="K1411" i="13"/>
  <c r="P1411" i="13" l="1"/>
  <c r="R1411" i="13" l="1"/>
  <c r="Q1411" i="13"/>
  <c r="J1411" i="13" s="1"/>
  <c r="N1411" i="13" l="1"/>
  <c r="M1411" i="13"/>
  <c r="T1411" i="13" s="1"/>
  <c r="L1411" i="13"/>
  <c r="I1412" i="13" l="1"/>
  <c r="O1412" i="13" s="1"/>
  <c r="AA1412" i="13" l="1"/>
  <c r="AB1409" i="13"/>
  <c r="K1412" i="13"/>
  <c r="P1412" i="13" s="1"/>
  <c r="R1412" i="13" l="1"/>
  <c r="Q1412" i="13"/>
  <c r="J1412" i="13" s="1"/>
  <c r="N1412" i="13" l="1"/>
  <c r="M1412" i="13"/>
  <c r="T1412" i="13" s="1"/>
  <c r="L1412" i="13"/>
  <c r="I1413" i="13" l="1"/>
  <c r="O1413" i="13" s="1"/>
  <c r="AA1413" i="13" l="1"/>
  <c r="AB1410" i="13"/>
  <c r="K1413" i="13"/>
  <c r="P1413" i="13" s="1"/>
  <c r="R1413" i="13" l="1"/>
  <c r="Q1413" i="13"/>
  <c r="J1413" i="13" s="1"/>
  <c r="N1413" i="13" l="1"/>
  <c r="M1413" i="13"/>
  <c r="T1413" i="13" s="1"/>
  <c r="L1413" i="13"/>
  <c r="I1414" i="13" l="1"/>
  <c r="O1414" i="13" s="1"/>
  <c r="AA1414" i="13" l="1"/>
  <c r="AB1411" i="13"/>
  <c r="K1414" i="13"/>
  <c r="P1414" i="13" s="1"/>
  <c r="Q1414" i="13" s="1"/>
  <c r="J1414" i="13" s="1"/>
  <c r="R1414" i="13" l="1"/>
  <c r="L1414" i="13"/>
  <c r="M1414" i="13"/>
  <c r="T1414" i="13" s="1"/>
  <c r="N1414" i="13"/>
  <c r="I1415" i="13" l="1"/>
  <c r="O1415" i="13" s="1"/>
  <c r="AA1415" i="13" l="1"/>
  <c r="AB1412" i="13"/>
  <c r="K1415" i="13"/>
  <c r="P1415" i="13" l="1"/>
  <c r="R1415" i="13" l="1"/>
  <c r="Q1415" i="13"/>
  <c r="J1415" i="13" s="1"/>
  <c r="N1415" i="13" l="1"/>
  <c r="M1415" i="13"/>
  <c r="T1415" i="13" s="1"/>
  <c r="L1415" i="13"/>
  <c r="I1416" i="13" l="1"/>
  <c r="O1416" i="13" s="1"/>
  <c r="AA1416" i="13" l="1"/>
  <c r="AB1413" i="13"/>
  <c r="K1416" i="13"/>
  <c r="P1416" i="13" s="1"/>
  <c r="R1416" i="13" l="1"/>
  <c r="Q1416" i="13"/>
  <c r="J1416" i="13" s="1"/>
  <c r="M1416" i="13" l="1"/>
  <c r="T1416" i="13" s="1"/>
  <c r="N1416" i="13"/>
  <c r="L1416" i="13"/>
  <c r="I1417" i="13" l="1"/>
  <c r="O1417" i="13" s="1"/>
  <c r="K1417" i="13" l="1"/>
  <c r="P1417" i="13" s="1"/>
  <c r="AA1417" i="13"/>
  <c r="AB1414" i="13"/>
  <c r="Q1417" i="13" l="1"/>
  <c r="J1417" i="13" s="1"/>
  <c r="R1417" i="13"/>
  <c r="M1417" i="13" l="1"/>
  <c r="T1417" i="13" s="1"/>
  <c r="N1417" i="13"/>
  <c r="L1417" i="13"/>
  <c r="I1418" i="13" l="1"/>
  <c r="O1418" i="13" s="1"/>
  <c r="AA1418" i="13" l="1"/>
  <c r="AB1415" i="13"/>
  <c r="K1418" i="13"/>
  <c r="P1418" i="13" s="1"/>
  <c r="Q1418" i="13" l="1"/>
  <c r="J1418" i="13" s="1"/>
  <c r="R1418" i="13"/>
  <c r="N1418" i="13" l="1"/>
  <c r="M1418" i="13"/>
  <c r="T1418" i="13" s="1"/>
  <c r="L1418" i="13"/>
  <c r="I1419" i="13" l="1"/>
  <c r="O1419" i="13" s="1"/>
  <c r="AA1419" i="13" l="1"/>
  <c r="AB1416" i="13"/>
  <c r="K1419" i="13"/>
  <c r="P1419" i="13" s="1"/>
  <c r="R1419" i="13" l="1"/>
  <c r="Q1419" i="13"/>
  <c r="J1419" i="13" s="1"/>
  <c r="N1419" i="13" l="1"/>
  <c r="M1419" i="13"/>
  <c r="T1419" i="13" s="1"/>
  <c r="L1419" i="13"/>
  <c r="I1420" i="13" l="1"/>
  <c r="O1420" i="13" s="1"/>
  <c r="AA1420" i="13" l="1"/>
  <c r="AB1417" i="13"/>
  <c r="K1420" i="13"/>
  <c r="P1420" i="13" s="1"/>
  <c r="R1420" i="13" l="1"/>
  <c r="Q1420" i="13"/>
  <c r="J1420" i="13" s="1"/>
  <c r="N1420" i="13" l="1"/>
  <c r="M1420" i="13"/>
  <c r="T1420" i="13" s="1"/>
  <c r="L1420" i="13"/>
  <c r="I1421" i="13" l="1"/>
  <c r="O1421" i="13" s="1"/>
  <c r="AA1421" i="13" l="1"/>
  <c r="AB1418" i="13"/>
  <c r="K1421" i="13"/>
  <c r="P1421" i="13" s="1"/>
  <c r="Q1421" i="13" l="1"/>
  <c r="J1421" i="13" s="1"/>
  <c r="R1421" i="13"/>
  <c r="M1421" i="13" l="1"/>
  <c r="T1421" i="13" s="1"/>
  <c r="N1421" i="13"/>
  <c r="L1421" i="13"/>
  <c r="I1422" i="13" l="1"/>
  <c r="O1422" i="13" s="1"/>
  <c r="AA1422" i="13" l="1"/>
  <c r="AB1419" i="13"/>
  <c r="K1422" i="13"/>
  <c r="P1422" i="13" s="1"/>
  <c r="R1422" i="13" l="1"/>
  <c r="Q1422" i="13"/>
  <c r="J1422" i="13" s="1"/>
  <c r="N1422" i="13" l="1"/>
  <c r="M1422" i="13"/>
  <c r="T1422" i="13" s="1"/>
  <c r="L1422" i="13"/>
  <c r="I1423" i="13" l="1"/>
  <c r="O1423" i="13" s="1"/>
  <c r="AA1423" i="13" l="1"/>
  <c r="AB1420" i="13"/>
  <c r="K1423" i="13"/>
  <c r="P1423" i="13" s="1"/>
  <c r="R1423" i="13" l="1"/>
  <c r="Q1423" i="13"/>
  <c r="J1423" i="13" s="1"/>
  <c r="N1423" i="13" l="1"/>
  <c r="M1423" i="13"/>
  <c r="T1423" i="13" s="1"/>
  <c r="L1423" i="13"/>
  <c r="I1424" i="13" l="1"/>
  <c r="O1424" i="13" s="1"/>
  <c r="AA1424" i="13" l="1"/>
  <c r="AB1421" i="13"/>
  <c r="K1424" i="13"/>
  <c r="P1424" i="13" s="1"/>
  <c r="R1424" i="13" l="1"/>
  <c r="Q1424" i="13"/>
  <c r="J1424" i="13" s="1"/>
  <c r="N1424" i="13" l="1"/>
  <c r="M1424" i="13"/>
  <c r="T1424" i="13" s="1"/>
  <c r="L1424" i="13"/>
  <c r="I1425" i="13" l="1"/>
  <c r="O1425" i="13" s="1"/>
  <c r="AA1425" i="13" l="1"/>
  <c r="AB1422" i="13"/>
  <c r="K1425" i="13"/>
  <c r="P1425" i="13" s="1"/>
  <c r="R1425" i="13" l="1"/>
  <c r="Q1425" i="13"/>
  <c r="J1425" i="13" s="1"/>
  <c r="M1425" i="13" l="1"/>
  <c r="T1425" i="13" s="1"/>
  <c r="N1425" i="13"/>
  <c r="L1425" i="13"/>
  <c r="I1426" i="13" l="1"/>
  <c r="O1426" i="13" s="1"/>
  <c r="AA1426" i="13" l="1"/>
  <c r="AB1423" i="13"/>
  <c r="K1426" i="13"/>
  <c r="P1426" i="13" s="1"/>
  <c r="R1426" i="13" l="1"/>
  <c r="Q1426" i="13"/>
  <c r="J1426" i="13" s="1"/>
  <c r="M1426" i="13" l="1"/>
  <c r="T1426" i="13" s="1"/>
  <c r="N1426" i="13"/>
  <c r="L1426" i="13"/>
  <c r="I1427" i="13" l="1"/>
  <c r="O1427" i="13" s="1"/>
  <c r="AA1427" i="13" l="1"/>
  <c r="AB1424" i="13"/>
  <c r="K1427" i="13"/>
  <c r="P1427" i="13" s="1"/>
  <c r="R1427" i="13" l="1"/>
  <c r="Q1427" i="13"/>
  <c r="J1427" i="13" s="1"/>
  <c r="N1427" i="13" l="1"/>
  <c r="M1427" i="13"/>
  <c r="T1427" i="13" s="1"/>
  <c r="L1427" i="13"/>
  <c r="I1428" i="13" l="1"/>
  <c r="O1428" i="13" s="1"/>
  <c r="AA1428" i="13" l="1"/>
  <c r="AB1425" i="13"/>
  <c r="K1428" i="13"/>
  <c r="P1428" i="13" s="1"/>
  <c r="R1428" i="13" l="1"/>
  <c r="Q1428" i="13"/>
  <c r="J1428" i="13" s="1"/>
  <c r="L1428" i="13" l="1"/>
  <c r="M1428" i="13"/>
  <c r="T1428" i="13" s="1"/>
  <c r="N1428" i="13"/>
  <c r="I1429" i="13" l="1"/>
  <c r="O1429" i="13" s="1"/>
  <c r="AA1429" i="13" l="1"/>
  <c r="AB1426" i="13"/>
  <c r="K1429" i="13"/>
  <c r="P1429" i="13" l="1"/>
  <c r="Q1429" i="13" l="1"/>
  <c r="J1429" i="13" s="1"/>
  <c r="R1429" i="13"/>
  <c r="N1429" i="13" l="1"/>
  <c r="M1429" i="13"/>
  <c r="T1429" i="13" s="1"/>
  <c r="L1429" i="13"/>
  <c r="I1430" i="13" l="1"/>
  <c r="O1430" i="13" s="1"/>
  <c r="AA1430" i="13" l="1"/>
  <c r="AB1427" i="13"/>
  <c r="K1430" i="13"/>
  <c r="P1430" i="13" s="1"/>
  <c r="R1430" i="13" l="1"/>
  <c r="Q1430" i="13"/>
  <c r="J1430" i="13" s="1"/>
  <c r="N1430" i="13" l="1"/>
  <c r="M1430" i="13"/>
  <c r="T1430" i="13" s="1"/>
  <c r="L1430" i="13"/>
  <c r="I1431" i="13" l="1"/>
  <c r="O1431" i="13" s="1"/>
  <c r="AA1431" i="13" l="1"/>
  <c r="AB1428" i="13"/>
  <c r="K1431" i="13"/>
  <c r="P1431" i="13" s="1"/>
  <c r="R1431" i="13" l="1"/>
  <c r="Q1431" i="13"/>
  <c r="J1431" i="13" s="1"/>
  <c r="M1431" i="13" l="1"/>
  <c r="T1431" i="13" s="1"/>
  <c r="N1431" i="13"/>
  <c r="L1431" i="13"/>
  <c r="I1432" i="13" l="1"/>
  <c r="O1432" i="13" s="1"/>
  <c r="AA1432" i="13" l="1"/>
  <c r="AB1429" i="13"/>
  <c r="K1432" i="13"/>
  <c r="P1432" i="13" s="1"/>
  <c r="Q1432" i="13" s="1"/>
  <c r="J1432" i="13" s="1"/>
  <c r="R1432" i="13" l="1"/>
  <c r="L1432" i="13"/>
  <c r="M1432" i="13"/>
  <c r="T1432" i="13" s="1"/>
  <c r="N1432" i="13"/>
  <c r="I1433" i="13" l="1"/>
  <c r="O1433" i="13" s="1"/>
  <c r="AA1433" i="13" l="1"/>
  <c r="AB1430" i="13"/>
  <c r="K1433" i="13"/>
  <c r="P1433" i="13" s="1"/>
  <c r="R1433" i="13" l="1"/>
  <c r="Q1433" i="13"/>
  <c r="J1433" i="13" s="1"/>
  <c r="M1433" i="13" l="1"/>
  <c r="T1433" i="13" s="1"/>
  <c r="N1433" i="13"/>
  <c r="L1433" i="13"/>
  <c r="I1434" i="13" l="1"/>
  <c r="O1434" i="13" s="1"/>
  <c r="K1434" i="13" l="1"/>
  <c r="P1434" i="13" s="1"/>
  <c r="AA1434" i="13"/>
  <c r="AB1431" i="13"/>
  <c r="Q1434" i="13" l="1"/>
  <c r="J1434" i="13" s="1"/>
  <c r="R1434" i="13"/>
  <c r="M1434" i="13" l="1"/>
  <c r="T1434" i="13" s="1"/>
  <c r="N1434" i="13"/>
  <c r="L1434" i="13"/>
  <c r="I1435" i="13" l="1"/>
  <c r="O1435" i="13" s="1"/>
  <c r="K1435" i="13" l="1"/>
  <c r="P1435" i="13" s="1"/>
  <c r="AA1435" i="13"/>
  <c r="AB1432" i="13"/>
  <c r="Q1435" i="13" l="1"/>
  <c r="J1435" i="13" s="1"/>
  <c r="R1435" i="13"/>
  <c r="N1435" i="13" l="1"/>
  <c r="M1435" i="13"/>
  <c r="T1435" i="13" s="1"/>
  <c r="L1435" i="13"/>
  <c r="I1436" i="13" l="1"/>
  <c r="O1436" i="13" s="1"/>
  <c r="AA1436" i="13" l="1"/>
  <c r="AB1433" i="13"/>
  <c r="K1436" i="13"/>
  <c r="P1436" i="13" s="1"/>
  <c r="R1436" i="13" l="1"/>
  <c r="Q1436" i="13"/>
  <c r="J1436" i="13" s="1"/>
  <c r="N1436" i="13" l="1"/>
  <c r="M1436" i="13"/>
  <c r="T1436" i="13" s="1"/>
  <c r="L1436" i="13"/>
  <c r="I1437" i="13" l="1"/>
  <c r="O1437" i="13" s="1"/>
  <c r="AA1437" i="13" l="1"/>
  <c r="AB1434" i="13"/>
  <c r="K1437" i="13"/>
  <c r="P1437" i="13" s="1"/>
  <c r="R1437" i="13" l="1"/>
  <c r="Q1437" i="13"/>
  <c r="J1437" i="13" s="1"/>
  <c r="N1437" i="13" l="1"/>
  <c r="M1437" i="13"/>
  <c r="T1437" i="13" s="1"/>
  <c r="L1437" i="13"/>
  <c r="I1438" i="13" l="1"/>
  <c r="O1438" i="13" s="1"/>
  <c r="AA1438" i="13" l="1"/>
  <c r="AB1435" i="13"/>
  <c r="K1438" i="13"/>
  <c r="P1438" i="13" s="1"/>
  <c r="Q1438" i="13" l="1"/>
  <c r="J1438" i="13" s="1"/>
  <c r="R1438" i="13"/>
  <c r="M1438" i="13" l="1"/>
  <c r="T1438" i="13" s="1"/>
  <c r="N1438" i="13"/>
  <c r="L1438" i="13"/>
  <c r="I1439" i="13" l="1"/>
  <c r="O1439" i="13" s="1"/>
  <c r="AA1439" i="13" l="1"/>
  <c r="AB1436" i="13"/>
  <c r="K1439" i="13"/>
  <c r="P1439" i="13" s="1"/>
  <c r="R1439" i="13" l="1"/>
  <c r="Q1439" i="13"/>
  <c r="J1439" i="13" s="1"/>
  <c r="M1439" i="13" l="1"/>
  <c r="T1439" i="13" s="1"/>
  <c r="N1439" i="13"/>
  <c r="L1439" i="13"/>
  <c r="I1440" i="13" l="1"/>
  <c r="O1440" i="13" s="1"/>
  <c r="AA1440" i="13" l="1"/>
  <c r="AB1437" i="13"/>
  <c r="K1440" i="13"/>
  <c r="P1440" i="13" s="1"/>
  <c r="Q1440" i="13" l="1"/>
  <c r="J1440" i="13" s="1"/>
  <c r="R1440" i="13"/>
  <c r="M1440" i="13" l="1"/>
  <c r="T1440" i="13" s="1"/>
  <c r="N1440" i="13"/>
  <c r="L1440" i="13"/>
  <c r="I1441" i="13" l="1"/>
  <c r="O1441" i="13" s="1"/>
  <c r="AA1441" i="13" l="1"/>
  <c r="AB1438" i="13"/>
  <c r="K1441" i="13"/>
  <c r="P1441" i="13" s="1"/>
  <c r="R1441" i="13" s="1"/>
  <c r="Q1441" i="13" l="1"/>
  <c r="J1441" i="13" s="1"/>
  <c r="L1441" i="13" s="1"/>
  <c r="N1441" i="13" l="1"/>
  <c r="M1441" i="13"/>
  <c r="T1441" i="13" s="1"/>
  <c r="I1442" i="13" l="1"/>
  <c r="O1442" i="13" s="1"/>
  <c r="AA1442" i="13" l="1"/>
  <c r="AB1439" i="13"/>
  <c r="K1442" i="13"/>
  <c r="P1442" i="13" s="1"/>
  <c r="Q1442" i="13" l="1"/>
  <c r="J1442" i="13" s="1"/>
  <c r="R1442" i="13"/>
  <c r="N1442" i="13" l="1"/>
  <c r="M1442" i="13"/>
  <c r="T1442" i="13" s="1"/>
  <c r="L1442" i="13"/>
  <c r="I1443" i="13" l="1"/>
  <c r="O1443" i="13" s="1"/>
  <c r="AA1443" i="13" l="1"/>
  <c r="AB1440" i="13"/>
  <c r="K1443" i="13"/>
  <c r="P1443" i="13" s="1"/>
  <c r="Q1443" i="13" l="1"/>
  <c r="J1443" i="13" s="1"/>
  <c r="R1443" i="13"/>
  <c r="M1443" i="13" l="1"/>
  <c r="T1443" i="13" s="1"/>
  <c r="N1443" i="13"/>
  <c r="L1443" i="13"/>
  <c r="I1444" i="13" l="1"/>
  <c r="O1444" i="13" s="1"/>
  <c r="AA1444" i="13" l="1"/>
  <c r="AB1441" i="13"/>
  <c r="K1444" i="13"/>
  <c r="P1444" i="13" s="1"/>
  <c r="R1444" i="13" l="1"/>
  <c r="Q1444" i="13"/>
  <c r="J1444" i="13" s="1"/>
  <c r="M1444" i="13" l="1"/>
  <c r="T1444" i="13" s="1"/>
  <c r="N1444" i="13"/>
  <c r="L1444" i="13"/>
  <c r="I1445" i="13" l="1"/>
  <c r="O1445" i="13" s="1"/>
  <c r="K1445" i="13" l="1"/>
  <c r="P1445" i="13" s="1"/>
  <c r="Q1445" i="13" s="1"/>
  <c r="J1445" i="13" s="1"/>
  <c r="AA1445" i="13"/>
  <c r="AB1442" i="13"/>
  <c r="R1445" i="13" l="1"/>
  <c r="L1445" i="13"/>
  <c r="M1445" i="13"/>
  <c r="T1445" i="13" s="1"/>
  <c r="N1445" i="13"/>
  <c r="I1446" i="13" l="1"/>
  <c r="O1446" i="13" s="1"/>
  <c r="AA1446" i="13" l="1"/>
  <c r="AB1443" i="13"/>
  <c r="K1446" i="13"/>
  <c r="P1446" i="13" l="1"/>
  <c r="Q1446" i="13" l="1"/>
  <c r="J1446" i="13" s="1"/>
  <c r="R1446" i="13"/>
  <c r="M1446" i="13" l="1"/>
  <c r="T1446" i="13" s="1"/>
  <c r="N1446" i="13"/>
  <c r="L1446" i="13"/>
  <c r="I1447" i="13" l="1"/>
  <c r="O1447" i="13" s="1"/>
  <c r="AA1447" i="13" l="1"/>
  <c r="AB1444" i="13"/>
  <c r="K1447" i="13"/>
  <c r="P1447" i="13" s="1"/>
  <c r="Q1447" i="13" s="1"/>
  <c r="J1447" i="13" s="1"/>
  <c r="L1447" i="13" s="1"/>
  <c r="R1447" i="13" l="1"/>
  <c r="N1447" i="13"/>
  <c r="M1447" i="13"/>
  <c r="T1447" i="13" s="1"/>
  <c r="I1448" i="13" l="1"/>
  <c r="O1448" i="13" s="1"/>
  <c r="AA1448" i="13" l="1"/>
  <c r="AB1445" i="13"/>
  <c r="K1448" i="13"/>
  <c r="P1448" i="13" s="1"/>
  <c r="Q1448" i="13" l="1"/>
  <c r="J1448" i="13" s="1"/>
  <c r="R1448" i="13"/>
  <c r="M1448" i="13" l="1"/>
  <c r="T1448" i="13" s="1"/>
  <c r="N1448" i="13"/>
  <c r="L1448" i="13"/>
  <c r="I1449" i="13" l="1"/>
  <c r="O1449" i="13" s="1"/>
  <c r="AA1449" i="13" l="1"/>
  <c r="AB1446" i="13"/>
  <c r="K1449" i="13"/>
  <c r="P1449" i="13" s="1"/>
  <c r="R1449" i="13" l="1"/>
  <c r="Q1449" i="13"/>
  <c r="J1449" i="13" s="1"/>
  <c r="M1449" i="13" l="1"/>
  <c r="T1449" i="13" s="1"/>
  <c r="N1449" i="13"/>
  <c r="L1449" i="13"/>
  <c r="I1450" i="13" l="1"/>
  <c r="O1450" i="13" s="1"/>
  <c r="AA1450" i="13" l="1"/>
  <c r="AB1447" i="13"/>
  <c r="K1450" i="13"/>
  <c r="P1450" i="13" s="1"/>
  <c r="R1450" i="13" l="1"/>
  <c r="Q1450" i="13"/>
  <c r="J1450" i="13" s="1"/>
  <c r="N1450" i="13" l="1"/>
  <c r="M1450" i="13"/>
  <c r="T1450" i="13" s="1"/>
  <c r="L1450" i="13"/>
  <c r="I1451" i="13" l="1"/>
  <c r="O1451" i="13" s="1"/>
  <c r="AA1451" i="13" l="1"/>
  <c r="AB1448" i="13"/>
  <c r="K1451" i="13"/>
  <c r="P1451" i="13" s="1"/>
  <c r="Q1451" i="13" l="1"/>
  <c r="J1451" i="13" s="1"/>
  <c r="R1451" i="13"/>
  <c r="M1451" i="13" l="1"/>
  <c r="T1451" i="13" s="1"/>
  <c r="L1451" i="13"/>
  <c r="N1451" i="13"/>
  <c r="I1452" i="13" l="1"/>
  <c r="O1452" i="13" s="1"/>
  <c r="AA1452" i="13" l="1"/>
  <c r="AB1449" i="13"/>
  <c r="K1452" i="13"/>
  <c r="P1452" i="13" s="1"/>
  <c r="R1452" i="13" l="1"/>
  <c r="Q1452" i="13"/>
  <c r="J1452" i="13" s="1"/>
  <c r="M1452" i="13" l="1"/>
  <c r="T1452" i="13" s="1"/>
  <c r="N1452" i="13"/>
  <c r="L1452" i="13"/>
  <c r="I1453" i="13" l="1"/>
  <c r="O1453" i="13" s="1"/>
  <c r="AA1453" i="13" l="1"/>
  <c r="AB1450" i="13"/>
  <c r="K1453" i="13"/>
  <c r="P1453" i="13" s="1"/>
  <c r="Q1453" i="13" l="1"/>
  <c r="J1453" i="13" s="1"/>
  <c r="R1453" i="13"/>
  <c r="M1453" i="13" l="1"/>
  <c r="T1453" i="13" s="1"/>
  <c r="N1453" i="13"/>
  <c r="L1453" i="13"/>
  <c r="I1454" i="13" l="1"/>
  <c r="O1454" i="13" s="1"/>
  <c r="AA1454" i="13" l="1"/>
  <c r="AB1451" i="13"/>
  <c r="K1454" i="13"/>
  <c r="P1454" i="13" s="1"/>
  <c r="Q1454" i="13" l="1"/>
  <c r="J1454" i="13" s="1"/>
  <c r="R1454" i="13"/>
  <c r="N1454" i="13" l="1"/>
  <c r="M1454" i="13"/>
  <c r="T1454" i="13" s="1"/>
  <c r="L1454" i="13"/>
  <c r="I1455" i="13" l="1"/>
  <c r="O1455" i="13" s="1"/>
  <c r="AA1455" i="13" l="1"/>
  <c r="AB1452" i="13"/>
  <c r="K1455" i="13"/>
  <c r="P1455" i="13" s="1"/>
  <c r="Q1455" i="13" l="1"/>
  <c r="J1455" i="13" s="1"/>
  <c r="R1455" i="13"/>
  <c r="N1455" i="13" l="1"/>
  <c r="M1455" i="13"/>
  <c r="T1455" i="13" s="1"/>
  <c r="L1455" i="13"/>
  <c r="I1456" i="13" l="1"/>
  <c r="O1456" i="13" s="1"/>
  <c r="AA1456" i="13" l="1"/>
  <c r="AB1453" i="13"/>
  <c r="K1456" i="13"/>
  <c r="P1456" i="13" s="1"/>
  <c r="Q1456" i="13" l="1"/>
  <c r="J1456" i="13" s="1"/>
  <c r="R1456" i="13"/>
  <c r="N1456" i="13" l="1"/>
  <c r="M1456" i="13"/>
  <c r="T1456" i="13" s="1"/>
  <c r="L1456" i="13"/>
  <c r="I1457" i="13" l="1"/>
  <c r="O1457" i="13" s="1"/>
  <c r="AA1457" i="13" s="1"/>
  <c r="K1457" i="13" l="1"/>
  <c r="P1457" i="13" s="1"/>
  <c r="R1457" i="13" l="1"/>
  <c r="Q1457" i="13"/>
  <c r="J1457" i="13" s="1"/>
  <c r="M1457" i="13" l="1"/>
  <c r="T1457" i="13" s="1"/>
  <c r="N1457" i="13"/>
  <c r="L1457" i="13"/>
  <c r="I1458" i="13" l="1"/>
  <c r="O1458" i="13" s="1"/>
  <c r="AA1458" i="13" s="1"/>
  <c r="K1458" i="13" l="1"/>
  <c r="P1458" i="13" s="1"/>
  <c r="R1458" i="13" l="1"/>
  <c r="Q1458" i="13"/>
  <c r="J1458" i="13" s="1"/>
  <c r="M1458" i="13" l="1"/>
  <c r="T1458" i="13" s="1"/>
  <c r="N1458" i="13"/>
  <c r="L1458" i="13"/>
  <c r="I1459" i="13" l="1"/>
  <c r="O1459" i="13" s="1"/>
  <c r="AA1459" i="13" s="1"/>
  <c r="K1459" i="13" l="1"/>
  <c r="P1459" i="13" s="1"/>
  <c r="R1459" i="13" l="1"/>
  <c r="Q1459" i="13"/>
  <c r="J1459" i="13" s="1"/>
  <c r="M1459" i="13" l="1"/>
  <c r="T1459" i="13" s="1"/>
  <c r="N1459" i="13"/>
  <c r="L1459" i="13"/>
  <c r="I1460" i="13" l="1"/>
  <c r="O1460" i="13" s="1"/>
  <c r="AA1460" i="13" s="1"/>
  <c r="K1460" i="13" l="1"/>
  <c r="P1460" i="13" s="1"/>
  <c r="R1460" i="13" l="1"/>
  <c r="Q1460" i="13"/>
  <c r="J1460" i="13" s="1"/>
  <c r="M1460" i="13" l="1"/>
  <c r="T1460" i="13" s="1"/>
  <c r="N1460" i="13"/>
  <c r="L1460" i="13"/>
  <c r="I1461" i="13" l="1"/>
  <c r="O1461" i="13" s="1"/>
  <c r="AA1461" i="13" s="1"/>
  <c r="K1461" i="13" l="1"/>
  <c r="P1461" i="13" s="1"/>
  <c r="R1461" i="13" s="1"/>
  <c r="Q1461" i="13" l="1"/>
  <c r="J1461" i="13" s="1"/>
  <c r="N1461" i="13" s="1"/>
  <c r="M1461" i="13" l="1"/>
  <c r="T1461" i="13" s="1"/>
  <c r="L1461" i="13"/>
  <c r="I1462" i="13" l="1"/>
  <c r="O1462" i="13" s="1"/>
  <c r="AA1462" i="13" s="1"/>
  <c r="K1462" i="13" l="1"/>
  <c r="P1462" i="13" s="1"/>
  <c r="Q1462" i="13" l="1"/>
  <c r="J1462" i="13" s="1"/>
  <c r="R1462" i="13"/>
  <c r="N1462" i="13" l="1"/>
  <c r="M1462" i="13"/>
  <c r="T1462" i="13" s="1"/>
  <c r="L1462" i="13"/>
  <c r="I1463" i="13" l="1"/>
  <c r="O1463" i="13" s="1"/>
  <c r="AA1463" i="13" l="1"/>
  <c r="AB1460" i="13"/>
  <c r="K1463" i="13"/>
  <c r="P1463" i="13" l="1"/>
  <c r="R1463" i="13" l="1"/>
  <c r="Q1463" i="13"/>
  <c r="J1463" i="13" s="1"/>
  <c r="N1463" i="13" l="1"/>
  <c r="M1463" i="13"/>
  <c r="T1463" i="13" s="1"/>
  <c r="L1463" i="13"/>
  <c r="I1464" i="13" l="1"/>
  <c r="O1464" i="13" s="1"/>
  <c r="AA1464" i="13" l="1"/>
  <c r="AB1461" i="13"/>
  <c r="K1464" i="13"/>
  <c r="P1464" i="13" s="1"/>
  <c r="Q1464" i="13" l="1"/>
  <c r="J1464" i="13" s="1"/>
  <c r="R1464" i="13"/>
  <c r="N1464" i="13" l="1"/>
  <c r="M1464" i="13"/>
  <c r="T1464" i="13" s="1"/>
  <c r="L1464" i="13"/>
  <c r="I1465" i="13" l="1"/>
  <c r="O1465" i="13" s="1"/>
  <c r="AA1465" i="13" l="1"/>
  <c r="AB1462" i="13"/>
  <c r="K1465" i="13"/>
  <c r="P1465" i="13" s="1"/>
  <c r="Q1465" i="13" l="1"/>
  <c r="J1465" i="13" s="1"/>
  <c r="R1465" i="13"/>
  <c r="N1465" i="13" l="1"/>
  <c r="M1465" i="13"/>
  <c r="T1465" i="13" s="1"/>
  <c r="L1465" i="13"/>
  <c r="I1466" i="13" l="1"/>
  <c r="O1466" i="13" s="1"/>
  <c r="AA1466" i="13" l="1"/>
  <c r="AB1463" i="13"/>
  <c r="K1466" i="13"/>
  <c r="P1466" i="13" s="1"/>
  <c r="Q1466" i="13" l="1"/>
  <c r="J1466" i="13" s="1"/>
  <c r="R1466" i="13"/>
  <c r="N1466" i="13" l="1"/>
  <c r="M1466" i="13"/>
  <c r="T1466" i="13" s="1"/>
  <c r="L1466" i="13"/>
  <c r="I1467" i="13" l="1"/>
  <c r="O1467" i="13" s="1"/>
  <c r="AA1467" i="13" l="1"/>
  <c r="AB1464" i="13"/>
  <c r="K1467" i="13"/>
  <c r="P1467" i="13" s="1"/>
  <c r="R1467" i="13" l="1"/>
  <c r="Q1467" i="13"/>
  <c r="J1467" i="13" s="1"/>
  <c r="N1467" i="13" l="1"/>
  <c r="M1467" i="13"/>
  <c r="T1467" i="13" s="1"/>
  <c r="L1467" i="13"/>
  <c r="I1468" i="13" l="1"/>
  <c r="O1468" i="13" s="1"/>
  <c r="AA1468" i="13" l="1"/>
  <c r="AB1465" i="13"/>
  <c r="K1468" i="13"/>
  <c r="P1468" i="13" s="1"/>
  <c r="R1468" i="13" l="1"/>
  <c r="Q1468" i="13"/>
  <c r="J1468" i="13" s="1"/>
  <c r="N1468" i="13" l="1"/>
  <c r="M1468" i="13"/>
  <c r="T1468" i="13" s="1"/>
  <c r="L1468" i="13"/>
  <c r="I1469" i="13" l="1"/>
  <c r="O1469" i="13" s="1"/>
  <c r="AA1469" i="13" l="1"/>
  <c r="AB1466" i="13"/>
  <c r="K1469" i="13"/>
  <c r="P1469" i="13" s="1"/>
  <c r="R1469" i="13" l="1"/>
  <c r="Q1469" i="13"/>
  <c r="J1469" i="13" s="1"/>
  <c r="N1469" i="13" l="1"/>
  <c r="M1469" i="13"/>
  <c r="T1469" i="13" s="1"/>
  <c r="L1469" i="13"/>
  <c r="I1470" i="13" l="1"/>
  <c r="O1470" i="13" s="1"/>
  <c r="AA1470" i="13" l="1"/>
  <c r="AB1467" i="13"/>
  <c r="K1470" i="13"/>
  <c r="P1470" i="13" s="1"/>
  <c r="R1470" i="13" l="1"/>
  <c r="Q1470" i="13"/>
  <c r="J1470" i="13" s="1"/>
  <c r="N1470" i="13" l="1"/>
  <c r="M1470" i="13"/>
  <c r="T1470" i="13" s="1"/>
  <c r="L1470" i="13"/>
  <c r="I1471" i="13" l="1"/>
  <c r="O1471" i="13" s="1"/>
  <c r="AA1471" i="13" l="1"/>
  <c r="AB1468" i="13"/>
  <c r="K1471" i="13"/>
  <c r="P1471" i="13" s="1"/>
  <c r="R1471" i="13" l="1"/>
  <c r="Q1471" i="13"/>
  <c r="J1471" i="13" s="1"/>
  <c r="M1471" i="13" l="1"/>
  <c r="T1471" i="13" s="1"/>
  <c r="N1471" i="13"/>
  <c r="L1471" i="13"/>
  <c r="I1472" i="13" l="1"/>
  <c r="O1472" i="13" s="1"/>
  <c r="K1472" i="13" l="1"/>
  <c r="P1472" i="13" s="1"/>
  <c r="AA1472" i="13"/>
  <c r="AB1469" i="13"/>
  <c r="Q1472" i="13" l="1"/>
  <c r="J1472" i="13" s="1"/>
  <c r="R1472" i="13"/>
  <c r="M1472" i="13" l="1"/>
  <c r="T1472" i="13" s="1"/>
  <c r="N1472" i="13"/>
  <c r="L1472" i="13"/>
  <c r="I1473" i="13" l="1"/>
  <c r="O1473" i="13" s="1"/>
  <c r="AA1473" i="13" l="1"/>
  <c r="AB1470" i="13"/>
  <c r="K1473" i="13"/>
  <c r="P1473" i="13" s="1"/>
  <c r="Q1473" i="13" s="1"/>
  <c r="J1473" i="13" s="1"/>
  <c r="L1473" i="13" s="1"/>
  <c r="R1473" i="13" l="1"/>
  <c r="N1473" i="13"/>
  <c r="M1473" i="13"/>
  <c r="I1474" i="13" l="1"/>
  <c r="O1474" i="13" s="1"/>
  <c r="K1474" i="13" s="1"/>
  <c r="T1473" i="13"/>
  <c r="AA1474" i="13"/>
  <c r="AB1471" i="13"/>
  <c r="P1474" i="13" l="1"/>
  <c r="R1474" i="13" l="1"/>
  <c r="Q1474" i="13"/>
  <c r="J1474" i="13" s="1"/>
  <c r="M1474" i="13" l="1"/>
  <c r="T1474" i="13" s="1"/>
  <c r="N1474" i="13"/>
  <c r="L1474" i="13"/>
  <c r="I1475" i="13" l="1"/>
  <c r="O1475" i="13" s="1"/>
  <c r="AA1475" i="13" l="1"/>
  <c r="AB1472" i="13"/>
  <c r="K1475" i="13"/>
  <c r="P1475" i="13" s="1"/>
  <c r="Q1475" i="13" l="1"/>
  <c r="J1475" i="13" s="1"/>
  <c r="R1475" i="13"/>
  <c r="N1475" i="13" l="1"/>
  <c r="M1475" i="13"/>
  <c r="T1475" i="13" s="1"/>
  <c r="L1475" i="13"/>
  <c r="I1476" i="13" l="1"/>
  <c r="O1476" i="13" s="1"/>
  <c r="AA1476" i="13" l="1"/>
  <c r="AB1473" i="13"/>
  <c r="K1476" i="13"/>
  <c r="P1476" i="13" s="1"/>
  <c r="Q1476" i="13" s="1"/>
  <c r="J1476" i="13" s="1"/>
  <c r="L1476" i="13" s="1"/>
  <c r="R1476" i="13" l="1"/>
  <c r="N1476" i="13"/>
  <c r="M1476" i="13"/>
  <c r="I1477" i="13" l="1"/>
  <c r="O1477" i="13" s="1"/>
  <c r="K1477" i="13" s="1"/>
  <c r="P1477" i="13" s="1"/>
  <c r="T1476" i="13"/>
  <c r="AA1477" i="13"/>
  <c r="AB1474" i="13"/>
  <c r="R1477" i="13" l="1"/>
  <c r="Q1477" i="13"/>
  <c r="J1477" i="13" s="1"/>
  <c r="L1477" i="13" l="1"/>
  <c r="M1477" i="13"/>
  <c r="T1477" i="13" s="1"/>
  <c r="N1477" i="13"/>
  <c r="I1478" i="13" l="1"/>
  <c r="O1478" i="13" s="1"/>
  <c r="AA1478" i="13" l="1"/>
  <c r="AB1475" i="13"/>
  <c r="K1478" i="13"/>
  <c r="P1478" i="13" l="1"/>
  <c r="R1478" i="13" l="1"/>
  <c r="Q1478" i="13"/>
  <c r="J1478" i="13" s="1"/>
  <c r="M1478" i="13" l="1"/>
  <c r="T1478" i="13" s="1"/>
  <c r="N1478" i="13"/>
  <c r="L1478" i="13"/>
  <c r="I1479" i="13" l="1"/>
  <c r="O1479" i="13" s="1"/>
  <c r="AA1479" i="13" l="1"/>
  <c r="AB1476" i="13"/>
  <c r="K1479" i="13"/>
  <c r="P1479" i="13" s="1"/>
  <c r="Q1479" i="13" s="1"/>
  <c r="J1479" i="13" s="1"/>
  <c r="R1479" i="13" l="1"/>
  <c r="L1479" i="13"/>
  <c r="M1479" i="13"/>
  <c r="T1479" i="13" s="1"/>
  <c r="N1479" i="13"/>
  <c r="I1480" i="13" l="1"/>
  <c r="O1480" i="13" s="1"/>
  <c r="AA1480" i="13" l="1"/>
  <c r="AB1477" i="13"/>
  <c r="K1480" i="13"/>
  <c r="P1480" i="13" l="1"/>
  <c r="R1480" i="13" l="1"/>
  <c r="Q1480" i="13"/>
  <c r="J1480" i="13" s="1"/>
  <c r="M1480" i="13" l="1"/>
  <c r="T1480" i="13" s="1"/>
  <c r="N1480" i="13"/>
  <c r="L1480" i="13"/>
  <c r="I1481" i="13" l="1"/>
  <c r="O1481" i="13" s="1"/>
  <c r="AA1481" i="13" l="1"/>
  <c r="AB1478" i="13"/>
  <c r="K1481" i="13"/>
  <c r="P1481" i="13" s="1"/>
  <c r="R1481" i="13" l="1"/>
  <c r="Q1481" i="13"/>
  <c r="J1481" i="13" s="1"/>
  <c r="M1481" i="13" l="1"/>
  <c r="T1481" i="13" s="1"/>
  <c r="N1481" i="13"/>
  <c r="L1481" i="13"/>
  <c r="I1482" i="13" l="1"/>
  <c r="O1482" i="13" s="1"/>
  <c r="AA1482" i="13" l="1"/>
  <c r="AB1479" i="13"/>
  <c r="K1482" i="13"/>
  <c r="P1482" i="13" s="1"/>
  <c r="R1482" i="13" l="1"/>
  <c r="Q1482" i="13"/>
  <c r="J1482" i="13" s="1"/>
  <c r="M1482" i="13" l="1"/>
  <c r="T1482" i="13" s="1"/>
  <c r="N1482" i="13"/>
  <c r="L1482" i="13"/>
  <c r="I1483" i="13" l="1"/>
  <c r="O1483" i="13" s="1"/>
  <c r="AA1483" i="13" l="1"/>
  <c r="AB1480" i="13"/>
  <c r="K1483" i="13"/>
  <c r="P1483" i="13" s="1"/>
  <c r="R1483" i="13" s="1"/>
  <c r="Q1483" i="13" l="1"/>
  <c r="J1483" i="13" s="1"/>
  <c r="L1483" i="13" s="1"/>
  <c r="N1483" i="13" l="1"/>
  <c r="M1483" i="13"/>
  <c r="T1483" i="13" s="1"/>
  <c r="I1484" i="13" l="1"/>
  <c r="O1484" i="13" s="1"/>
  <c r="AA1484" i="13" l="1"/>
  <c r="AB1481" i="13"/>
  <c r="K1484" i="13"/>
  <c r="P1484" i="13" s="1"/>
  <c r="Q1484" i="13" l="1"/>
  <c r="J1484" i="13" s="1"/>
  <c r="R1484" i="13"/>
  <c r="M1484" i="13" l="1"/>
  <c r="T1484" i="13" s="1"/>
  <c r="N1484" i="13"/>
  <c r="L1484" i="13"/>
  <c r="I1485" i="13" l="1"/>
  <c r="O1485" i="13" s="1"/>
  <c r="AA1485" i="13" l="1"/>
  <c r="AB1482" i="13"/>
  <c r="K1485" i="13"/>
  <c r="P1485" i="13" s="1"/>
  <c r="Q1485" i="13" s="1"/>
  <c r="J1485" i="13" s="1"/>
  <c r="R1485" i="13" l="1"/>
  <c r="L1485" i="13"/>
  <c r="M1485" i="13"/>
  <c r="T1485" i="13" s="1"/>
  <c r="N1485" i="13"/>
  <c r="I1486" i="13" l="1"/>
  <c r="O1486" i="13" s="1"/>
  <c r="AA1486" i="13" l="1"/>
  <c r="AB1483" i="13"/>
  <c r="K1486" i="13"/>
  <c r="P1486" i="13" s="1"/>
  <c r="R1486" i="13" l="1"/>
  <c r="Q1486" i="13"/>
  <c r="J1486" i="13" s="1"/>
  <c r="L1486" i="13" l="1"/>
  <c r="M1486" i="13"/>
  <c r="T1486" i="13" s="1"/>
  <c r="N1486" i="13"/>
  <c r="I1487" i="13" l="1"/>
  <c r="O1487" i="13" s="1"/>
  <c r="AA1487" i="13" l="1"/>
  <c r="AB1484" i="13"/>
  <c r="K1487" i="13"/>
  <c r="P1487" i="13" l="1"/>
  <c r="R1487" i="13" l="1"/>
  <c r="Q1487" i="13"/>
  <c r="J1487" i="13" s="1"/>
  <c r="M1487" i="13" l="1"/>
  <c r="T1487" i="13" s="1"/>
  <c r="N1487" i="13"/>
  <c r="L1487" i="13"/>
  <c r="I1488" i="13" l="1"/>
  <c r="O1488" i="13" s="1"/>
  <c r="AA1488" i="13" l="1"/>
  <c r="AB1485" i="13"/>
  <c r="K1488" i="13"/>
  <c r="P1488" i="13" s="1"/>
  <c r="Q1488" i="13" l="1"/>
  <c r="J1488" i="13" s="1"/>
  <c r="R1488" i="13"/>
  <c r="M1488" i="13" l="1"/>
  <c r="T1488" i="13" s="1"/>
  <c r="N1488" i="13"/>
  <c r="L1488" i="13"/>
  <c r="I1489" i="13" l="1"/>
  <c r="O1489" i="13" s="1"/>
  <c r="AA1489" i="13" l="1"/>
  <c r="AB1486" i="13"/>
  <c r="K1489" i="13"/>
  <c r="P1489" i="13" s="1"/>
  <c r="R1489" i="13" l="1"/>
  <c r="Q1489" i="13"/>
  <c r="J1489" i="13" s="1"/>
  <c r="M1489" i="13" l="1"/>
  <c r="T1489" i="13" s="1"/>
  <c r="N1489" i="13"/>
  <c r="L1489" i="13"/>
  <c r="I1490" i="13" l="1"/>
  <c r="O1490" i="13" s="1"/>
  <c r="AA1490" i="13" l="1"/>
  <c r="AB1487" i="13"/>
  <c r="K1490" i="13"/>
  <c r="P1490" i="13" s="1"/>
  <c r="R1490" i="13" s="1"/>
  <c r="Q1490" i="13" l="1"/>
  <c r="J1490" i="13" s="1"/>
  <c r="M1490" i="13" s="1"/>
  <c r="T1490" i="13" s="1"/>
  <c r="N1490" i="13" l="1"/>
  <c r="L1490" i="13"/>
  <c r="I1491" i="13" l="1"/>
  <c r="O1491" i="13" s="1"/>
  <c r="AA1491" i="13" l="1"/>
  <c r="AB1488" i="13"/>
  <c r="K1491" i="13"/>
  <c r="P1491" i="13" s="1"/>
  <c r="R1491" i="13" l="1"/>
  <c r="Q1491" i="13"/>
  <c r="J1491" i="13" s="1"/>
  <c r="N1491" i="13" l="1"/>
  <c r="M1491" i="13"/>
  <c r="T1491" i="13" s="1"/>
  <c r="L1491" i="13"/>
  <c r="I1492" i="13" l="1"/>
  <c r="O1492" i="13" s="1"/>
  <c r="AA1492" i="13" l="1"/>
  <c r="AB1489" i="13"/>
  <c r="K1492" i="13"/>
  <c r="P1492" i="13" s="1"/>
  <c r="R1492" i="13" l="1"/>
  <c r="Q1492" i="13"/>
  <c r="J1492" i="13" s="1"/>
  <c r="M1492" i="13" l="1"/>
  <c r="T1492" i="13" s="1"/>
  <c r="N1492" i="13"/>
  <c r="L1492" i="13"/>
  <c r="I1493" i="13" l="1"/>
  <c r="O1493" i="13" s="1"/>
  <c r="AA1493" i="13" l="1"/>
  <c r="AB1490" i="13"/>
  <c r="K1493" i="13"/>
  <c r="P1493" i="13" s="1"/>
  <c r="Q1493" i="13" l="1"/>
  <c r="J1493" i="13" s="1"/>
  <c r="R1493" i="13"/>
  <c r="M1493" i="13" l="1"/>
  <c r="T1493" i="13" s="1"/>
  <c r="N1493" i="13"/>
  <c r="L1493" i="13"/>
  <c r="I1494" i="13" l="1"/>
  <c r="O1494" i="13" s="1"/>
  <c r="AA1494" i="13" l="1"/>
  <c r="AB1491" i="13"/>
  <c r="K1494" i="13"/>
  <c r="P1494" i="13" s="1"/>
  <c r="R1494" i="13" l="1"/>
  <c r="Q1494" i="13"/>
  <c r="J1494" i="13" s="1"/>
  <c r="M1494" i="13" l="1"/>
  <c r="T1494" i="13" s="1"/>
  <c r="N1494" i="13"/>
  <c r="L1494" i="13"/>
  <c r="I1495" i="13" l="1"/>
  <c r="O1495" i="13" s="1"/>
  <c r="K1495" i="13" l="1"/>
  <c r="P1495" i="13" s="1"/>
  <c r="AA1495" i="13"/>
  <c r="AB1492" i="13"/>
  <c r="Q1495" i="13" l="1"/>
  <c r="J1495" i="13" s="1"/>
  <c r="R1495" i="13"/>
  <c r="M1495" i="13" l="1"/>
  <c r="T1495" i="13" s="1"/>
  <c r="N1495" i="13"/>
  <c r="L1495" i="13"/>
  <c r="I1496" i="13" l="1"/>
  <c r="O1496" i="13" s="1"/>
  <c r="K1496" i="13" l="1"/>
  <c r="P1496" i="13" s="1"/>
  <c r="AA1496" i="13"/>
  <c r="AB1493" i="13"/>
  <c r="R1496" i="13" l="1"/>
  <c r="Q1496" i="13"/>
  <c r="J1496" i="13" s="1"/>
  <c r="N1496" i="13" l="1"/>
  <c r="M1496" i="13"/>
  <c r="T1496" i="13" s="1"/>
  <c r="L1496" i="13"/>
  <c r="I1497" i="13" l="1"/>
  <c r="O1497" i="13" s="1"/>
  <c r="AA1497" i="13" l="1"/>
  <c r="AB1494" i="13"/>
  <c r="K1497" i="13"/>
  <c r="P1497" i="13" s="1"/>
  <c r="R1497" i="13" l="1"/>
  <c r="Q1497" i="13"/>
  <c r="J1497" i="13" s="1"/>
  <c r="N1497" i="13" l="1"/>
  <c r="M1497" i="13"/>
  <c r="T1497" i="13" s="1"/>
  <c r="L1497" i="13"/>
  <c r="I1498" i="13" l="1"/>
  <c r="O1498" i="13" s="1"/>
  <c r="AA1498" i="13" l="1"/>
  <c r="AB1495" i="13"/>
  <c r="K1498" i="13"/>
  <c r="P1498" i="13" s="1"/>
  <c r="Q1498" i="13" l="1"/>
  <c r="J1498" i="13" s="1"/>
  <c r="R1498" i="13"/>
  <c r="M1498" i="13" l="1"/>
  <c r="T1498" i="13" s="1"/>
  <c r="N1498" i="13"/>
  <c r="L1498" i="13"/>
  <c r="I1499" i="13" l="1"/>
  <c r="O1499" i="13" s="1"/>
  <c r="AA1499" i="13" l="1"/>
  <c r="AB1496" i="13"/>
  <c r="K1499" i="13"/>
  <c r="P1499" i="13" s="1"/>
  <c r="R1499" i="13" l="1"/>
  <c r="Q1499" i="13"/>
  <c r="J1499" i="13" s="1"/>
  <c r="N1499" i="13" l="1"/>
  <c r="M1499" i="13"/>
  <c r="T1499" i="13" s="1"/>
  <c r="L1499" i="13"/>
  <c r="I1500" i="13" l="1"/>
  <c r="O1500" i="13" s="1"/>
  <c r="AA1500" i="13" l="1"/>
  <c r="AB1497" i="13"/>
  <c r="K1500" i="13"/>
  <c r="P1500" i="13" s="1"/>
  <c r="Q1500" i="13" l="1"/>
  <c r="J1500" i="13" s="1"/>
  <c r="R1500" i="13"/>
  <c r="M1500" i="13" l="1"/>
  <c r="T1500" i="13" s="1"/>
  <c r="N1500" i="13"/>
  <c r="L1500" i="13"/>
  <c r="I1501" i="13" l="1"/>
  <c r="O1501" i="13" s="1"/>
  <c r="AA1501" i="13" l="1"/>
  <c r="AB1498" i="13"/>
  <c r="K1501" i="13"/>
  <c r="P1501" i="13" s="1"/>
  <c r="R1501" i="13" l="1"/>
  <c r="Q1501" i="13"/>
  <c r="J1501" i="13" s="1"/>
  <c r="M1501" i="13" l="1"/>
  <c r="T1501" i="13" s="1"/>
  <c r="N1501" i="13"/>
  <c r="L1501" i="13"/>
  <c r="I1502" i="13" l="1"/>
  <c r="O1502" i="13" s="1"/>
  <c r="AA1502" i="13" l="1"/>
  <c r="AB1499" i="13"/>
  <c r="K1502" i="13"/>
  <c r="P1502" i="13" s="1"/>
  <c r="Q1502" i="13" l="1"/>
  <c r="J1502" i="13" s="1"/>
  <c r="R1502" i="13"/>
  <c r="N1502" i="13" l="1"/>
  <c r="M1502" i="13"/>
  <c r="T1502" i="13" s="1"/>
  <c r="L1502" i="13"/>
  <c r="I1503" i="13" l="1"/>
  <c r="O1503" i="13" s="1"/>
  <c r="AA1503" i="13" l="1"/>
  <c r="AB1500" i="13"/>
  <c r="K1503" i="13"/>
  <c r="P1503" i="13" s="1"/>
  <c r="Q1503" i="13" l="1"/>
  <c r="J1503" i="13" s="1"/>
  <c r="R1503" i="13"/>
  <c r="M1503" i="13" l="1"/>
  <c r="T1503" i="13" s="1"/>
  <c r="N1503" i="13"/>
  <c r="L1503" i="13"/>
  <c r="I1504" i="13" l="1"/>
  <c r="O1504" i="13" s="1"/>
  <c r="AA1504" i="13" l="1"/>
  <c r="AB1501" i="13"/>
  <c r="K1504" i="13"/>
  <c r="P1504" i="13" s="1"/>
  <c r="Q1504" i="13" l="1"/>
  <c r="J1504" i="13" s="1"/>
  <c r="R1504" i="13"/>
  <c r="M1504" i="13" l="1"/>
  <c r="T1504" i="13" s="1"/>
  <c r="N1504" i="13"/>
  <c r="L1504" i="13"/>
  <c r="I1505" i="13" l="1"/>
  <c r="O1505" i="13" s="1"/>
  <c r="AA1505" i="13" l="1"/>
  <c r="AB1502" i="13"/>
  <c r="K1505" i="13"/>
  <c r="P1505" i="13" s="1"/>
  <c r="Q1505" i="13" l="1"/>
  <c r="J1505" i="13" s="1"/>
  <c r="R1505" i="13"/>
  <c r="N1505" i="13" l="1"/>
  <c r="M1505" i="13"/>
  <c r="T1505" i="13" s="1"/>
  <c r="L1505" i="13"/>
  <c r="I1506" i="13" l="1"/>
  <c r="O1506" i="13" s="1"/>
  <c r="AA1506" i="13" l="1"/>
  <c r="AB1503" i="13"/>
  <c r="K1506" i="13"/>
  <c r="P1506" i="13" l="1"/>
  <c r="R1506" i="13" l="1"/>
  <c r="Q1506" i="13"/>
  <c r="J1506" i="13" s="1"/>
  <c r="N1506" i="13" l="1"/>
  <c r="M1506" i="13"/>
  <c r="T1506" i="13" s="1"/>
  <c r="L1506" i="13"/>
  <c r="I1507" i="13" l="1"/>
  <c r="O1507" i="13" s="1"/>
  <c r="AA1507" i="13" l="1"/>
  <c r="AB1504" i="13"/>
  <c r="K1507" i="13"/>
  <c r="P1507" i="13" s="1"/>
  <c r="R1507" i="13" s="1"/>
  <c r="Q1507" i="13" l="1"/>
  <c r="J1507" i="13" s="1"/>
  <c r="L1507" i="13" s="1"/>
  <c r="N1507" i="13" l="1"/>
  <c r="M1507" i="13"/>
  <c r="T1507" i="13" s="1"/>
  <c r="I1508" i="13" l="1"/>
  <c r="O1508" i="13" s="1"/>
  <c r="AA1508" i="13" l="1"/>
  <c r="AB1505" i="13"/>
  <c r="K1508" i="13"/>
  <c r="P1508" i="13" s="1"/>
  <c r="R1508" i="13" s="1"/>
  <c r="Q1508" i="13" l="1"/>
  <c r="J1508" i="13" s="1"/>
  <c r="M1508" i="13" s="1"/>
  <c r="T1508" i="13" s="1"/>
  <c r="N1508" i="13" l="1"/>
  <c r="L1508" i="13"/>
  <c r="I1509" i="13" l="1"/>
  <c r="O1509" i="13" s="1"/>
  <c r="AA1509" i="13" l="1"/>
  <c r="AB1506" i="13"/>
  <c r="K1509" i="13"/>
  <c r="P1509" i="13" s="1"/>
  <c r="R1509" i="13" s="1"/>
  <c r="Q1509" i="13" l="1"/>
  <c r="J1509" i="13" s="1"/>
  <c r="N1509" i="13" s="1"/>
  <c r="L1509" i="13" l="1"/>
  <c r="M1509" i="13"/>
  <c r="T1509" i="13" s="1"/>
  <c r="I1510" i="13" l="1"/>
  <c r="O1510" i="13" s="1"/>
  <c r="AA1510" i="13" l="1"/>
  <c r="AB1507" i="13"/>
  <c r="K1510" i="13"/>
  <c r="P1510" i="13" s="1"/>
  <c r="Q1510" i="13" s="1"/>
  <c r="J1510" i="13" s="1"/>
  <c r="L1510" i="13" s="1"/>
  <c r="N1510" i="13" l="1"/>
  <c r="R1510" i="13"/>
  <c r="M1510" i="13"/>
  <c r="T1510" i="13" s="1"/>
  <c r="I1511" i="13" l="1"/>
  <c r="O1511" i="13" s="1"/>
  <c r="AA1511" i="13" l="1"/>
  <c r="AB1508" i="13"/>
  <c r="K1511" i="13"/>
  <c r="P1511" i="13" s="1"/>
  <c r="Q1511" i="13" s="1"/>
  <c r="J1511" i="13" s="1"/>
  <c r="L1511" i="13" s="1"/>
  <c r="N1511" i="13" l="1"/>
  <c r="R1511" i="13"/>
  <c r="M1511" i="13"/>
  <c r="T1511" i="13" s="1"/>
  <c r="I1512" i="13" l="1"/>
  <c r="O1512" i="13" s="1"/>
  <c r="AA1512" i="13" l="1"/>
  <c r="AB1509" i="13"/>
  <c r="K1512" i="13"/>
  <c r="P1512" i="13" s="1"/>
  <c r="R1512" i="13" s="1"/>
  <c r="Q1512" i="13" l="1"/>
  <c r="J1512" i="13" s="1"/>
  <c r="N1512" i="13" s="1"/>
  <c r="L1512" i="13" l="1"/>
  <c r="M1512" i="13"/>
  <c r="I1513" i="13" l="1"/>
  <c r="O1513" i="13" s="1"/>
  <c r="K1513" i="13" s="1"/>
  <c r="P1513" i="13" s="1"/>
  <c r="T1512" i="13"/>
  <c r="AA1513" i="13"/>
  <c r="AB1510" i="13"/>
  <c r="R1513" i="13" l="1"/>
  <c r="Q1513" i="13"/>
  <c r="J1513" i="13" s="1"/>
  <c r="N1513" i="13" l="1"/>
  <c r="M1513" i="13"/>
  <c r="T1513" i="13" s="1"/>
  <c r="L1513" i="13"/>
  <c r="I1514" i="13" l="1"/>
  <c r="O1514" i="13" s="1"/>
  <c r="AA1514" i="13" l="1"/>
  <c r="AB1511" i="13"/>
  <c r="K1514" i="13"/>
  <c r="P1514" i="13" s="1"/>
  <c r="R1514" i="13" l="1"/>
  <c r="Q1514" i="13"/>
  <c r="J1514" i="13" s="1"/>
  <c r="N1514" i="13" l="1"/>
  <c r="M1514" i="13"/>
  <c r="T1514" i="13" s="1"/>
  <c r="L1514" i="13"/>
  <c r="I1515" i="13" l="1"/>
  <c r="O1515" i="13" s="1"/>
  <c r="K1515" i="13" l="1"/>
  <c r="P1515" i="13" s="1"/>
  <c r="AA1515" i="13"/>
  <c r="AB1512" i="13"/>
  <c r="Q1515" i="13" l="1"/>
  <c r="J1515" i="13" s="1"/>
  <c r="R1515" i="13"/>
  <c r="N1515" i="13" l="1"/>
  <c r="M1515" i="13"/>
  <c r="T1515" i="13" s="1"/>
  <c r="L1515" i="13"/>
  <c r="I1516" i="13" l="1"/>
  <c r="O1516" i="13" s="1"/>
  <c r="AA1516" i="13" l="1"/>
  <c r="AB1513" i="13"/>
  <c r="K1516" i="13"/>
  <c r="P1516" i="13" s="1"/>
  <c r="R1516" i="13" l="1"/>
  <c r="Q1516" i="13"/>
  <c r="J1516" i="13" s="1"/>
  <c r="N1516" i="13" l="1"/>
  <c r="M1516" i="13"/>
  <c r="T1516" i="13" s="1"/>
  <c r="L1516" i="13"/>
  <c r="I1517" i="13" l="1"/>
  <c r="O1517" i="13" s="1"/>
  <c r="AA1517" i="13" l="1"/>
  <c r="AB1514" i="13"/>
  <c r="K1517" i="13"/>
  <c r="P1517" i="13" s="1"/>
  <c r="R1517" i="13" l="1"/>
  <c r="Q1517" i="13"/>
  <c r="J1517" i="13" s="1"/>
  <c r="N1517" i="13" l="1"/>
  <c r="M1517" i="13"/>
  <c r="T1517" i="13" s="1"/>
  <c r="L1517" i="13"/>
  <c r="I1518" i="13" l="1"/>
  <c r="O1518" i="13" s="1"/>
  <c r="AA1518" i="13" l="1"/>
  <c r="AB1515" i="13"/>
  <c r="K1518" i="13"/>
  <c r="P1518" i="13" s="1"/>
  <c r="R1518" i="13" s="1"/>
  <c r="Q1518" i="13" l="1"/>
  <c r="J1518" i="13" s="1"/>
  <c r="M1518" i="13" s="1"/>
  <c r="T1518" i="13" s="1"/>
  <c r="N1518" i="13" l="1"/>
  <c r="L1518" i="13"/>
  <c r="I1519" i="13" l="1"/>
  <c r="O1519" i="13" s="1"/>
  <c r="AA1519" i="13" l="1"/>
  <c r="AB1516" i="13"/>
  <c r="K1519" i="13"/>
  <c r="P1519" i="13" s="1"/>
  <c r="Q1519" i="13" s="1"/>
  <c r="J1519" i="13" s="1"/>
  <c r="R1519" i="13" l="1"/>
  <c r="L1519" i="13"/>
  <c r="M1519" i="13"/>
  <c r="T1519" i="13" s="1"/>
  <c r="N1519" i="13"/>
  <c r="I1520" i="13" l="1"/>
  <c r="O1520" i="13" s="1"/>
  <c r="AA1520" i="13" l="1"/>
  <c r="AB1517" i="13"/>
  <c r="K1520" i="13"/>
  <c r="P1520" i="13" l="1"/>
  <c r="R1520" i="13" l="1"/>
  <c r="Q1520" i="13"/>
  <c r="J1520" i="13" s="1"/>
  <c r="M1520" i="13" l="1"/>
  <c r="T1520" i="13" s="1"/>
  <c r="N1520" i="13"/>
  <c r="L1520" i="13"/>
  <c r="I1521" i="13" l="1"/>
  <c r="O1521" i="13" s="1"/>
  <c r="AA1521" i="13" l="1"/>
  <c r="AB1518" i="13"/>
  <c r="K1521" i="13"/>
  <c r="P1521" i="13" s="1"/>
  <c r="Q1521" i="13" l="1"/>
  <c r="J1521" i="13" s="1"/>
  <c r="R1521" i="13"/>
  <c r="M1521" i="13" l="1"/>
  <c r="T1521" i="13" s="1"/>
  <c r="N1521" i="13"/>
  <c r="L1521" i="13"/>
  <c r="I1522" i="13" l="1"/>
  <c r="O1522" i="13" s="1"/>
  <c r="AA1522" i="13" l="1"/>
  <c r="AB1519" i="13"/>
  <c r="K1522" i="13"/>
  <c r="P1522" i="13" s="1"/>
  <c r="R1522" i="13" l="1"/>
  <c r="Q1522" i="13"/>
  <c r="J1522" i="13" s="1"/>
  <c r="N1522" i="13" l="1"/>
  <c r="M1522" i="13"/>
  <c r="T1522" i="13" s="1"/>
  <c r="L1522" i="13"/>
  <c r="I1523" i="13" l="1"/>
  <c r="O1523" i="13" s="1"/>
  <c r="AA1523" i="13" l="1"/>
  <c r="AB1520" i="13"/>
  <c r="K1523" i="13"/>
  <c r="P1523" i="13" s="1"/>
  <c r="Q1523" i="13" l="1"/>
  <c r="J1523" i="13" s="1"/>
  <c r="R1523" i="13"/>
  <c r="M1523" i="13" l="1"/>
  <c r="T1523" i="13" s="1"/>
  <c r="N1523" i="13"/>
  <c r="L1523" i="13"/>
  <c r="I1524" i="13" l="1"/>
  <c r="O1524" i="13" s="1"/>
  <c r="AA1524" i="13" l="1"/>
  <c r="AB1521" i="13"/>
  <c r="K1524" i="13"/>
  <c r="P1524" i="13" s="1"/>
  <c r="R1524" i="13" l="1"/>
  <c r="Q1524" i="13"/>
  <c r="J1524" i="13" s="1"/>
  <c r="M1524" i="13" l="1"/>
  <c r="T1524" i="13" s="1"/>
  <c r="N1524" i="13"/>
  <c r="L1524" i="13"/>
  <c r="I1525" i="13" l="1"/>
  <c r="O1525" i="13" s="1"/>
  <c r="AA1525" i="13" l="1"/>
  <c r="AB1522" i="13"/>
  <c r="K1525" i="13"/>
  <c r="P1525" i="13" s="1"/>
  <c r="Q1525" i="13" s="1"/>
  <c r="J1525" i="13" s="1"/>
  <c r="R1525" i="13" l="1"/>
  <c r="L1525" i="13"/>
  <c r="M1525" i="13"/>
  <c r="T1525" i="13" s="1"/>
  <c r="N1525" i="13"/>
  <c r="I1526" i="13" l="1"/>
  <c r="O1526" i="13" s="1"/>
  <c r="AA1526" i="13" l="1"/>
  <c r="AB1523" i="13"/>
  <c r="K1526" i="13"/>
  <c r="P1526" i="13" s="1"/>
  <c r="R1526" i="13" l="1"/>
  <c r="Q1526" i="13"/>
  <c r="J1526" i="13" s="1"/>
  <c r="L1526" i="13" l="1"/>
  <c r="M1526" i="13"/>
  <c r="T1526" i="13" s="1"/>
  <c r="N1526" i="13"/>
  <c r="I1527" i="13" l="1"/>
  <c r="O1527" i="13" s="1"/>
  <c r="AA1527" i="13" l="1"/>
  <c r="AB1524" i="13"/>
  <c r="K1527" i="13"/>
  <c r="P1527" i="13" l="1"/>
  <c r="R1527" i="13" l="1"/>
  <c r="Q1527" i="13"/>
  <c r="J1527" i="13" s="1"/>
  <c r="L1527" i="13" l="1"/>
  <c r="M1527" i="13"/>
  <c r="T1527" i="13" s="1"/>
  <c r="N1527" i="13"/>
  <c r="I1528" i="13" l="1"/>
  <c r="O1528" i="13" s="1"/>
  <c r="AA1528" i="13" l="1"/>
  <c r="AB1525" i="13"/>
  <c r="K1528" i="13"/>
  <c r="P1528" i="13" l="1"/>
  <c r="R1528" i="13" l="1"/>
  <c r="Q1528" i="13"/>
  <c r="J1528" i="13" s="1"/>
  <c r="M1528" i="13" l="1"/>
  <c r="T1528" i="13" s="1"/>
  <c r="N1528" i="13"/>
  <c r="L1528" i="13"/>
  <c r="I1529" i="13" l="1"/>
  <c r="O1529" i="13" s="1"/>
  <c r="AA1529" i="13" l="1"/>
  <c r="AB1526" i="13"/>
  <c r="K1529" i="13"/>
  <c r="P1529" i="13" s="1"/>
  <c r="Q1529" i="13" l="1"/>
  <c r="J1529" i="13" s="1"/>
  <c r="R1529" i="13"/>
  <c r="M1529" i="13" l="1"/>
  <c r="T1529" i="13" s="1"/>
  <c r="N1529" i="13"/>
  <c r="L1529" i="13"/>
  <c r="I1530" i="13" l="1"/>
  <c r="O1530" i="13" s="1"/>
  <c r="K1530" i="13" l="1"/>
  <c r="P1530" i="13" s="1"/>
  <c r="AA1530" i="13"/>
  <c r="AB1527" i="13"/>
  <c r="R1530" i="13" l="1"/>
  <c r="Q1530" i="13"/>
  <c r="J1530" i="13" s="1"/>
  <c r="M1530" i="13" l="1"/>
  <c r="T1530" i="13" s="1"/>
  <c r="N1530" i="13"/>
  <c r="L1530" i="13"/>
  <c r="I1531" i="13" l="1"/>
  <c r="O1531" i="13" s="1"/>
  <c r="AA1531" i="13" l="1"/>
  <c r="AB1528" i="13"/>
  <c r="K1531" i="13"/>
  <c r="P1531" i="13" s="1"/>
  <c r="R1531" i="13" l="1"/>
  <c r="Q1531" i="13"/>
  <c r="J1531" i="13" s="1"/>
  <c r="M1531" i="13" l="1"/>
  <c r="T1531" i="13" s="1"/>
  <c r="N1531" i="13"/>
  <c r="L1531" i="13"/>
  <c r="I1532" i="13" l="1"/>
  <c r="O1532" i="13" s="1"/>
  <c r="AA1532" i="13" l="1"/>
  <c r="AB1529" i="13"/>
  <c r="K1532" i="13"/>
  <c r="P1532" i="13" s="1"/>
  <c r="Q1532" i="13" l="1"/>
  <c r="J1532" i="13" s="1"/>
  <c r="R1532" i="13"/>
  <c r="M1532" i="13" l="1"/>
  <c r="T1532" i="13" s="1"/>
  <c r="N1532" i="13"/>
  <c r="L1532" i="13"/>
  <c r="I1533" i="13" l="1"/>
  <c r="O1533" i="13" s="1"/>
  <c r="AA1533" i="13" l="1"/>
  <c r="AB1530" i="13"/>
  <c r="K1533" i="13"/>
  <c r="P1533" i="13" s="1"/>
  <c r="R1533" i="13" l="1"/>
  <c r="Q1533" i="13"/>
  <c r="J1533" i="13" s="1"/>
  <c r="M1533" i="13" l="1"/>
  <c r="T1533" i="13" s="1"/>
  <c r="N1533" i="13"/>
  <c r="L1533" i="13"/>
  <c r="I1534" i="13" l="1"/>
  <c r="O1534" i="13" s="1"/>
  <c r="AA1534" i="13" l="1"/>
  <c r="AB1531" i="13"/>
  <c r="K1534" i="13"/>
  <c r="P1534" i="13" s="1"/>
  <c r="R1534" i="13" l="1"/>
  <c r="Q1534" i="13"/>
  <c r="J1534" i="13" s="1"/>
  <c r="M1534" i="13" l="1"/>
  <c r="T1534" i="13" s="1"/>
  <c r="N1534" i="13"/>
  <c r="L1534" i="13"/>
  <c r="I1535" i="13" l="1"/>
  <c r="O1535" i="13" s="1"/>
  <c r="AA1535" i="13" l="1"/>
  <c r="AB1532" i="13"/>
  <c r="K1535" i="13"/>
  <c r="P1535" i="13" s="1"/>
  <c r="R1535" i="13" l="1"/>
  <c r="Q1535" i="13"/>
  <c r="J1535" i="13" s="1"/>
  <c r="M1535" i="13" l="1"/>
  <c r="T1535" i="13" s="1"/>
  <c r="N1535" i="13"/>
  <c r="L1535" i="13"/>
  <c r="I1536" i="13" l="1"/>
  <c r="O1536" i="13" s="1"/>
  <c r="AA1536" i="13" l="1"/>
  <c r="AB1533" i="13"/>
  <c r="K1536" i="13"/>
  <c r="P1536" i="13" s="1"/>
  <c r="R1536" i="13" l="1"/>
  <c r="Q1536" i="13"/>
  <c r="J1536" i="13" s="1"/>
  <c r="M1536" i="13" l="1"/>
  <c r="T1536" i="13" s="1"/>
  <c r="N1536" i="13"/>
  <c r="L1536" i="13"/>
  <c r="I1537" i="13" l="1"/>
  <c r="O1537" i="13" s="1"/>
  <c r="AA1537" i="13" l="1"/>
  <c r="AB1534" i="13"/>
  <c r="K1537" i="13"/>
  <c r="P1537" i="13" s="1"/>
  <c r="R1537" i="13" l="1"/>
  <c r="Q1537" i="13"/>
  <c r="J1537" i="13" s="1"/>
  <c r="M1537" i="13" l="1"/>
  <c r="T1537" i="13" s="1"/>
  <c r="N1537" i="13"/>
  <c r="L1537" i="13"/>
  <c r="I1538" i="13" l="1"/>
  <c r="O1538" i="13" s="1"/>
  <c r="AA1538" i="13" l="1"/>
  <c r="AB1535" i="13"/>
  <c r="K1538" i="13"/>
  <c r="P1538" i="13" s="1"/>
  <c r="R1538" i="13" s="1"/>
  <c r="Q1538" i="13" l="1"/>
  <c r="J1538" i="13" s="1"/>
  <c r="L1538" i="13" s="1"/>
  <c r="N1538" i="13" l="1"/>
  <c r="M1538" i="13"/>
  <c r="T1538" i="13" s="1"/>
  <c r="I1539" i="13" l="1"/>
  <c r="O1539" i="13" s="1"/>
  <c r="AA1539" i="13" l="1"/>
  <c r="AB1536" i="13"/>
  <c r="K1539" i="13"/>
  <c r="P1539" i="13" s="1"/>
  <c r="Q1539" i="13" s="1"/>
  <c r="J1539" i="13" s="1"/>
  <c r="R1539" i="13" l="1"/>
  <c r="L1539" i="13"/>
  <c r="M1539" i="13"/>
  <c r="T1539" i="13" s="1"/>
  <c r="N1539" i="13"/>
  <c r="I1540" i="13" l="1"/>
  <c r="O1540" i="13" s="1"/>
  <c r="AA1540" i="13" l="1"/>
  <c r="AB1537" i="13"/>
  <c r="K1540" i="13"/>
  <c r="P1540" i="13" l="1"/>
  <c r="Q1540" i="13" l="1"/>
  <c r="J1540" i="13" s="1"/>
  <c r="R1540" i="13"/>
  <c r="M1540" i="13" l="1"/>
  <c r="T1540" i="13" s="1"/>
  <c r="N1540" i="13"/>
  <c r="L1540" i="13"/>
  <c r="I1541" i="13" l="1"/>
  <c r="O1541" i="13" s="1"/>
  <c r="AA1541" i="13" l="1"/>
  <c r="AB1538" i="13"/>
  <c r="K1541" i="13"/>
  <c r="P1541" i="13" s="1"/>
  <c r="R1541" i="13" l="1"/>
  <c r="Q1541" i="13"/>
  <c r="J1541" i="13" s="1"/>
  <c r="M1541" i="13" l="1"/>
  <c r="T1541" i="13" s="1"/>
  <c r="N1541" i="13"/>
  <c r="L1541" i="13"/>
  <c r="I1542" i="13" l="1"/>
  <c r="O1542" i="13" s="1"/>
  <c r="AA1542" i="13" l="1"/>
  <c r="AB1539" i="13"/>
  <c r="K1542" i="13"/>
  <c r="P1542" i="13" s="1"/>
  <c r="R1542" i="13" l="1"/>
  <c r="Q1542" i="13"/>
  <c r="J1542" i="13" s="1"/>
  <c r="M1542" i="13" l="1"/>
  <c r="T1542" i="13" s="1"/>
  <c r="N1542" i="13"/>
  <c r="L1542" i="13"/>
  <c r="I1543" i="13" l="1"/>
  <c r="O1543" i="13" s="1"/>
  <c r="AA1543" i="13" l="1"/>
  <c r="AB1540" i="13"/>
  <c r="K1543" i="13"/>
  <c r="P1543" i="13" s="1"/>
  <c r="R1543" i="13" s="1"/>
  <c r="Q1543" i="13" l="1"/>
  <c r="J1543" i="13" s="1"/>
  <c r="L1543" i="13" s="1"/>
  <c r="N1543" i="13" l="1"/>
  <c r="M1543" i="13"/>
  <c r="T1543" i="13" s="1"/>
  <c r="I1544" i="13" l="1"/>
  <c r="O1544" i="13" s="1"/>
  <c r="K1544" i="13" l="1"/>
  <c r="P1544" i="13" s="1"/>
  <c r="AA1544" i="13"/>
  <c r="AB1541" i="13"/>
  <c r="R1544" i="13" l="1"/>
  <c r="Q1544" i="13"/>
  <c r="J1544" i="13" s="1"/>
  <c r="M1544" i="13" l="1"/>
  <c r="T1544" i="13" s="1"/>
  <c r="N1544" i="13"/>
  <c r="L1544" i="13"/>
  <c r="I1545" i="13" l="1"/>
  <c r="O1545" i="13" s="1"/>
  <c r="K1545" i="13" l="1"/>
  <c r="P1545" i="13" s="1"/>
  <c r="AA1545" i="13"/>
  <c r="AB1542" i="13"/>
  <c r="Q1545" i="13" l="1"/>
  <c r="J1545" i="13" s="1"/>
  <c r="R1545" i="13"/>
  <c r="M1545" i="13" l="1"/>
  <c r="T1545" i="13" s="1"/>
  <c r="N1545" i="13"/>
  <c r="L1545" i="13"/>
  <c r="I1546" i="13" l="1"/>
  <c r="O1546" i="13" s="1"/>
  <c r="AA1546" i="13" l="1"/>
  <c r="AB1543" i="13"/>
  <c r="K1546" i="13"/>
  <c r="P1546" i="13" s="1"/>
  <c r="R1546" i="13" s="1"/>
  <c r="Q1546" i="13" l="1"/>
  <c r="J1546" i="13" s="1"/>
  <c r="L1546" i="13" s="1"/>
  <c r="N1546" i="13" l="1"/>
  <c r="M1546" i="13"/>
  <c r="T1546" i="13" s="1"/>
  <c r="I1547" i="13" l="1"/>
  <c r="O1547" i="13" s="1"/>
  <c r="K1547" i="13" l="1"/>
  <c r="P1547" i="13" s="1"/>
  <c r="AA1547" i="13"/>
  <c r="AB1544" i="13"/>
  <c r="Q1547" i="13" l="1"/>
  <c r="J1547" i="13" s="1"/>
  <c r="R1547" i="13"/>
  <c r="N1547" i="13" l="1"/>
  <c r="M1547" i="13"/>
  <c r="T1547" i="13" s="1"/>
  <c r="L1547" i="13"/>
  <c r="I1548" i="13" l="1"/>
  <c r="O1548" i="13" s="1"/>
  <c r="K1548" i="13" l="1"/>
  <c r="P1548" i="13" s="1"/>
  <c r="Q1548" i="13" s="1"/>
  <c r="J1548" i="13" s="1"/>
  <c r="AA1548" i="13"/>
  <c r="AB1545" i="13"/>
  <c r="R1548" i="13" l="1"/>
  <c r="L1548" i="13"/>
  <c r="M1548" i="13"/>
  <c r="T1548" i="13" s="1"/>
  <c r="N1548" i="13"/>
  <c r="I1549" i="13" l="1"/>
  <c r="O1549" i="13" s="1"/>
  <c r="AA1549" i="13" l="1"/>
  <c r="AB1546" i="13"/>
  <c r="K1549" i="13"/>
  <c r="P1549" i="13" l="1"/>
  <c r="Q1549" i="13" l="1"/>
  <c r="J1549" i="13" s="1"/>
  <c r="R1549" i="13"/>
  <c r="N1549" i="13" l="1"/>
  <c r="M1549" i="13"/>
  <c r="T1549" i="13" s="1"/>
  <c r="L1549" i="13"/>
  <c r="I1550" i="13" l="1"/>
  <c r="O1550" i="13" s="1"/>
  <c r="AA1550" i="13" l="1"/>
  <c r="AB1547" i="13"/>
  <c r="K1550" i="13"/>
  <c r="P1550" i="13" s="1"/>
  <c r="R1550" i="13" l="1"/>
  <c r="Q1550" i="13"/>
  <c r="J1550" i="13" s="1"/>
  <c r="M1550" i="13" l="1"/>
  <c r="T1550" i="13" s="1"/>
  <c r="N1550" i="13"/>
  <c r="L1550" i="13"/>
  <c r="I1551" i="13" l="1"/>
  <c r="O1551" i="13" s="1"/>
  <c r="AA1551" i="13" l="1"/>
  <c r="AB1548" i="13"/>
  <c r="K1551" i="13"/>
  <c r="P1551" i="13" s="1"/>
  <c r="R1551" i="13" l="1"/>
  <c r="Q1551" i="13"/>
  <c r="J1551" i="13" s="1"/>
  <c r="N1551" i="13" l="1"/>
  <c r="M1551" i="13"/>
  <c r="T1551" i="13" s="1"/>
  <c r="L1551" i="13"/>
  <c r="I1552" i="13" l="1"/>
  <c r="O1552" i="13" s="1"/>
  <c r="AA1552" i="13" l="1"/>
  <c r="AB1549" i="13"/>
  <c r="K1552" i="13"/>
  <c r="P1552" i="13" s="1"/>
  <c r="R1552" i="13" l="1"/>
  <c r="Q1552" i="13"/>
  <c r="J1552" i="13" s="1"/>
  <c r="N1552" i="13" l="1"/>
  <c r="M1552" i="13"/>
  <c r="T1552" i="13" s="1"/>
  <c r="L1552" i="13"/>
  <c r="I1553" i="13" l="1"/>
  <c r="O1553" i="13" s="1"/>
  <c r="AA1553" i="13" l="1"/>
  <c r="AB1550" i="13"/>
  <c r="K1553" i="13"/>
  <c r="P1553" i="13" s="1"/>
  <c r="Q1553" i="13" l="1"/>
  <c r="J1553" i="13" s="1"/>
  <c r="R1553" i="13"/>
  <c r="M1553" i="13" l="1"/>
  <c r="T1553" i="13" s="1"/>
  <c r="N1553" i="13"/>
  <c r="L1553" i="13"/>
  <c r="I1554" i="13" l="1"/>
  <c r="O1554" i="13" s="1"/>
  <c r="AA1554" i="13" l="1"/>
  <c r="AB1551" i="13"/>
  <c r="K1554" i="13"/>
  <c r="P1554" i="13" s="1"/>
  <c r="R1554" i="13" l="1"/>
  <c r="Q1554" i="13"/>
  <c r="J1554" i="13" s="1"/>
  <c r="N1554" i="13" l="1"/>
  <c r="M1554" i="13"/>
  <c r="T1554" i="13" s="1"/>
  <c r="L1554" i="13"/>
  <c r="I1555" i="13" l="1"/>
  <c r="O1555" i="13" s="1"/>
  <c r="AA1555" i="13" l="1"/>
  <c r="AB1552" i="13"/>
  <c r="K1555" i="13"/>
  <c r="P1555" i="13" s="1"/>
  <c r="R1555" i="13" l="1"/>
  <c r="Q1555" i="13"/>
  <c r="J1555" i="13" s="1"/>
  <c r="N1555" i="13" l="1"/>
  <c r="M1555" i="13"/>
  <c r="T1555" i="13" s="1"/>
  <c r="L1555" i="13"/>
  <c r="I1556" i="13" l="1"/>
  <c r="O1556" i="13" s="1"/>
  <c r="AA1556" i="13" l="1"/>
  <c r="AB1553" i="13"/>
  <c r="K1556" i="13"/>
  <c r="P1556" i="13" s="1"/>
  <c r="Q1556" i="13" l="1"/>
  <c r="J1556" i="13" s="1"/>
  <c r="R1556" i="13"/>
  <c r="M1556" i="13" l="1"/>
  <c r="T1556" i="13" s="1"/>
  <c r="N1556" i="13"/>
  <c r="L1556" i="13"/>
  <c r="I1557" i="13" l="1"/>
  <c r="O1557" i="13" s="1"/>
  <c r="AA1557" i="13" l="1"/>
  <c r="AB1554" i="13"/>
  <c r="K1557" i="13"/>
  <c r="P1557" i="13" s="1"/>
  <c r="Q1557" i="13" s="1"/>
  <c r="J1557" i="13" s="1"/>
  <c r="R1557" i="13" l="1"/>
  <c r="L1557" i="13"/>
  <c r="M1557" i="13"/>
  <c r="T1557" i="13" s="1"/>
  <c r="N1557" i="13"/>
  <c r="I1558" i="13" l="1"/>
  <c r="O1558" i="13" s="1"/>
  <c r="AA1558" i="13" l="1"/>
  <c r="AB1555" i="13"/>
  <c r="K1558" i="13"/>
  <c r="P1558" i="13" l="1"/>
  <c r="R1558" i="13" l="1"/>
  <c r="Q1558" i="13"/>
  <c r="J1558" i="13" s="1"/>
  <c r="N1558" i="13" l="1"/>
  <c r="M1558" i="13"/>
  <c r="T1558" i="13" s="1"/>
  <c r="L1558" i="13"/>
  <c r="I1559" i="13" l="1"/>
  <c r="O1559" i="13" s="1"/>
  <c r="AA1559" i="13" l="1"/>
  <c r="AB1556" i="13"/>
  <c r="K1559" i="13"/>
  <c r="P1559" i="13" s="1"/>
  <c r="Q1559" i="13" s="1"/>
  <c r="J1559" i="13" s="1"/>
  <c r="L1559" i="13" s="1"/>
  <c r="R1559" i="13" l="1"/>
  <c r="N1559" i="13"/>
  <c r="M1559" i="13"/>
  <c r="T1559" i="13" s="1"/>
  <c r="I1560" i="13" l="1"/>
  <c r="O1560" i="13" s="1"/>
  <c r="AA1560" i="13" l="1"/>
  <c r="AB1557" i="13"/>
  <c r="K1560" i="13"/>
  <c r="P1560" i="13" s="1"/>
  <c r="R1560" i="13" l="1"/>
  <c r="Q1560" i="13"/>
  <c r="J1560" i="13" s="1"/>
  <c r="N1560" i="13" l="1"/>
  <c r="M1560" i="13"/>
  <c r="T1560" i="13" s="1"/>
  <c r="L1560" i="13"/>
  <c r="I1561" i="13" l="1"/>
  <c r="O1561" i="13" s="1"/>
  <c r="AA1561" i="13" l="1"/>
  <c r="AB1558" i="13"/>
  <c r="K1561" i="13"/>
  <c r="P1561" i="13" s="1"/>
  <c r="R1561" i="13" l="1"/>
  <c r="Q1561" i="13"/>
  <c r="J1561" i="13" s="1"/>
  <c r="M1561" i="13" l="1"/>
  <c r="T1561" i="13" s="1"/>
  <c r="N1561" i="13"/>
  <c r="L1561" i="13"/>
  <c r="I1562" i="13" l="1"/>
  <c r="O1562" i="13" s="1"/>
  <c r="AA1562" i="13" l="1"/>
  <c r="AB1559" i="13"/>
  <c r="K1562" i="13"/>
  <c r="P1562" i="13" s="1"/>
  <c r="Q1562" i="13" l="1"/>
  <c r="J1562" i="13" s="1"/>
  <c r="R1562" i="13"/>
  <c r="N1562" i="13" l="1"/>
  <c r="M1562" i="13"/>
  <c r="T1562" i="13" s="1"/>
  <c r="L1562" i="13"/>
  <c r="I1563" i="13" l="1"/>
  <c r="O1563" i="13" s="1"/>
  <c r="AA1563" i="13" l="1"/>
  <c r="AB1560" i="13"/>
  <c r="K1563" i="13"/>
  <c r="P1563" i="13" s="1"/>
  <c r="Q1563" i="13" s="1"/>
  <c r="J1563" i="13" s="1"/>
  <c r="R1563" i="13" l="1"/>
  <c r="L1563" i="13"/>
  <c r="M1563" i="13"/>
  <c r="T1563" i="13" s="1"/>
  <c r="N1563" i="13"/>
  <c r="I1564" i="13" l="1"/>
  <c r="O1564" i="13" s="1"/>
  <c r="AA1564" i="13" l="1"/>
  <c r="AB1561" i="13"/>
  <c r="K1564" i="13"/>
  <c r="P1564" i="13" s="1"/>
  <c r="R1564" i="13" l="1"/>
  <c r="Q1564" i="13"/>
  <c r="J1564" i="13" s="1"/>
  <c r="L1564" i="13" l="1"/>
  <c r="M1564" i="13"/>
  <c r="T1564" i="13" s="1"/>
  <c r="N1564" i="13"/>
  <c r="I1565" i="13" l="1"/>
  <c r="O1565" i="13" s="1"/>
  <c r="AA1565" i="13" l="1"/>
  <c r="AB1562" i="13"/>
  <c r="K1565" i="13"/>
  <c r="P1565" i="13" l="1"/>
  <c r="R1565" i="13" l="1"/>
  <c r="Q1565" i="13"/>
  <c r="J1565" i="13" s="1"/>
  <c r="M1565" i="13" l="1"/>
  <c r="T1565" i="13" s="1"/>
  <c r="N1565" i="13"/>
  <c r="L1565" i="13"/>
  <c r="I1566" i="13" l="1"/>
  <c r="O1566" i="13" s="1"/>
  <c r="AA1566" i="13" l="1"/>
  <c r="AB1563" i="13"/>
  <c r="K1566" i="13"/>
  <c r="P1566" i="13" s="1"/>
  <c r="Q1566" i="13" s="1"/>
  <c r="J1566" i="13" s="1"/>
  <c r="R1566" i="13" l="1"/>
  <c r="L1566" i="13"/>
  <c r="M1566" i="13"/>
  <c r="T1566" i="13" s="1"/>
  <c r="N1566" i="13"/>
  <c r="I1567" i="13" l="1"/>
  <c r="O1567" i="13" s="1"/>
  <c r="AA1567" i="13" l="1"/>
  <c r="AB1564" i="13"/>
  <c r="K1567" i="13"/>
  <c r="P1567" i="13" l="1"/>
  <c r="R1567" i="13" l="1"/>
  <c r="Q1567" i="13"/>
  <c r="J1567" i="13" s="1"/>
  <c r="M1567" i="13" l="1"/>
  <c r="T1567" i="13" s="1"/>
  <c r="N1567" i="13"/>
  <c r="L1567" i="13"/>
  <c r="I1568" i="13" l="1"/>
  <c r="O1568" i="13" s="1"/>
  <c r="K1568" i="13" l="1"/>
  <c r="P1568" i="13" s="1"/>
  <c r="AA1568" i="13"/>
  <c r="AB1565" i="13"/>
  <c r="R1568" i="13" l="1"/>
  <c r="Q1568" i="13"/>
  <c r="J1568" i="13" s="1"/>
  <c r="N1568" i="13" l="1"/>
  <c r="M1568" i="13"/>
  <c r="T1568" i="13" s="1"/>
  <c r="L1568" i="13"/>
  <c r="I1569" i="13" l="1"/>
  <c r="O1569" i="13" s="1"/>
  <c r="AA1569" i="13" l="1"/>
  <c r="AB1566" i="13"/>
  <c r="K1569" i="13"/>
  <c r="P1569" i="13" s="1"/>
  <c r="R1569" i="13" l="1"/>
  <c r="Q1569" i="13"/>
  <c r="J1569" i="13" s="1"/>
  <c r="M1569" i="13" l="1"/>
  <c r="T1569" i="13" s="1"/>
  <c r="N1569" i="13"/>
  <c r="L1569" i="13"/>
  <c r="I1570" i="13" l="1"/>
  <c r="O1570" i="13" s="1"/>
  <c r="AA1570" i="13" l="1"/>
  <c r="AB1567" i="13"/>
  <c r="K1570" i="13"/>
  <c r="P1570" i="13" s="1"/>
  <c r="Q1570" i="13" l="1"/>
  <c r="J1570" i="13" s="1"/>
  <c r="R1570" i="13"/>
  <c r="M1570" i="13" l="1"/>
  <c r="T1570" i="13" s="1"/>
  <c r="N1570" i="13"/>
  <c r="L1570" i="13"/>
  <c r="I1571" i="13" l="1"/>
  <c r="O1571" i="13" s="1"/>
  <c r="AA1571" i="13" l="1"/>
  <c r="AB1568" i="13"/>
  <c r="K1571" i="13"/>
  <c r="P1571" i="13" s="1"/>
  <c r="Q1571" i="13" l="1"/>
  <c r="J1571" i="13" s="1"/>
  <c r="R1571" i="13"/>
  <c r="M1571" i="13" l="1"/>
  <c r="T1571" i="13" s="1"/>
  <c r="N1571" i="13"/>
  <c r="L1571" i="13"/>
  <c r="I1572" i="13" l="1"/>
  <c r="O1572" i="13" s="1"/>
  <c r="AA1572" i="13" l="1"/>
  <c r="AB1569" i="13"/>
  <c r="K1572" i="13"/>
  <c r="P1572" i="13" s="1"/>
  <c r="R1572" i="13" s="1"/>
  <c r="Q1572" i="13" l="1"/>
  <c r="J1572" i="13" s="1"/>
  <c r="L1572" i="13" s="1"/>
  <c r="N1572" i="13" l="1"/>
  <c r="M1572" i="13"/>
  <c r="T1572" i="13" s="1"/>
  <c r="I1573" i="13" l="1"/>
  <c r="O1573" i="13" s="1"/>
  <c r="K1573" i="13" l="1"/>
  <c r="P1573" i="13" s="1"/>
  <c r="AA1573" i="13"/>
  <c r="AB1570" i="13"/>
  <c r="R1573" i="13" l="1"/>
  <c r="Q1573" i="13"/>
  <c r="J1573" i="13" s="1"/>
  <c r="M1573" i="13" l="1"/>
  <c r="T1573" i="13" s="1"/>
  <c r="N1573" i="13"/>
  <c r="L1573" i="13"/>
  <c r="I1574" i="13" l="1"/>
  <c r="O1574" i="13" s="1"/>
  <c r="AA1574" i="13" l="1"/>
  <c r="AB1571" i="13"/>
  <c r="K1574" i="13"/>
  <c r="P1574" i="13" s="1"/>
  <c r="Q1574" i="13" l="1"/>
  <c r="J1574" i="13" s="1"/>
  <c r="R1574" i="13"/>
  <c r="M1574" i="13" l="1"/>
  <c r="T1574" i="13" s="1"/>
  <c r="N1574" i="13"/>
  <c r="L1574" i="13"/>
  <c r="I1575" i="13" l="1"/>
  <c r="O1575" i="13" s="1"/>
  <c r="AA1575" i="13" l="1"/>
  <c r="AB1572" i="13"/>
  <c r="K1575" i="13"/>
  <c r="P1575" i="13" s="1"/>
  <c r="R1575" i="13" l="1"/>
  <c r="Q1575" i="13"/>
  <c r="J1575" i="13" s="1"/>
  <c r="M1575" i="13" l="1"/>
  <c r="T1575" i="13" s="1"/>
  <c r="N1575" i="13"/>
  <c r="L1575" i="13"/>
  <c r="I1576" i="13" l="1"/>
  <c r="O1576" i="13" s="1"/>
  <c r="AA1576" i="13" l="1"/>
  <c r="AB1573" i="13"/>
  <c r="K1576" i="13"/>
  <c r="P1576" i="13" s="1"/>
  <c r="Q1576" i="13" s="1"/>
  <c r="J1576" i="13" s="1"/>
  <c r="R1576" i="13" l="1"/>
  <c r="L1576" i="13"/>
  <c r="M1576" i="13"/>
  <c r="T1576" i="13" s="1"/>
  <c r="N1576" i="13"/>
  <c r="I1577" i="13" l="1"/>
  <c r="O1577" i="13" s="1"/>
  <c r="AA1577" i="13" l="1"/>
  <c r="AB1574" i="13"/>
  <c r="K1577" i="13"/>
  <c r="P1577" i="13" l="1"/>
  <c r="R1577" i="13" l="1"/>
  <c r="Q1577" i="13"/>
  <c r="J1577" i="13" s="1"/>
  <c r="M1577" i="13" l="1"/>
  <c r="T1577" i="13" s="1"/>
  <c r="N1577" i="13"/>
  <c r="L1577" i="13"/>
  <c r="I1578" i="13" l="1"/>
  <c r="O1578" i="13" s="1"/>
  <c r="AA1578" i="13" l="1"/>
  <c r="AB1575" i="13"/>
  <c r="K1578" i="13"/>
  <c r="P1578" i="13" s="1"/>
  <c r="Q1578" i="13" l="1"/>
  <c r="J1578" i="13" s="1"/>
  <c r="R1578" i="13"/>
  <c r="M1578" i="13" l="1"/>
  <c r="T1578" i="13" s="1"/>
  <c r="N1578" i="13"/>
  <c r="L1578" i="13"/>
  <c r="I1579" i="13" l="1"/>
  <c r="O1579" i="13" s="1"/>
  <c r="AA1579" i="13" l="1"/>
  <c r="AB1576" i="13"/>
  <c r="K1579" i="13"/>
  <c r="P1579" i="13" s="1"/>
  <c r="R1579" i="13" s="1"/>
  <c r="Q1579" i="13" l="1"/>
  <c r="J1579" i="13" s="1"/>
  <c r="M1579" i="13" s="1"/>
  <c r="T1579" i="13" s="1"/>
  <c r="N1579" i="13" l="1"/>
  <c r="L1579" i="13"/>
  <c r="I1580" i="13" l="1"/>
  <c r="O1580" i="13" s="1"/>
  <c r="AA1580" i="13" l="1"/>
  <c r="AB1577" i="13"/>
  <c r="K1580" i="13"/>
  <c r="P1580" i="13" s="1"/>
  <c r="R1580" i="13" l="1"/>
  <c r="Q1580" i="13"/>
  <c r="J1580" i="13" s="1"/>
  <c r="M1580" i="13" l="1"/>
  <c r="T1580" i="13" s="1"/>
  <c r="N1580" i="13"/>
  <c r="L1580" i="13"/>
  <c r="I1581" i="13" l="1"/>
  <c r="O1581" i="13" s="1"/>
  <c r="K1581" i="13" l="1"/>
  <c r="P1581" i="13" s="1"/>
  <c r="AA1581" i="13"/>
  <c r="AB1578" i="13"/>
  <c r="R1581" i="13" l="1"/>
  <c r="Q1581" i="13"/>
  <c r="J1581" i="13" s="1"/>
  <c r="M1581" i="13" l="1"/>
  <c r="T1581" i="13" s="1"/>
  <c r="N1581" i="13"/>
  <c r="L1581" i="13"/>
  <c r="I1582" i="13" l="1"/>
  <c r="O1582" i="13" s="1"/>
  <c r="AA1582" i="13" l="1"/>
  <c r="AB1579" i="13"/>
  <c r="K1582" i="13"/>
  <c r="P1582" i="13" s="1"/>
  <c r="Q1582" i="13" l="1"/>
  <c r="J1582" i="13" s="1"/>
  <c r="R1582" i="13"/>
  <c r="M1582" i="13" l="1"/>
  <c r="T1582" i="13" s="1"/>
  <c r="N1582" i="13"/>
  <c r="L1582" i="13"/>
  <c r="I1583" i="13" l="1"/>
  <c r="O1583" i="13" s="1"/>
  <c r="AA1583" i="13" l="1"/>
  <c r="AB1580" i="13"/>
  <c r="K1583" i="13"/>
  <c r="P1583" i="13" s="1"/>
  <c r="Q1583" i="13" l="1"/>
  <c r="J1583" i="13" s="1"/>
  <c r="R1583" i="13"/>
  <c r="N1583" i="13" l="1"/>
  <c r="M1583" i="13"/>
  <c r="T1583" i="13" s="1"/>
  <c r="L1583" i="13"/>
  <c r="I1584" i="13" l="1"/>
  <c r="O1584" i="13" s="1"/>
  <c r="AA1584" i="13" l="1"/>
  <c r="AB1581" i="13"/>
  <c r="K1584" i="13"/>
  <c r="P1584" i="13" s="1"/>
  <c r="Q1584" i="13" l="1"/>
  <c r="J1584" i="13" s="1"/>
  <c r="R1584" i="13"/>
  <c r="M1584" i="13" l="1"/>
  <c r="T1584" i="13" s="1"/>
  <c r="N1584" i="13"/>
  <c r="L1584" i="13"/>
  <c r="I1585" i="13" l="1"/>
  <c r="O1585" i="13" s="1"/>
  <c r="AA1585" i="13" l="1"/>
  <c r="AB1582" i="13"/>
  <c r="K1585" i="13"/>
  <c r="P1585" i="13" s="1"/>
  <c r="R1585" i="13" l="1"/>
  <c r="Q1585" i="13"/>
  <c r="J1585" i="13" s="1"/>
  <c r="N1585" i="13" l="1"/>
  <c r="M1585" i="13"/>
  <c r="T1585" i="13" s="1"/>
  <c r="L1585" i="13"/>
  <c r="I1586" i="13" l="1"/>
  <c r="O1586" i="13" s="1"/>
  <c r="AA1586" i="13" l="1"/>
  <c r="AB1583" i="13"/>
  <c r="K1586" i="13"/>
  <c r="P1586" i="13" s="1"/>
  <c r="Q1586" i="13" l="1"/>
  <c r="J1586" i="13" s="1"/>
  <c r="R1586" i="13"/>
  <c r="M1586" i="13" l="1"/>
  <c r="T1586" i="13" s="1"/>
  <c r="N1586" i="13"/>
  <c r="L1586" i="13"/>
  <c r="I1587" i="13" l="1"/>
  <c r="O1587" i="13" s="1"/>
  <c r="AA1587" i="13" l="1"/>
  <c r="AB1584" i="13"/>
  <c r="K1587" i="13"/>
  <c r="P1587" i="13" s="1"/>
  <c r="Q1587" i="13" s="1"/>
  <c r="J1587" i="13" s="1"/>
  <c r="R1587" i="13" l="1"/>
  <c r="L1587" i="13"/>
  <c r="M1587" i="13"/>
  <c r="T1587" i="13" s="1"/>
  <c r="N1587" i="13"/>
  <c r="I1588" i="13" l="1"/>
  <c r="O1588" i="13" s="1"/>
  <c r="AA1588" i="13" l="1"/>
  <c r="AB1585" i="13"/>
  <c r="K1588" i="13"/>
  <c r="P1588" i="13" l="1"/>
  <c r="R1588" i="13" l="1"/>
  <c r="Q1588" i="13"/>
  <c r="J1588" i="13" s="1"/>
  <c r="M1588" i="13" l="1"/>
  <c r="T1588" i="13" s="1"/>
  <c r="N1588" i="13"/>
  <c r="L1588" i="13"/>
  <c r="I1589" i="13" l="1"/>
  <c r="O1589" i="13" s="1"/>
  <c r="AA1589" i="13" l="1"/>
  <c r="AB1586" i="13"/>
  <c r="K1589" i="13"/>
  <c r="P1589" i="13" s="1"/>
  <c r="R1589" i="13" l="1"/>
  <c r="Q1589" i="13"/>
  <c r="J1589" i="13" s="1"/>
  <c r="M1589" i="13" l="1"/>
  <c r="T1589" i="13" s="1"/>
  <c r="N1589" i="13"/>
  <c r="L1589" i="13"/>
  <c r="I1590" i="13" l="1"/>
  <c r="O1590" i="13" s="1"/>
  <c r="AA1590" i="13" l="1"/>
  <c r="AB1587" i="13"/>
  <c r="K1590" i="13"/>
  <c r="P1590" i="13" s="1"/>
  <c r="Q1590" i="13" l="1"/>
  <c r="J1590" i="13" s="1"/>
  <c r="R1590" i="13"/>
  <c r="M1590" i="13" l="1"/>
  <c r="T1590" i="13" s="1"/>
  <c r="N1590" i="13"/>
  <c r="L1590" i="13"/>
  <c r="I1591" i="13" l="1"/>
  <c r="O1591" i="13" s="1"/>
  <c r="AA1591" i="13" l="1"/>
  <c r="AB1588" i="13"/>
  <c r="K1591" i="13"/>
  <c r="P1591" i="13" s="1"/>
  <c r="Q1591" i="13" l="1"/>
  <c r="J1591" i="13" s="1"/>
  <c r="R1591" i="13"/>
  <c r="M1591" i="13" l="1"/>
  <c r="T1591" i="13" s="1"/>
  <c r="N1591" i="13"/>
  <c r="L1591" i="13"/>
  <c r="I1592" i="13" l="1"/>
  <c r="O1592" i="13" s="1"/>
  <c r="AA1592" i="13" l="1"/>
  <c r="AB1589" i="13"/>
  <c r="K1592" i="13"/>
  <c r="P1592" i="13" s="1"/>
  <c r="Q1592" i="13" l="1"/>
  <c r="J1592" i="13" s="1"/>
  <c r="R1592" i="13"/>
  <c r="M1592" i="13" l="1"/>
  <c r="T1592" i="13" s="1"/>
  <c r="N1592" i="13"/>
  <c r="L1592" i="13"/>
  <c r="I1593" i="13" l="1"/>
  <c r="O1593" i="13" s="1"/>
  <c r="AA1593" i="13" l="1"/>
  <c r="AB1590" i="13"/>
  <c r="K1593" i="13"/>
  <c r="P1593" i="13" s="1"/>
  <c r="Q1593" i="13" l="1"/>
  <c r="J1593" i="13" s="1"/>
  <c r="R1593" i="13"/>
  <c r="M1593" i="13" l="1"/>
  <c r="T1593" i="13" s="1"/>
  <c r="N1593" i="13"/>
  <c r="L1593" i="13"/>
  <c r="I1594" i="13" l="1"/>
  <c r="O1594" i="13" s="1"/>
  <c r="AA1594" i="13" l="1"/>
  <c r="AB1591" i="13"/>
  <c r="K1594" i="13"/>
  <c r="P1594" i="13" s="1"/>
  <c r="Q1594" i="13" l="1"/>
  <c r="J1594" i="13" s="1"/>
  <c r="R1594" i="13"/>
  <c r="M1594" i="13" l="1"/>
  <c r="T1594" i="13" s="1"/>
  <c r="N1594" i="13"/>
  <c r="L1594" i="13"/>
  <c r="I1595" i="13" l="1"/>
  <c r="O1595" i="13" s="1"/>
  <c r="AA1595" i="13" l="1"/>
  <c r="AB1592" i="13"/>
  <c r="K1595" i="13"/>
  <c r="P1595" i="13" s="1"/>
  <c r="Q1595" i="13" l="1"/>
  <c r="J1595" i="13" s="1"/>
  <c r="R1595" i="13"/>
  <c r="M1595" i="13" l="1"/>
  <c r="T1595" i="13" s="1"/>
  <c r="N1595" i="13"/>
  <c r="L1595" i="13"/>
  <c r="I1596" i="13" l="1"/>
  <c r="O1596" i="13" s="1"/>
  <c r="AA1596" i="13" l="1"/>
  <c r="AB1593" i="13"/>
  <c r="K1596" i="13"/>
  <c r="P1596" i="13" s="1"/>
  <c r="Q1596" i="13" l="1"/>
  <c r="J1596" i="13" s="1"/>
  <c r="R1596" i="13"/>
  <c r="M1596" i="13" l="1"/>
  <c r="T1596" i="13" s="1"/>
  <c r="N1596" i="13"/>
  <c r="L1596" i="13"/>
  <c r="I1597" i="13" l="1"/>
  <c r="O1597" i="13" s="1"/>
  <c r="AA1597" i="13" l="1"/>
  <c r="AB1594" i="13"/>
  <c r="K1597" i="13"/>
  <c r="P1597" i="13" s="1"/>
  <c r="R1597" i="13" l="1"/>
  <c r="Q1597" i="13"/>
  <c r="J1597" i="13" s="1"/>
  <c r="M1597" i="13" l="1"/>
  <c r="T1597" i="13" s="1"/>
  <c r="N1597" i="13"/>
  <c r="L1597" i="13"/>
  <c r="I1598" i="13" l="1"/>
  <c r="O1598" i="13" s="1"/>
  <c r="AA1598" i="13" l="1"/>
  <c r="AB1595" i="13"/>
  <c r="K1598" i="13"/>
  <c r="P1598" i="13" s="1"/>
  <c r="R1598" i="13" l="1"/>
  <c r="Q1598" i="13"/>
  <c r="J1598" i="13" s="1"/>
  <c r="M1598" i="13" l="1"/>
  <c r="T1598" i="13" s="1"/>
  <c r="N1598" i="13"/>
  <c r="L1598" i="13"/>
  <c r="I1599" i="13" l="1"/>
  <c r="O1599" i="13" s="1"/>
  <c r="AA1599" i="13" l="1"/>
  <c r="AB1596" i="13"/>
  <c r="K1599" i="13"/>
  <c r="P1599" i="13" s="1"/>
  <c r="R1599" i="13" s="1"/>
  <c r="Q1599" i="13" l="1"/>
  <c r="J1599" i="13" s="1"/>
  <c r="L1599" i="13" s="1"/>
  <c r="N1599" i="13" l="1"/>
  <c r="M1599" i="13"/>
  <c r="T1599" i="13" s="1"/>
  <c r="I1600" i="13" l="1"/>
  <c r="O1600" i="13" s="1"/>
  <c r="AA1600" i="13" l="1"/>
  <c r="AB1597" i="13"/>
  <c r="K1600" i="13"/>
  <c r="P1600" i="13" s="1"/>
  <c r="Q1600" i="13" l="1"/>
  <c r="J1600" i="13" s="1"/>
  <c r="R1600" i="13"/>
  <c r="M1600" i="13" l="1"/>
  <c r="T1600" i="13" s="1"/>
  <c r="N1600" i="13"/>
  <c r="L1600" i="13"/>
  <c r="I1601" i="13" l="1"/>
  <c r="O1601" i="13" s="1"/>
  <c r="AA1601" i="13" l="1"/>
  <c r="AB1598" i="13"/>
  <c r="K1601" i="13"/>
  <c r="P1601" i="13" s="1"/>
  <c r="R1601" i="13" l="1"/>
  <c r="Q1601" i="13"/>
  <c r="J1601" i="13" s="1"/>
  <c r="M1601" i="13" l="1"/>
  <c r="T1601" i="13" s="1"/>
  <c r="N1601" i="13"/>
  <c r="L1601" i="13"/>
  <c r="I1602" i="13" l="1"/>
  <c r="O1602" i="13" s="1"/>
  <c r="AA1602" i="13" l="1"/>
  <c r="AB1599" i="13"/>
  <c r="K1602" i="13"/>
  <c r="P1602" i="13" s="1"/>
  <c r="R1602" i="13" l="1"/>
  <c r="Q1602" i="13"/>
  <c r="J1602" i="13" s="1"/>
  <c r="M1602" i="13" l="1"/>
  <c r="T1602" i="13" s="1"/>
  <c r="N1602" i="13"/>
  <c r="L1602" i="13"/>
  <c r="I1603" i="13" l="1"/>
  <c r="O1603" i="13" s="1"/>
  <c r="AA1603" i="13" l="1"/>
  <c r="AB1600" i="13"/>
  <c r="K1603" i="13"/>
  <c r="P1603" i="13" s="1"/>
  <c r="R1603" i="13" s="1"/>
  <c r="Q1603" i="13" l="1"/>
  <c r="J1603" i="13" s="1"/>
  <c r="L1603" i="13" s="1"/>
  <c r="N1603" i="13" l="1"/>
  <c r="M1603" i="13"/>
  <c r="T1603" i="13" s="1"/>
  <c r="I1604" i="13" l="1"/>
  <c r="O1604" i="13" s="1"/>
  <c r="AA1604" i="13" l="1"/>
  <c r="AB1601" i="13"/>
  <c r="K1604" i="13"/>
  <c r="P1604" i="13" s="1"/>
  <c r="Q1604" i="13" s="1"/>
  <c r="J1604" i="13" s="1"/>
  <c r="R1604" i="13" l="1"/>
  <c r="L1604" i="13"/>
  <c r="M1604" i="13"/>
  <c r="T1604" i="13" s="1"/>
  <c r="N1604" i="13"/>
  <c r="I1605" i="13" l="1"/>
  <c r="O1605" i="13" s="1"/>
  <c r="AA1605" i="13" l="1"/>
  <c r="AB1602" i="13"/>
  <c r="K1605" i="13"/>
  <c r="P1605" i="13" l="1"/>
  <c r="R1605" i="13" l="1"/>
  <c r="Q1605" i="13"/>
  <c r="J1605" i="13" s="1"/>
  <c r="N1605" i="13" l="1"/>
  <c r="M1605" i="13"/>
  <c r="T1605" i="13" s="1"/>
  <c r="L1605" i="13"/>
  <c r="I1606" i="13" l="1"/>
  <c r="O1606" i="13" s="1"/>
  <c r="AA1606" i="13" l="1"/>
  <c r="AB1603" i="13"/>
  <c r="K1606" i="13"/>
  <c r="P1606" i="13" s="1"/>
  <c r="Q1606" i="13" l="1"/>
  <c r="J1606" i="13" s="1"/>
  <c r="R1606" i="13"/>
  <c r="N1606" i="13" l="1"/>
  <c r="M1606" i="13"/>
  <c r="T1606" i="13" s="1"/>
  <c r="L1606" i="13"/>
  <c r="I1607" i="13" l="1"/>
  <c r="O1607" i="13" s="1"/>
  <c r="AA1607" i="13" s="1"/>
  <c r="K1607" i="13" l="1"/>
  <c r="P1607" i="13" s="1"/>
  <c r="R1607" i="13" l="1"/>
  <c r="Q1607" i="13"/>
  <c r="J1607" i="13" s="1"/>
  <c r="N1607" i="13" l="1"/>
  <c r="M1607" i="13"/>
  <c r="T1607" i="13" s="1"/>
  <c r="L1607" i="13"/>
  <c r="I1608" i="13" l="1"/>
  <c r="O1608" i="13" s="1"/>
  <c r="AA1608" i="13" s="1"/>
  <c r="K1608" i="13" l="1"/>
  <c r="P1608" i="13" s="1"/>
  <c r="R1608" i="13" l="1"/>
  <c r="Q1608" i="13"/>
  <c r="J1608" i="13" s="1"/>
  <c r="N1608" i="13" l="1"/>
  <c r="M1608" i="13"/>
  <c r="T1608" i="13" s="1"/>
  <c r="L1608" i="13"/>
  <c r="I1609" i="13" l="1"/>
  <c r="O1609" i="13" s="1"/>
  <c r="AA1609" i="13" s="1"/>
  <c r="K1609" i="13" l="1"/>
  <c r="P1609" i="13" s="1"/>
  <c r="R1609" i="13" l="1"/>
  <c r="Q1609" i="13"/>
  <c r="J1609" i="13" s="1"/>
  <c r="N1609" i="13" l="1"/>
  <c r="M1609" i="13"/>
  <c r="T1609" i="13" s="1"/>
  <c r="L1609" i="13"/>
  <c r="I1610" i="13" l="1"/>
  <c r="O1610" i="13" s="1"/>
  <c r="AA1610" i="13" s="1"/>
  <c r="K1610" i="13" l="1"/>
  <c r="P1610" i="13" s="1"/>
  <c r="R1610" i="13" l="1"/>
  <c r="Q1610" i="13"/>
  <c r="J1610" i="13" s="1"/>
  <c r="N1610" i="13" l="1"/>
  <c r="M1610" i="13"/>
  <c r="T1610" i="13" s="1"/>
  <c r="L1610" i="13"/>
  <c r="I1611" i="13" l="1"/>
  <c r="O1611" i="13" s="1"/>
  <c r="AA1611" i="13" s="1"/>
  <c r="K1611" i="13" l="1"/>
  <c r="P1611" i="13" s="1"/>
  <c r="R1611" i="13" l="1"/>
  <c r="Q1611" i="13"/>
  <c r="J1611" i="13" s="1"/>
  <c r="N1611" i="13" l="1"/>
  <c r="M1611" i="13"/>
  <c r="T1611" i="13" s="1"/>
  <c r="L1611" i="13"/>
  <c r="I1612" i="13" l="1"/>
  <c r="O1612" i="13" s="1"/>
  <c r="AA1612" i="13" s="1"/>
  <c r="K1612" i="13" l="1"/>
  <c r="P1612" i="13" s="1"/>
  <c r="R1612" i="13" s="1"/>
  <c r="Q1612" i="13" l="1"/>
  <c r="J1612" i="13" s="1"/>
  <c r="L1612" i="13" s="1"/>
  <c r="N1612" i="13" l="1"/>
  <c r="M1612" i="13"/>
  <c r="T1612" i="13" s="1"/>
  <c r="I1613" i="13" l="1"/>
  <c r="O1613" i="13" s="1"/>
  <c r="AA1613" i="13" l="1"/>
  <c r="AB1610" i="13"/>
  <c r="K1613" i="13"/>
  <c r="P1613" i="13" s="1"/>
  <c r="R1613" i="13" l="1"/>
  <c r="Q1613" i="13"/>
  <c r="J1613" i="13" s="1"/>
  <c r="M1613" i="13" l="1"/>
  <c r="T1613" i="13" s="1"/>
  <c r="N1613" i="13"/>
  <c r="L1613" i="13"/>
  <c r="I1614" i="13" l="1"/>
  <c r="O1614" i="13" s="1"/>
  <c r="AA1614" i="13" l="1"/>
  <c r="AB1611" i="13"/>
  <c r="K1614" i="13"/>
  <c r="P1614" i="13" s="1"/>
  <c r="R1614" i="13" l="1"/>
  <c r="Q1614" i="13"/>
  <c r="J1614" i="13" s="1"/>
  <c r="M1614" i="13" l="1"/>
  <c r="T1614" i="13" s="1"/>
  <c r="N1614" i="13"/>
  <c r="L1614" i="13"/>
  <c r="I1615" i="13" l="1"/>
  <c r="O1615" i="13" s="1"/>
  <c r="AA1615" i="13" l="1"/>
  <c r="AB1612" i="13"/>
  <c r="K1615" i="13"/>
  <c r="P1615" i="13" s="1"/>
  <c r="Q1615" i="13" l="1"/>
  <c r="J1615" i="13" s="1"/>
  <c r="R1615" i="13"/>
  <c r="M1615" i="13" l="1"/>
  <c r="T1615" i="13" s="1"/>
  <c r="N1615" i="13"/>
  <c r="L1615" i="13"/>
  <c r="I1616" i="13" l="1"/>
  <c r="O1616" i="13" s="1"/>
  <c r="AA1616" i="13" l="1"/>
  <c r="AB1613" i="13"/>
  <c r="K1616" i="13"/>
  <c r="P1616" i="13" s="1"/>
  <c r="Q1616" i="13" l="1"/>
  <c r="J1616" i="13" s="1"/>
  <c r="R1616" i="13"/>
  <c r="M1616" i="13" l="1"/>
  <c r="T1616" i="13" s="1"/>
  <c r="N1616" i="13"/>
  <c r="L1616" i="13"/>
  <c r="I1617" i="13" l="1"/>
  <c r="O1617" i="13" s="1"/>
  <c r="AA1617" i="13" l="1"/>
  <c r="AB1614" i="13"/>
  <c r="K1617" i="13"/>
  <c r="P1617" i="13" s="1"/>
  <c r="Q1617" i="13" l="1"/>
  <c r="J1617" i="13" s="1"/>
  <c r="R1617" i="13"/>
  <c r="M1617" i="13" l="1"/>
  <c r="T1617" i="13" s="1"/>
  <c r="N1617" i="13"/>
  <c r="L1617" i="13"/>
  <c r="I1618" i="13" l="1"/>
  <c r="O1618" i="13" s="1"/>
  <c r="AA1618" i="13" l="1"/>
  <c r="AB1615" i="13"/>
  <c r="K1618" i="13"/>
  <c r="P1618" i="13" s="1"/>
  <c r="R1618" i="13" l="1"/>
  <c r="Q1618" i="13"/>
  <c r="J1618" i="13" s="1"/>
  <c r="N1618" i="13" l="1"/>
  <c r="M1618" i="13"/>
  <c r="T1618" i="13" s="1"/>
  <c r="L1618" i="13"/>
  <c r="I1619" i="13" l="1"/>
  <c r="O1619" i="13" s="1"/>
  <c r="AA1619" i="13" l="1"/>
  <c r="AB1616" i="13"/>
  <c r="K1619" i="13"/>
  <c r="P1619" i="13" s="1"/>
  <c r="R1619" i="13" l="1"/>
  <c r="Q1619" i="13"/>
  <c r="J1619" i="13" s="1"/>
  <c r="N1619" i="13" l="1"/>
  <c r="M1619" i="13"/>
  <c r="T1619" i="13" s="1"/>
  <c r="L1619" i="13"/>
  <c r="I1620" i="13" l="1"/>
  <c r="O1620" i="13" s="1"/>
  <c r="AA1620" i="13" l="1"/>
  <c r="AB1617" i="13"/>
  <c r="K1620" i="13"/>
  <c r="P1620" i="13" s="1"/>
  <c r="Q1620" i="13" l="1"/>
  <c r="J1620" i="13" s="1"/>
  <c r="R1620" i="13"/>
  <c r="N1620" i="13" l="1"/>
  <c r="M1620" i="13"/>
  <c r="T1620" i="13" s="1"/>
  <c r="L1620" i="13"/>
  <c r="I1621" i="13" l="1"/>
  <c r="O1621" i="13" s="1"/>
  <c r="AA1621" i="13" l="1"/>
  <c r="AB1618" i="13"/>
  <c r="K1621" i="13"/>
  <c r="P1621" i="13" s="1"/>
  <c r="Q1621" i="13" l="1"/>
  <c r="J1621" i="13" s="1"/>
  <c r="R1621" i="13"/>
  <c r="N1621" i="13" l="1"/>
  <c r="M1621" i="13"/>
  <c r="T1621" i="13" s="1"/>
  <c r="L1621" i="13"/>
  <c r="I1622" i="13" l="1"/>
  <c r="O1622" i="13" s="1"/>
  <c r="AA1622" i="13" l="1"/>
  <c r="AB1619" i="13"/>
  <c r="K1622" i="13"/>
  <c r="P1622" i="13" s="1"/>
  <c r="R1622" i="13" l="1"/>
  <c r="Q1622" i="13"/>
  <c r="J1622" i="13" s="1"/>
  <c r="L1622" i="13" l="1"/>
  <c r="M1622" i="13"/>
  <c r="T1622" i="13" s="1"/>
  <c r="N1622" i="13"/>
  <c r="I1623" i="13" l="1"/>
  <c r="O1623" i="13" s="1"/>
  <c r="AA1623" i="13" l="1"/>
  <c r="AB1620" i="13"/>
  <c r="K1623" i="13"/>
  <c r="P1623" i="13" s="1"/>
  <c r="R1623" i="13" l="1"/>
  <c r="Q1623" i="13"/>
  <c r="J1623" i="13" s="1"/>
  <c r="L1623" i="13" l="1"/>
  <c r="M1623" i="13"/>
  <c r="T1623" i="13" s="1"/>
  <c r="N1623" i="13"/>
  <c r="I1624" i="13" l="1"/>
  <c r="O1624" i="13" s="1"/>
  <c r="AA1624" i="13" l="1"/>
  <c r="AB1621" i="13"/>
  <c r="K1624" i="13"/>
  <c r="P1624" i="13" l="1"/>
  <c r="R1624" i="13" l="1"/>
  <c r="Q1624" i="13"/>
  <c r="J1624" i="13" s="1"/>
  <c r="N1624" i="13" l="1"/>
  <c r="M1624" i="13"/>
  <c r="T1624" i="13" s="1"/>
  <c r="L1624" i="13"/>
  <c r="I1625" i="13" l="1"/>
  <c r="O1625" i="13" s="1"/>
  <c r="K1625" i="13" l="1"/>
  <c r="P1625" i="13" s="1"/>
  <c r="AA1625" i="13"/>
  <c r="AB1622" i="13"/>
  <c r="Q1625" i="13" l="1"/>
  <c r="J1625" i="13" s="1"/>
  <c r="R1625" i="13"/>
  <c r="M1625" i="13" l="1"/>
  <c r="T1625" i="13" s="1"/>
  <c r="N1625" i="13"/>
  <c r="L1625" i="13"/>
  <c r="I1626" i="13" l="1"/>
  <c r="O1626" i="13" s="1"/>
  <c r="AA1626" i="13" l="1"/>
  <c r="AB1623" i="13"/>
  <c r="K1626" i="13"/>
  <c r="P1626" i="13" s="1"/>
  <c r="R1626" i="13" s="1"/>
  <c r="Q1626" i="13" l="1"/>
  <c r="J1626" i="13" s="1"/>
  <c r="L1626" i="13" s="1"/>
  <c r="N1626" i="13" l="1"/>
  <c r="M1626" i="13"/>
  <c r="T1626" i="13" s="1"/>
  <c r="I1627" i="13" l="1"/>
  <c r="O1627" i="13" s="1"/>
  <c r="AA1627" i="13" l="1"/>
  <c r="AB1624" i="13"/>
  <c r="K1627" i="13"/>
  <c r="P1627" i="13" s="1"/>
  <c r="R1627" i="13" l="1"/>
  <c r="Q1627" i="13"/>
  <c r="J1627" i="13" s="1"/>
  <c r="M1627" i="13" l="1"/>
  <c r="T1627" i="13" s="1"/>
  <c r="N1627" i="13"/>
  <c r="L1627" i="13"/>
  <c r="I1628" i="13" l="1"/>
  <c r="O1628" i="13" s="1"/>
  <c r="AA1628" i="13" l="1"/>
  <c r="AB1625" i="13"/>
  <c r="K1628" i="13"/>
  <c r="P1628" i="13" s="1"/>
  <c r="Q1628" i="13" l="1"/>
  <c r="J1628" i="13" s="1"/>
  <c r="R1628" i="13"/>
  <c r="M1628" i="13" l="1"/>
  <c r="T1628" i="13" s="1"/>
  <c r="N1628" i="13"/>
  <c r="L1628" i="13"/>
  <c r="I1629" i="13" l="1"/>
  <c r="O1629" i="13" s="1"/>
  <c r="AA1629" i="13" l="1"/>
  <c r="AB1626" i="13"/>
  <c r="K1629" i="13"/>
  <c r="P1629" i="13" s="1"/>
  <c r="Q1629" i="13" l="1"/>
  <c r="J1629" i="13" s="1"/>
  <c r="R1629" i="13"/>
  <c r="N1629" i="13" l="1"/>
  <c r="M1629" i="13"/>
  <c r="T1629" i="13" s="1"/>
  <c r="L1629" i="13"/>
  <c r="I1630" i="13" l="1"/>
  <c r="O1630" i="13" s="1"/>
  <c r="AA1630" i="13" l="1"/>
  <c r="AB1627" i="13"/>
  <c r="K1630" i="13"/>
  <c r="P1630" i="13" s="1"/>
  <c r="R1630" i="13" l="1"/>
  <c r="Q1630" i="13"/>
  <c r="J1630" i="13" s="1"/>
  <c r="N1630" i="13" l="1"/>
  <c r="M1630" i="13"/>
  <c r="T1630" i="13" s="1"/>
  <c r="L1630" i="13"/>
  <c r="I1631" i="13" l="1"/>
  <c r="O1631" i="13" s="1"/>
  <c r="AA1631" i="13" l="1"/>
  <c r="AB1628" i="13"/>
  <c r="K1631" i="13"/>
  <c r="P1631" i="13" l="1"/>
  <c r="Q1631" i="13" l="1"/>
  <c r="J1631" i="13" s="1"/>
  <c r="R1631" i="13"/>
  <c r="M1631" i="13" l="1"/>
  <c r="T1631" i="13" s="1"/>
  <c r="N1631" i="13"/>
  <c r="L1631" i="13"/>
  <c r="I1632" i="13" l="1"/>
  <c r="O1632" i="13" s="1"/>
  <c r="AA1632" i="13" l="1"/>
  <c r="AB1629" i="13"/>
  <c r="K1632" i="13"/>
  <c r="P1632" i="13" s="1"/>
  <c r="Q1632" i="13" l="1"/>
  <c r="J1632" i="13" s="1"/>
  <c r="R1632" i="13"/>
  <c r="N1632" i="13" l="1"/>
  <c r="M1632" i="13"/>
  <c r="T1632" i="13" s="1"/>
  <c r="L1632" i="13"/>
  <c r="I1633" i="13" l="1"/>
  <c r="O1633" i="13" s="1"/>
  <c r="AA1633" i="13" l="1"/>
  <c r="AB1630" i="13"/>
  <c r="K1633" i="13"/>
  <c r="P1633" i="13" s="1"/>
  <c r="Q1633" i="13" l="1"/>
  <c r="J1633" i="13" s="1"/>
  <c r="R1633" i="13"/>
  <c r="N1633" i="13" l="1"/>
  <c r="M1633" i="13"/>
  <c r="T1633" i="13" s="1"/>
  <c r="L1633" i="13"/>
  <c r="I1634" i="13" l="1"/>
  <c r="O1634" i="13" s="1"/>
  <c r="AA1634" i="13" l="1"/>
  <c r="AB1631" i="13"/>
  <c r="K1634" i="13"/>
  <c r="P1634" i="13" s="1"/>
  <c r="Q1634" i="13" l="1"/>
  <c r="J1634" i="13" s="1"/>
  <c r="R1634" i="13"/>
  <c r="N1634" i="13" l="1"/>
  <c r="M1634" i="13"/>
  <c r="T1634" i="13" s="1"/>
  <c r="L1634" i="13"/>
  <c r="I1635" i="13" l="1"/>
  <c r="O1635" i="13" s="1"/>
  <c r="AA1635" i="13" l="1"/>
  <c r="AB1632" i="13"/>
  <c r="K1635" i="13"/>
  <c r="P1635" i="13" l="1"/>
  <c r="R1635" i="13" l="1"/>
  <c r="Q1635" i="13"/>
  <c r="J1635" i="13" s="1"/>
  <c r="N1635" i="13" l="1"/>
  <c r="M1635" i="13"/>
  <c r="T1635" i="13" s="1"/>
  <c r="L1635" i="13"/>
  <c r="I1636" i="13" l="1"/>
  <c r="O1636" i="13" s="1"/>
  <c r="AA1636" i="13" l="1"/>
  <c r="AB1633" i="13"/>
  <c r="K1636" i="13"/>
  <c r="P1636" i="13" s="1"/>
  <c r="Q1636" i="13" l="1"/>
  <c r="J1636" i="13" s="1"/>
  <c r="R1636" i="13"/>
  <c r="M1636" i="13" l="1"/>
  <c r="T1636" i="13" s="1"/>
  <c r="N1636" i="13"/>
  <c r="L1636" i="13"/>
  <c r="I1637" i="13" l="1"/>
  <c r="O1637" i="13" s="1"/>
  <c r="AA1637" i="13" l="1"/>
  <c r="AB1634" i="13"/>
  <c r="K1637" i="13"/>
  <c r="P1637" i="13" s="1"/>
  <c r="R1637" i="13" l="1"/>
  <c r="Q1637" i="13"/>
  <c r="J1637" i="13" s="1"/>
  <c r="M1637" i="13" l="1"/>
  <c r="T1637" i="13" s="1"/>
  <c r="N1637" i="13"/>
  <c r="L1637" i="13"/>
  <c r="I1638" i="13" l="1"/>
  <c r="O1638" i="13" s="1"/>
  <c r="AA1638" i="13" l="1"/>
  <c r="AB1635" i="13"/>
  <c r="K1638" i="13"/>
  <c r="P1638" i="13" s="1"/>
  <c r="Q1638" i="13" l="1"/>
  <c r="J1638" i="13" s="1"/>
  <c r="R1638" i="13"/>
  <c r="M1638" i="13" l="1"/>
  <c r="T1638" i="13" s="1"/>
  <c r="N1638" i="13"/>
  <c r="L1638" i="13"/>
  <c r="I1639" i="13" l="1"/>
  <c r="O1639" i="13" s="1"/>
  <c r="AA1639" i="13" l="1"/>
  <c r="AB1636" i="13"/>
  <c r="K1639" i="13"/>
  <c r="P1639" i="13" s="1"/>
  <c r="Q1639" i="13" s="1"/>
  <c r="J1639" i="13" s="1"/>
  <c r="L1639" i="13" s="1"/>
  <c r="R1639" i="13" l="1"/>
  <c r="N1639" i="13"/>
  <c r="M1639" i="13"/>
  <c r="T1639" i="13" s="1"/>
  <c r="I1640" i="13" l="1"/>
  <c r="O1640" i="13" s="1"/>
  <c r="AA1640" i="13" l="1"/>
  <c r="AB1637" i="13"/>
  <c r="K1640" i="13"/>
  <c r="P1640" i="13" s="1"/>
  <c r="Q1640" i="13" l="1"/>
  <c r="J1640" i="13" s="1"/>
  <c r="R1640" i="13"/>
  <c r="M1640" i="13" l="1"/>
  <c r="T1640" i="13" s="1"/>
  <c r="N1640" i="13"/>
  <c r="L1640" i="13"/>
  <c r="I1641" i="13" l="1"/>
  <c r="O1641" i="13" s="1"/>
  <c r="AA1641" i="13" l="1"/>
  <c r="AB1638" i="13"/>
  <c r="K1641" i="13"/>
  <c r="P1641" i="13" s="1"/>
  <c r="Q1641" i="13" l="1"/>
  <c r="J1641" i="13" s="1"/>
  <c r="R1641" i="13"/>
  <c r="N1641" i="13" l="1"/>
  <c r="M1641" i="13"/>
  <c r="T1641" i="13" s="1"/>
  <c r="L1641" i="13"/>
  <c r="I1642" i="13" l="1"/>
  <c r="O1642" i="13" s="1"/>
  <c r="AA1642" i="13" l="1"/>
  <c r="AB1639" i="13"/>
  <c r="K1642" i="13"/>
  <c r="P1642" i="13" s="1"/>
  <c r="R1642" i="13" l="1"/>
  <c r="Q1642" i="13"/>
  <c r="J1642" i="13" s="1"/>
  <c r="M1642" i="13" l="1"/>
  <c r="T1642" i="13" s="1"/>
  <c r="N1642" i="13"/>
  <c r="L1642" i="13"/>
  <c r="I1643" i="13" l="1"/>
  <c r="O1643" i="13" s="1"/>
  <c r="AA1643" i="13" l="1"/>
  <c r="AB1640" i="13"/>
  <c r="K1643" i="13"/>
  <c r="P1643" i="13" s="1"/>
  <c r="R1643" i="13" l="1"/>
  <c r="Q1643" i="13"/>
  <c r="J1643" i="13" s="1"/>
  <c r="M1643" i="13" l="1"/>
  <c r="T1643" i="13" s="1"/>
  <c r="N1643" i="13"/>
  <c r="L1643" i="13"/>
  <c r="I1644" i="13" l="1"/>
  <c r="O1644" i="13" s="1"/>
  <c r="AA1644" i="13" l="1"/>
  <c r="AB1641" i="13"/>
  <c r="K1644" i="13"/>
  <c r="P1644" i="13" s="1"/>
  <c r="Q1644" i="13" l="1"/>
  <c r="J1644" i="13" s="1"/>
  <c r="R1644" i="13"/>
  <c r="M1644" i="13" l="1"/>
  <c r="T1644" i="13" s="1"/>
  <c r="N1644" i="13"/>
  <c r="L1644" i="13"/>
  <c r="I1645" i="13" l="1"/>
  <c r="O1645" i="13" s="1"/>
  <c r="AA1645" i="13" l="1"/>
  <c r="AB1642" i="13"/>
  <c r="K1645" i="13"/>
  <c r="P1645" i="13" s="1"/>
  <c r="R1645" i="13" l="1"/>
  <c r="Q1645" i="13"/>
  <c r="J1645" i="13" s="1"/>
  <c r="M1645" i="13" l="1"/>
  <c r="T1645" i="13" s="1"/>
  <c r="N1645" i="13"/>
  <c r="L1645" i="13"/>
  <c r="I1646" i="13" l="1"/>
  <c r="O1646" i="13" s="1"/>
  <c r="AA1646" i="13" l="1"/>
  <c r="AB1643" i="13"/>
  <c r="K1646" i="13"/>
  <c r="P1646" i="13" s="1"/>
  <c r="R1646" i="13" s="1"/>
  <c r="Q1646" i="13" l="1"/>
  <c r="J1646" i="13" s="1"/>
  <c r="L1646" i="13" s="1"/>
  <c r="N1646" i="13" l="1"/>
  <c r="M1646" i="13"/>
  <c r="T1646" i="13" s="1"/>
  <c r="I1647" i="13" l="1"/>
  <c r="O1647" i="13" s="1"/>
  <c r="AA1647" i="13" l="1"/>
  <c r="AB1644" i="13"/>
  <c r="K1647" i="13"/>
  <c r="P1647" i="13" s="1"/>
  <c r="Q1647" i="13" l="1"/>
  <c r="J1647" i="13" s="1"/>
  <c r="R1647" i="13"/>
  <c r="N1647" i="13" l="1"/>
  <c r="M1647" i="13"/>
  <c r="T1647" i="13" s="1"/>
  <c r="L1647" i="13"/>
  <c r="AB1645" i="13" l="1"/>
  <c r="AB1646" i="13" l="1"/>
  <c r="AB1647" i="13" l="1"/>
  <c r="AG3" i="13" l="1"/>
  <c r="AB1" i="13" l="1"/>
  <c r="AA1" i="13" l="1"/>
  <c r="AC1" i="13" s="1"/>
  <c r="E3" i="10" s="1"/>
</calcChain>
</file>

<file path=xl/sharedStrings.xml><?xml version="1.0" encoding="utf-8"?>
<sst xmlns="http://schemas.openxmlformats.org/spreadsheetml/2006/main" count="83" uniqueCount="71">
  <si>
    <t>X2</t>
  </si>
  <si>
    <t>X1</t>
  </si>
  <si>
    <t>Параметры:</t>
  </si>
  <si>
    <t>P1</t>
  </si>
  <si>
    <t>P2</t>
  </si>
  <si>
    <t>P3</t>
  </si>
  <si>
    <t>P4</t>
  </si>
  <si>
    <t>P5</t>
  </si>
  <si>
    <t>X3</t>
  </si>
  <si>
    <t>X4</t>
  </si>
  <si>
    <t>X5</t>
  </si>
  <si>
    <t>F:</t>
  </si>
  <si>
    <t>F=</t>
  </si>
  <si>
    <t>mv</t>
  </si>
  <si>
    <t>Delta[%]=</t>
  </si>
  <si>
    <t>N=</t>
  </si>
  <si>
    <t>Xc</t>
  </si>
  <si>
    <t>alpha</t>
  </si>
  <si>
    <t>betta</t>
  </si>
  <si>
    <t>gamma</t>
  </si>
  <si>
    <t>Xr</t>
  </si>
  <si>
    <t>Xe</t>
  </si>
  <si>
    <t>Xs</t>
  </si>
  <si>
    <t>A0</t>
  </si>
  <si>
    <t>As</t>
  </si>
  <si>
    <t>Ak</t>
  </si>
  <si>
    <t>B0</t>
  </si>
  <si>
    <t>Bs</t>
  </si>
  <si>
    <t>Bk</t>
  </si>
  <si>
    <t>X6</t>
  </si>
  <si>
    <t>X7</t>
  </si>
  <si>
    <t>P6</t>
  </si>
  <si>
    <t>P7</t>
  </si>
  <si>
    <t>P8</t>
  </si>
  <si>
    <t>mk</t>
  </si>
  <si>
    <t>X8</t>
  </si>
  <si>
    <t>mn</t>
  </si>
  <si>
    <t>x9</t>
  </si>
  <si>
    <t>m</t>
  </si>
  <si>
    <t>B</t>
  </si>
  <si>
    <t>R0</t>
  </si>
  <si>
    <t>Rho0</t>
  </si>
  <si>
    <t>s/s0</t>
  </si>
  <si>
    <t>P=</t>
  </si>
  <si>
    <t>t</t>
  </si>
  <si>
    <t>dh/dt</t>
  </si>
  <si>
    <t>ro</t>
  </si>
  <si>
    <t>sigma</t>
  </si>
  <si>
    <t>e</t>
  </si>
  <si>
    <t>"-ds_dh/s"</t>
  </si>
  <si>
    <t>h</t>
  </si>
  <si>
    <t>x</t>
  </si>
  <si>
    <t>1-Bx</t>
  </si>
  <si>
    <t>A/(x+x0)</t>
  </si>
  <si>
    <t>s0</t>
  </si>
  <si>
    <t>km</t>
  </si>
  <si>
    <t>mm</t>
  </si>
  <si>
    <t>P</t>
  </si>
  <si>
    <t>n</t>
  </si>
  <si>
    <t>dSigma</t>
  </si>
  <si>
    <t>K</t>
  </si>
  <si>
    <t>A=</t>
  </si>
  <si>
    <t>x0=</t>
  </si>
  <si>
    <t>time</t>
  </si>
  <si>
    <t>neight</t>
  </si>
  <si>
    <t>pressure</t>
  </si>
  <si>
    <t>error</t>
  </si>
  <si>
    <t>pressure Mpa</t>
  </si>
  <si>
    <t xml:space="preserve"> </t>
  </si>
  <si>
    <t>SR</t>
  </si>
  <si>
    <t>0.5-1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</si>
</sst>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9" x14ac:knownFonts="1">
    <font>
      <sz val="10"/>
      <name val="Arial"/>
      <charset val="204"/>
    </font>
    <font>
      <sz val="8"/>
      <name val="Arial"/>
      <family val="2"/>
      <charset val="204"/>
    </font>
    <font>
      <b/>
      <sz val="10"/>
      <name val="Arial"/>
      <family val="2"/>
      <charset val="238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/>
    <xf numFmtId="0" fontId="7" fillId="0" borderId="0"/>
  </cellStyleXfs>
  <cellXfs count="28">
    <xf numFmtId="0" fontId="0" fillId="0" borderId="0" xfId="0"/>
    <xf numFmtId="0" fontId="3" fillId="0" borderId="0" xfId="0" applyFont="1"/>
    <xf numFmtId="0" fontId="0" fillId="0" borderId="0" xfId="0" applyNumberFormat="1" applyFill="1"/>
    <xf numFmtId="0" fontId="3" fillId="0" borderId="0" xfId="0" applyNumberFormat="1" applyFont="1" applyFill="1"/>
    <xf numFmtId="0" fontId="0" fillId="0" borderId="0" xfId="0" applyNumberFormat="1" applyFill="1" applyAlignment="1"/>
    <xf numFmtId="0" fontId="4" fillId="0" borderId="0" xfId="0" applyNumberFormat="1" applyFont="1" applyFill="1" applyAlignment="1">
      <alignment horizontal="right"/>
    </xf>
    <xf numFmtId="0" fontId="3" fillId="0" borderId="0" xfId="0" applyNumberFormat="1" applyFont="1" applyFill="1" applyAlignment="1"/>
    <xf numFmtId="0" fontId="3" fillId="0" borderId="0" xfId="0" applyNumberFormat="1" applyFont="1" applyFill="1" applyAlignment="1">
      <alignment horizontal="right"/>
    </xf>
    <xf numFmtId="0" fontId="0" fillId="0" borderId="0" xfId="0" applyNumberFormat="1" applyFill="1" applyAlignment="1">
      <alignment horizontal="right"/>
    </xf>
    <xf numFmtId="0" fontId="2" fillId="0" borderId="0" xfId="0" applyNumberFormat="1" applyFont="1" applyFill="1"/>
    <xf numFmtId="0" fontId="5" fillId="0" borderId="0" xfId="0" applyNumberFormat="1" applyFont="1" applyFill="1" applyAlignment="1">
      <alignment horizontal="center"/>
    </xf>
    <xf numFmtId="0" fontId="0" fillId="0" borderId="0" xfId="0" applyNumberFormat="1" applyFont="1" applyFill="1"/>
    <xf numFmtId="0" fontId="4" fillId="0" borderId="0" xfId="0" applyNumberFormat="1" applyFont="1" applyFill="1"/>
    <xf numFmtId="0" fontId="0" fillId="0" borderId="0" xfId="0" applyNumberFormat="1" applyFill="1" applyAlignment="1">
      <alignment horizontal="center"/>
    </xf>
    <xf numFmtId="0" fontId="6" fillId="0" borderId="0" xfId="0" applyNumberFormat="1" applyFont="1" applyFill="1"/>
    <xf numFmtId="164" fontId="0" fillId="0" borderId="0" xfId="0" applyNumberFormat="1" applyFill="1"/>
    <xf numFmtId="164" fontId="0" fillId="0" borderId="0" xfId="0" applyNumberFormat="1" applyFill="1" applyAlignment="1"/>
    <xf numFmtId="164" fontId="3" fillId="0" borderId="0" xfId="0" applyNumberFormat="1" applyFont="1" applyFill="1"/>
    <xf numFmtId="164" fontId="5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3" fillId="0" borderId="0" xfId="1" applyNumberFormat="1" applyFill="1"/>
    <xf numFmtId="11" fontId="0" fillId="0" borderId="0" xfId="0" applyNumberFormat="1"/>
    <xf numFmtId="0" fontId="3" fillId="0" borderId="0" xfId="0" quotePrefix="1" applyFont="1"/>
    <xf numFmtId="0" fontId="4" fillId="0" borderId="0" xfId="0" applyFont="1"/>
    <xf numFmtId="0" fontId="3" fillId="0" borderId="0" xfId="0" applyFont="1" applyAlignment="1">
      <alignment horizontal="right"/>
    </xf>
    <xf numFmtId="0" fontId="7" fillId="0" borderId="0" xfId="2"/>
    <xf numFmtId="0" fontId="7" fillId="0" borderId="0" xfId="2" applyFill="1"/>
    <xf numFmtId="11" fontId="0" fillId="0" borderId="0" xfId="0" applyNumberFormat="1" applyFill="1"/>
  </cellXfs>
  <cellStyles count="3">
    <cellStyle name="Обычный" xfId="0" builtinId="0"/>
    <cellStyle name="Обычный 2" xfId="1"/>
    <cellStyle name="Обычный 3" xfId="2"/>
  </cellStyles>
  <dxfs count="0"/>
  <tableStyles count="0" defaultTableStyle="TableStyleMedium9" defaultPivotStyle="PivotStyleLight16"/>
  <colors>
    <mruColors>
      <color rgb="FF0000C8"/>
      <color rgb="FF1400B4"/>
      <color rgb="FFB40000"/>
      <color rgb="FF8C0028"/>
      <color rgb="FF640050"/>
      <color rgb="FF3C008C"/>
      <color rgb="FFC80000"/>
      <color rgb="FFA00028"/>
      <color rgb="FF780050"/>
      <color rgb="FF50007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1"/>
          <c:tx>
            <c:strRef>
              <c:f>data!$I$2</c:f>
              <c:strCache>
                <c:ptCount val="1"/>
                <c:pt idx="0">
                  <c:v>dh/dt</c:v>
                </c:pt>
              </c:strCache>
            </c:strRef>
          </c:tx>
          <c:marker>
            <c:symbol val="none"/>
          </c:marker>
          <c:xVal>
            <c:numRef>
              <c:f>data!$H$3:$H$4454</c:f>
              <c:numCache>
                <c:formatCode>0.00E+00</c:formatCode>
                <c:ptCount val="4452"/>
                <c:pt idx="0" formatCode="General">
                  <c:v>0</c:v>
                </c:pt>
                <c:pt idx="1">
                  <c:v>1E-4</c:v>
                </c:pt>
                <c:pt idx="2">
                  <c:v>1.1000000000000002E-4</c:v>
                </c:pt>
                <c:pt idx="3">
                  <c:v>1.2100000000000003E-4</c:v>
                </c:pt>
                <c:pt idx="4">
                  <c:v>1.3310000000000004E-4</c:v>
                </c:pt>
                <c:pt idx="5">
                  <c:v>1.4641000000000006E-4</c:v>
                </c:pt>
                <c:pt idx="6">
                  <c:v>1.6105100000000008E-4</c:v>
                </c:pt>
                <c:pt idx="7">
                  <c:v>1.771561000000001E-4</c:v>
                </c:pt>
                <c:pt idx="8">
                  <c:v>1.9487171000000012E-4</c:v>
                </c:pt>
                <c:pt idx="9">
                  <c:v>2.1435888100000014E-4</c:v>
                </c:pt>
                <c:pt idx="10">
                  <c:v>2.3579476910000016E-4</c:v>
                </c:pt>
                <c:pt idx="11">
                  <c:v>2.5937424601000017E-4</c:v>
                </c:pt>
                <c:pt idx="12">
                  <c:v>2.8531167061100022E-4</c:v>
                </c:pt>
                <c:pt idx="13">
                  <c:v>3.1384283767210024E-4</c:v>
                </c:pt>
                <c:pt idx="14">
                  <c:v>3.452271214393103E-4</c:v>
                </c:pt>
                <c:pt idx="15">
                  <c:v>3.7974983358324136E-4</c:v>
                </c:pt>
                <c:pt idx="16">
                  <c:v>4.1772481694156552E-4</c:v>
                </c:pt>
                <c:pt idx="17">
                  <c:v>4.5949729863572212E-4</c:v>
                </c:pt>
                <c:pt idx="18">
                  <c:v>5.0544702849929441E-4</c:v>
                </c:pt>
                <c:pt idx="19">
                  <c:v>5.5599173134922395E-4</c:v>
                </c:pt>
                <c:pt idx="20">
                  <c:v>6.115909044841464E-4</c:v>
                </c:pt>
                <c:pt idx="21">
                  <c:v>6.7274999493256108E-4</c:v>
                </c:pt>
                <c:pt idx="22">
                  <c:v>7.4002499442581723E-4</c:v>
                </c:pt>
                <c:pt idx="23">
                  <c:v>8.1402749386839902E-4</c:v>
                </c:pt>
                <c:pt idx="24">
                  <c:v>8.9543024325523899E-4</c:v>
                </c:pt>
                <c:pt idx="25">
                  <c:v>9.8497326758076298E-4</c:v>
                </c:pt>
                <c:pt idx="26">
                  <c:v>1.0834705943388394E-3</c:v>
                </c:pt>
                <c:pt idx="27">
                  <c:v>1.1918176537727234E-3</c:v>
                </c:pt>
                <c:pt idx="28">
                  <c:v>1.3109994191499959E-3</c:v>
                </c:pt>
                <c:pt idx="29">
                  <c:v>1.4420993610649957E-3</c:v>
                </c:pt>
                <c:pt idx="30">
                  <c:v>1.5863092971714955E-3</c:v>
                </c:pt>
                <c:pt idx="31">
                  <c:v>1.7449402268886452E-3</c:v>
                </c:pt>
                <c:pt idx="32">
                  <c:v>1.9194342495775099E-3</c:v>
                </c:pt>
                <c:pt idx="33">
                  <c:v>2.1113776745352612E-3</c:v>
                </c:pt>
                <c:pt idx="34">
                  <c:v>2.3225154419887874E-3</c:v>
                </c:pt>
                <c:pt idx="35">
                  <c:v>2.5547669861876662E-3</c:v>
                </c:pt>
                <c:pt idx="36">
                  <c:v>2.8102436848064329E-3</c:v>
                </c:pt>
                <c:pt idx="37">
                  <c:v>3.0912680532870765E-3</c:v>
                </c:pt>
                <c:pt idx="38">
                  <c:v>3.4003948586157845E-3</c:v>
                </c:pt>
                <c:pt idx="39">
                  <c:v>3.7404343444773632E-3</c:v>
                </c:pt>
                <c:pt idx="40">
                  <c:v>4.1144777789250998E-3</c:v>
                </c:pt>
                <c:pt idx="41">
                  <c:v>4.5259255568176103E-3</c:v>
                </c:pt>
                <c:pt idx="42">
                  <c:v>4.9785181124993722E-3</c:v>
                </c:pt>
                <c:pt idx="43">
                  <c:v>5.4763699237493097E-3</c:v>
                </c:pt>
                <c:pt idx="44">
                  <c:v>6.0240069161242409E-3</c:v>
                </c:pt>
                <c:pt idx="45">
                  <c:v>6.6264076077366656E-3</c:v>
                </c:pt>
                <c:pt idx="46">
                  <c:v>7.2890483685103327E-3</c:v>
                </c:pt>
                <c:pt idx="47">
                  <c:v>8.0179532053613663E-3</c:v>
                </c:pt>
                <c:pt idx="48">
                  <c:v>8.8197485258975031E-3</c:v>
                </c:pt>
                <c:pt idx="49">
                  <c:v>9.7017233784872543E-3</c:v>
                </c:pt>
                <c:pt idx="50">
                  <c:v>1.0671895716335981E-2</c:v>
                </c:pt>
                <c:pt idx="51">
                  <c:v>1.173908528796958E-2</c:v>
                </c:pt>
                <c:pt idx="52">
                  <c:v>1.2912993816766539E-2</c:v>
                </c:pt>
                <c:pt idx="53">
                  <c:v>1.4204293198443194E-2</c:v>
                </c:pt>
                <c:pt idx="54">
                  <c:v>1.5624722518287514E-2</c:v>
                </c:pt>
                <c:pt idx="55">
                  <c:v>1.7187194770116265E-2</c:v>
                </c:pt>
                <c:pt idx="56">
                  <c:v>1.8905914247127894E-2</c:v>
                </c:pt>
                <c:pt idx="57">
                  <c:v>2.0796505671840684E-2</c:v>
                </c:pt>
                <c:pt idx="58">
                  <c:v>2.2876156239024753E-2</c:v>
                </c:pt>
                <c:pt idx="59">
                  <c:v>2.5163771862927231E-2</c:v>
                </c:pt>
                <c:pt idx="60">
                  <c:v>2.7680149049219956E-2</c:v>
                </c:pt>
                <c:pt idx="61">
                  <c:v>3.0448163954141953E-2</c:v>
                </c:pt>
                <c:pt idx="62">
                  <c:v>3.3492980349556153E-2</c:v>
                </c:pt>
                <c:pt idx="63">
                  <c:v>3.6842278384511769E-2</c:v>
                </c:pt>
                <c:pt idx="64">
                  <c:v>4.0526506222962951E-2</c:v>
                </c:pt>
                <c:pt idx="65">
                  <c:v>4.4579156845259246E-2</c:v>
                </c:pt>
                <c:pt idx="66">
                  <c:v>4.9037072529785175E-2</c:v>
                </c:pt>
                <c:pt idx="67">
                  <c:v>5.3940779782763695E-2</c:v>
                </c:pt>
                <c:pt idx="68">
                  <c:v>5.9334857761040069E-2</c:v>
                </c:pt>
                <c:pt idx="69">
                  <c:v>6.5268343537144086E-2</c:v>
                </c:pt>
                <c:pt idx="70">
                  <c:v>7.17951778908585E-2</c:v>
                </c:pt>
                <c:pt idx="71">
                  <c:v>7.8974695679944362E-2</c:v>
                </c:pt>
                <c:pt idx="72">
                  <c:v>8.687216524793881E-2</c:v>
                </c:pt>
                <c:pt idx="73">
                  <c:v>9.5559381772732696E-2</c:v>
                </c:pt>
                <c:pt idx="74">
                  <c:v>0.10511531995000598</c:v>
                </c:pt>
                <c:pt idx="75">
                  <c:v>0.11562685194500658</c:v>
                </c:pt>
                <c:pt idx="76">
                  <c:v>0.12718953713950723</c:v>
                </c:pt>
                <c:pt idx="77">
                  <c:v>0.13990849085345797</c:v>
                </c:pt>
                <c:pt idx="78">
                  <c:v>0.15389933993880378</c:v>
                </c:pt>
                <c:pt idx="79">
                  <c:v>0.16928927393268417</c:v>
                </c:pt>
                <c:pt idx="80">
                  <c:v>0.1862182013259526</c:v>
                </c:pt>
                <c:pt idx="81">
                  <c:v>0.20484002145854788</c:v>
                </c:pt>
                <c:pt idx="82">
                  <c:v>0.22532402360440268</c:v>
                </c:pt>
                <c:pt idx="83">
                  <c:v>0.24785642596484297</c:v>
                </c:pt>
                <c:pt idx="84">
                  <c:v>0.27264206856132728</c:v>
                </c:pt>
                <c:pt idx="85">
                  <c:v>0.29990627541746001</c:v>
                </c:pt>
                <c:pt idx="86">
                  <c:v>0.32989690295920604</c:v>
                </c:pt>
                <c:pt idx="87">
                  <c:v>0.36288659325512668</c:v>
                </c:pt>
                <c:pt idx="88">
                  <c:v>0.39917525258063935</c:v>
                </c:pt>
                <c:pt idx="89">
                  <c:v>0.43909277783870332</c:v>
                </c:pt>
                <c:pt idx="90">
                  <c:v>0.4830020556225737</c:v>
                </c:pt>
                <c:pt idx="91">
                  <c:v>0.53130226118483115</c:v>
                </c:pt>
                <c:pt idx="92">
                  <c:v>0.58443248730331432</c:v>
                </c:pt>
                <c:pt idx="93">
                  <c:v>0.64287573603364578</c:v>
                </c:pt>
                <c:pt idx="94">
                  <c:v>0.70716330963701046</c:v>
                </c:pt>
                <c:pt idx="95">
                  <c:v>0.77787964060071157</c:v>
                </c:pt>
                <c:pt idx="96">
                  <c:v>0.85566760466078284</c:v>
                </c:pt>
                <c:pt idx="97">
                  <c:v>0.94123436512686121</c:v>
                </c:pt>
                <c:pt idx="98">
                  <c:v>1.0353578016395475</c:v>
                </c:pt>
                <c:pt idx="99">
                  <c:v>1.1388935818035024</c:v>
                </c:pt>
                <c:pt idx="100">
                  <c:v>1.2527829399838528</c:v>
                </c:pt>
                <c:pt idx="101">
                  <c:v>1.3780612339822382</c:v>
                </c:pt>
                <c:pt idx="102">
                  <c:v>1.5158673573804622</c:v>
                </c:pt>
                <c:pt idx="103">
                  <c:v>1.6674540931185085</c:v>
                </c:pt>
                <c:pt idx="104">
                  <c:v>1.8341995024303595</c:v>
                </c:pt>
                <c:pt idx="105">
                  <c:v>2.0176194526733955</c:v>
                </c:pt>
                <c:pt idx="106">
                  <c:v>2.2193813979407353</c:v>
                </c:pt>
                <c:pt idx="107">
                  <c:v>2.4413195377348091</c:v>
                </c:pt>
                <c:pt idx="108">
                  <c:v>2.6854514915082901</c:v>
                </c:pt>
                <c:pt idx="109">
                  <c:v>2.9539966406591192</c:v>
                </c:pt>
                <c:pt idx="110">
                  <c:v>3.2493963047250314</c:v>
                </c:pt>
                <c:pt idx="111">
                  <c:v>3.574335935197535</c:v>
                </c:pt>
                <c:pt idx="112">
                  <c:v>3.9317695287172887</c:v>
                </c:pt>
                <c:pt idx="113">
                  <c:v>4.3249464815890182</c:v>
                </c:pt>
                <c:pt idx="114">
                  <c:v>4.75744112974792</c:v>
                </c:pt>
                <c:pt idx="115">
                  <c:v>5.2331852427227128</c:v>
                </c:pt>
                <c:pt idx="116">
                  <c:v>5.7565037669949843</c:v>
                </c:pt>
                <c:pt idx="117">
                  <c:v>6.332154143694483</c:v>
                </c:pt>
                <c:pt idx="118">
                  <c:v>6.9653695580639319</c:v>
                </c:pt>
                <c:pt idx="119">
                  <c:v>7.661906513870326</c:v>
                </c:pt>
                <c:pt idx="120">
                  <c:v>8.4280971652573591</c:v>
                </c:pt>
                <c:pt idx="121">
                  <c:v>9.2709068817830964</c:v>
                </c:pt>
                <c:pt idx="122">
                  <c:v>10</c:v>
                </c:pt>
                <c:pt idx="123">
                  <c:v>11</c:v>
                </c:pt>
                <c:pt idx="124">
                  <c:v>12</c:v>
                </c:pt>
                <c:pt idx="125">
                  <c:v>13</c:v>
                </c:pt>
                <c:pt idx="126">
                  <c:v>14</c:v>
                </c:pt>
                <c:pt idx="127">
                  <c:v>15</c:v>
                </c:pt>
                <c:pt idx="128">
                  <c:v>16</c:v>
                </c:pt>
                <c:pt idx="129">
                  <c:v>17</c:v>
                </c:pt>
                <c:pt idx="130">
                  <c:v>18</c:v>
                </c:pt>
                <c:pt idx="131">
                  <c:v>19</c:v>
                </c:pt>
                <c:pt idx="132">
                  <c:v>20</c:v>
                </c:pt>
                <c:pt idx="133">
                  <c:v>21</c:v>
                </c:pt>
                <c:pt idx="134">
                  <c:v>22</c:v>
                </c:pt>
                <c:pt idx="135">
                  <c:v>23</c:v>
                </c:pt>
                <c:pt idx="136">
                  <c:v>24</c:v>
                </c:pt>
                <c:pt idx="137">
                  <c:v>25</c:v>
                </c:pt>
                <c:pt idx="138">
                  <c:v>26</c:v>
                </c:pt>
                <c:pt idx="139">
                  <c:v>27</c:v>
                </c:pt>
                <c:pt idx="140">
                  <c:v>28</c:v>
                </c:pt>
                <c:pt idx="141">
                  <c:v>29</c:v>
                </c:pt>
                <c:pt idx="142">
                  <c:v>30</c:v>
                </c:pt>
                <c:pt idx="143">
                  <c:v>31</c:v>
                </c:pt>
                <c:pt idx="144">
                  <c:v>32</c:v>
                </c:pt>
                <c:pt idx="145">
                  <c:v>33</c:v>
                </c:pt>
                <c:pt idx="146">
                  <c:v>34</c:v>
                </c:pt>
                <c:pt idx="147">
                  <c:v>35</c:v>
                </c:pt>
                <c:pt idx="148">
                  <c:v>36</c:v>
                </c:pt>
                <c:pt idx="149">
                  <c:v>37</c:v>
                </c:pt>
                <c:pt idx="150">
                  <c:v>38</c:v>
                </c:pt>
                <c:pt idx="151">
                  <c:v>39</c:v>
                </c:pt>
                <c:pt idx="152">
                  <c:v>40</c:v>
                </c:pt>
                <c:pt idx="153">
                  <c:v>41</c:v>
                </c:pt>
                <c:pt idx="154">
                  <c:v>42</c:v>
                </c:pt>
                <c:pt idx="155">
                  <c:v>43</c:v>
                </c:pt>
                <c:pt idx="156">
                  <c:v>44</c:v>
                </c:pt>
                <c:pt idx="157">
                  <c:v>45</c:v>
                </c:pt>
                <c:pt idx="158">
                  <c:v>46</c:v>
                </c:pt>
                <c:pt idx="159">
                  <c:v>47</c:v>
                </c:pt>
                <c:pt idx="160">
                  <c:v>48</c:v>
                </c:pt>
                <c:pt idx="161">
                  <c:v>49</c:v>
                </c:pt>
                <c:pt idx="162">
                  <c:v>50</c:v>
                </c:pt>
                <c:pt idx="163">
                  <c:v>51</c:v>
                </c:pt>
                <c:pt idx="164">
                  <c:v>52</c:v>
                </c:pt>
                <c:pt idx="165">
                  <c:v>53</c:v>
                </c:pt>
                <c:pt idx="166">
                  <c:v>54</c:v>
                </c:pt>
                <c:pt idx="167">
                  <c:v>55</c:v>
                </c:pt>
                <c:pt idx="168">
                  <c:v>56</c:v>
                </c:pt>
                <c:pt idx="169">
                  <c:v>57</c:v>
                </c:pt>
                <c:pt idx="170">
                  <c:v>58</c:v>
                </c:pt>
                <c:pt idx="171">
                  <c:v>59</c:v>
                </c:pt>
                <c:pt idx="172">
                  <c:v>60</c:v>
                </c:pt>
                <c:pt idx="173">
                  <c:v>61</c:v>
                </c:pt>
                <c:pt idx="174">
                  <c:v>62</c:v>
                </c:pt>
                <c:pt idx="175">
                  <c:v>63</c:v>
                </c:pt>
                <c:pt idx="176">
                  <c:v>64</c:v>
                </c:pt>
                <c:pt idx="177">
                  <c:v>65</c:v>
                </c:pt>
                <c:pt idx="178">
                  <c:v>66</c:v>
                </c:pt>
                <c:pt idx="179">
                  <c:v>67</c:v>
                </c:pt>
                <c:pt idx="180">
                  <c:v>68</c:v>
                </c:pt>
                <c:pt idx="181">
                  <c:v>69</c:v>
                </c:pt>
                <c:pt idx="182">
                  <c:v>70</c:v>
                </c:pt>
                <c:pt idx="183">
                  <c:v>71</c:v>
                </c:pt>
                <c:pt idx="184">
                  <c:v>72</c:v>
                </c:pt>
                <c:pt idx="185">
                  <c:v>73</c:v>
                </c:pt>
                <c:pt idx="186">
                  <c:v>74</c:v>
                </c:pt>
                <c:pt idx="187">
                  <c:v>75</c:v>
                </c:pt>
                <c:pt idx="188">
                  <c:v>76</c:v>
                </c:pt>
                <c:pt idx="189">
                  <c:v>77</c:v>
                </c:pt>
                <c:pt idx="190">
                  <c:v>78</c:v>
                </c:pt>
                <c:pt idx="191">
                  <c:v>79</c:v>
                </c:pt>
                <c:pt idx="192">
                  <c:v>80</c:v>
                </c:pt>
                <c:pt idx="193">
                  <c:v>81</c:v>
                </c:pt>
                <c:pt idx="194">
                  <c:v>82</c:v>
                </c:pt>
                <c:pt idx="195">
                  <c:v>83</c:v>
                </c:pt>
                <c:pt idx="196">
                  <c:v>84</c:v>
                </c:pt>
                <c:pt idx="197">
                  <c:v>85</c:v>
                </c:pt>
                <c:pt idx="198">
                  <c:v>86</c:v>
                </c:pt>
                <c:pt idx="199">
                  <c:v>87</c:v>
                </c:pt>
                <c:pt idx="200">
                  <c:v>88</c:v>
                </c:pt>
                <c:pt idx="201">
                  <c:v>89</c:v>
                </c:pt>
                <c:pt idx="202">
                  <c:v>90</c:v>
                </c:pt>
                <c:pt idx="203">
                  <c:v>91</c:v>
                </c:pt>
                <c:pt idx="204">
                  <c:v>92</c:v>
                </c:pt>
                <c:pt idx="205">
                  <c:v>93</c:v>
                </c:pt>
                <c:pt idx="206">
                  <c:v>94</c:v>
                </c:pt>
                <c:pt idx="207">
                  <c:v>95</c:v>
                </c:pt>
                <c:pt idx="208">
                  <c:v>96</c:v>
                </c:pt>
                <c:pt idx="209">
                  <c:v>97</c:v>
                </c:pt>
                <c:pt idx="210">
                  <c:v>98</c:v>
                </c:pt>
                <c:pt idx="211">
                  <c:v>99</c:v>
                </c:pt>
                <c:pt idx="212">
                  <c:v>100</c:v>
                </c:pt>
                <c:pt idx="213">
                  <c:v>101</c:v>
                </c:pt>
                <c:pt idx="214">
                  <c:v>102</c:v>
                </c:pt>
                <c:pt idx="215">
                  <c:v>103</c:v>
                </c:pt>
                <c:pt idx="216">
                  <c:v>104</c:v>
                </c:pt>
                <c:pt idx="217">
                  <c:v>105</c:v>
                </c:pt>
                <c:pt idx="218">
                  <c:v>106</c:v>
                </c:pt>
                <c:pt idx="219">
                  <c:v>107</c:v>
                </c:pt>
                <c:pt idx="220">
                  <c:v>108</c:v>
                </c:pt>
                <c:pt idx="221">
                  <c:v>109</c:v>
                </c:pt>
                <c:pt idx="222">
                  <c:v>110</c:v>
                </c:pt>
                <c:pt idx="223">
                  <c:v>111</c:v>
                </c:pt>
                <c:pt idx="224">
                  <c:v>112</c:v>
                </c:pt>
                <c:pt idx="225">
                  <c:v>113</c:v>
                </c:pt>
                <c:pt idx="226">
                  <c:v>114</c:v>
                </c:pt>
                <c:pt idx="227">
                  <c:v>115</c:v>
                </c:pt>
                <c:pt idx="228">
                  <c:v>116</c:v>
                </c:pt>
                <c:pt idx="229">
                  <c:v>117</c:v>
                </c:pt>
                <c:pt idx="230">
                  <c:v>118</c:v>
                </c:pt>
                <c:pt idx="231">
                  <c:v>119</c:v>
                </c:pt>
                <c:pt idx="232">
                  <c:v>120</c:v>
                </c:pt>
                <c:pt idx="233">
                  <c:v>121</c:v>
                </c:pt>
                <c:pt idx="234">
                  <c:v>122</c:v>
                </c:pt>
                <c:pt idx="235">
                  <c:v>123</c:v>
                </c:pt>
                <c:pt idx="236">
                  <c:v>124</c:v>
                </c:pt>
                <c:pt idx="237">
                  <c:v>125</c:v>
                </c:pt>
                <c:pt idx="238">
                  <c:v>126</c:v>
                </c:pt>
                <c:pt idx="239">
                  <c:v>127</c:v>
                </c:pt>
                <c:pt idx="240">
                  <c:v>128</c:v>
                </c:pt>
                <c:pt idx="241">
                  <c:v>129</c:v>
                </c:pt>
                <c:pt idx="242">
                  <c:v>130</c:v>
                </c:pt>
                <c:pt idx="243">
                  <c:v>131</c:v>
                </c:pt>
                <c:pt idx="244">
                  <c:v>132</c:v>
                </c:pt>
                <c:pt idx="245">
                  <c:v>133</c:v>
                </c:pt>
                <c:pt idx="246">
                  <c:v>134</c:v>
                </c:pt>
                <c:pt idx="247">
                  <c:v>135</c:v>
                </c:pt>
                <c:pt idx="248">
                  <c:v>136</c:v>
                </c:pt>
                <c:pt idx="249">
                  <c:v>137</c:v>
                </c:pt>
                <c:pt idx="250">
                  <c:v>138</c:v>
                </c:pt>
                <c:pt idx="251">
                  <c:v>139</c:v>
                </c:pt>
                <c:pt idx="252">
                  <c:v>140</c:v>
                </c:pt>
                <c:pt idx="253">
                  <c:v>141</c:v>
                </c:pt>
                <c:pt idx="254">
                  <c:v>142</c:v>
                </c:pt>
                <c:pt idx="255">
                  <c:v>143</c:v>
                </c:pt>
                <c:pt idx="256">
                  <c:v>144</c:v>
                </c:pt>
                <c:pt idx="257">
                  <c:v>145</c:v>
                </c:pt>
                <c:pt idx="258">
                  <c:v>146</c:v>
                </c:pt>
                <c:pt idx="259">
                  <c:v>147</c:v>
                </c:pt>
                <c:pt idx="260">
                  <c:v>148</c:v>
                </c:pt>
                <c:pt idx="261">
                  <c:v>149</c:v>
                </c:pt>
                <c:pt idx="262">
                  <c:v>150</c:v>
                </c:pt>
                <c:pt idx="263">
                  <c:v>151</c:v>
                </c:pt>
                <c:pt idx="264">
                  <c:v>152</c:v>
                </c:pt>
                <c:pt idx="265">
                  <c:v>153</c:v>
                </c:pt>
                <c:pt idx="266">
                  <c:v>154</c:v>
                </c:pt>
                <c:pt idx="267">
                  <c:v>155</c:v>
                </c:pt>
                <c:pt idx="268">
                  <c:v>156</c:v>
                </c:pt>
                <c:pt idx="269">
                  <c:v>157</c:v>
                </c:pt>
                <c:pt idx="270">
                  <c:v>158</c:v>
                </c:pt>
                <c:pt idx="271">
                  <c:v>159</c:v>
                </c:pt>
                <c:pt idx="272">
                  <c:v>160</c:v>
                </c:pt>
                <c:pt idx="273">
                  <c:v>161</c:v>
                </c:pt>
                <c:pt idx="274">
                  <c:v>162</c:v>
                </c:pt>
                <c:pt idx="275">
                  <c:v>163</c:v>
                </c:pt>
                <c:pt idx="276">
                  <c:v>164</c:v>
                </c:pt>
                <c:pt idx="277">
                  <c:v>165</c:v>
                </c:pt>
                <c:pt idx="278">
                  <c:v>166</c:v>
                </c:pt>
                <c:pt idx="279">
                  <c:v>167</c:v>
                </c:pt>
                <c:pt idx="280">
                  <c:v>168</c:v>
                </c:pt>
                <c:pt idx="281">
                  <c:v>169</c:v>
                </c:pt>
                <c:pt idx="282">
                  <c:v>170</c:v>
                </c:pt>
                <c:pt idx="283">
                  <c:v>171</c:v>
                </c:pt>
                <c:pt idx="284">
                  <c:v>172</c:v>
                </c:pt>
                <c:pt idx="285">
                  <c:v>173</c:v>
                </c:pt>
                <c:pt idx="286">
                  <c:v>174</c:v>
                </c:pt>
                <c:pt idx="287">
                  <c:v>175</c:v>
                </c:pt>
                <c:pt idx="288">
                  <c:v>176</c:v>
                </c:pt>
                <c:pt idx="289">
                  <c:v>177</c:v>
                </c:pt>
                <c:pt idx="290">
                  <c:v>178</c:v>
                </c:pt>
                <c:pt idx="291">
                  <c:v>179</c:v>
                </c:pt>
                <c:pt idx="292">
                  <c:v>180</c:v>
                </c:pt>
                <c:pt idx="293">
                  <c:v>181</c:v>
                </c:pt>
                <c:pt idx="294">
                  <c:v>182</c:v>
                </c:pt>
                <c:pt idx="295">
                  <c:v>183</c:v>
                </c:pt>
                <c:pt idx="296">
                  <c:v>184</c:v>
                </c:pt>
                <c:pt idx="297">
                  <c:v>185</c:v>
                </c:pt>
                <c:pt idx="298">
                  <c:v>186</c:v>
                </c:pt>
                <c:pt idx="299">
                  <c:v>187</c:v>
                </c:pt>
                <c:pt idx="300">
                  <c:v>188</c:v>
                </c:pt>
                <c:pt idx="301">
                  <c:v>189</c:v>
                </c:pt>
                <c:pt idx="302">
                  <c:v>190</c:v>
                </c:pt>
                <c:pt idx="303">
                  <c:v>191</c:v>
                </c:pt>
                <c:pt idx="304">
                  <c:v>192</c:v>
                </c:pt>
                <c:pt idx="305">
                  <c:v>193</c:v>
                </c:pt>
                <c:pt idx="306">
                  <c:v>194</c:v>
                </c:pt>
                <c:pt idx="307">
                  <c:v>195</c:v>
                </c:pt>
                <c:pt idx="308">
                  <c:v>196</c:v>
                </c:pt>
                <c:pt idx="309">
                  <c:v>197</c:v>
                </c:pt>
                <c:pt idx="310">
                  <c:v>198</c:v>
                </c:pt>
                <c:pt idx="311">
                  <c:v>199</c:v>
                </c:pt>
                <c:pt idx="312">
                  <c:v>200</c:v>
                </c:pt>
                <c:pt idx="313">
                  <c:v>201</c:v>
                </c:pt>
                <c:pt idx="314">
                  <c:v>202</c:v>
                </c:pt>
                <c:pt idx="315">
                  <c:v>203</c:v>
                </c:pt>
                <c:pt idx="316">
                  <c:v>204</c:v>
                </c:pt>
                <c:pt idx="317">
                  <c:v>205</c:v>
                </c:pt>
                <c:pt idx="318">
                  <c:v>206</c:v>
                </c:pt>
                <c:pt idx="319">
                  <c:v>207</c:v>
                </c:pt>
                <c:pt idx="320">
                  <c:v>208</c:v>
                </c:pt>
                <c:pt idx="321">
                  <c:v>209</c:v>
                </c:pt>
                <c:pt idx="322">
                  <c:v>210</c:v>
                </c:pt>
                <c:pt idx="323">
                  <c:v>211</c:v>
                </c:pt>
                <c:pt idx="324">
                  <c:v>212</c:v>
                </c:pt>
                <c:pt idx="325">
                  <c:v>213</c:v>
                </c:pt>
                <c:pt idx="326">
                  <c:v>214</c:v>
                </c:pt>
                <c:pt idx="327">
                  <c:v>215</c:v>
                </c:pt>
                <c:pt idx="328">
                  <c:v>216</c:v>
                </c:pt>
                <c:pt idx="329">
                  <c:v>217</c:v>
                </c:pt>
                <c:pt idx="330">
                  <c:v>218</c:v>
                </c:pt>
                <c:pt idx="331">
                  <c:v>219</c:v>
                </c:pt>
                <c:pt idx="332">
                  <c:v>220</c:v>
                </c:pt>
                <c:pt idx="333">
                  <c:v>221</c:v>
                </c:pt>
                <c:pt idx="334">
                  <c:v>222</c:v>
                </c:pt>
                <c:pt idx="335">
                  <c:v>223</c:v>
                </c:pt>
                <c:pt idx="336">
                  <c:v>224</c:v>
                </c:pt>
                <c:pt idx="337">
                  <c:v>225</c:v>
                </c:pt>
                <c:pt idx="338">
                  <c:v>226</c:v>
                </c:pt>
                <c:pt idx="339">
                  <c:v>227</c:v>
                </c:pt>
                <c:pt idx="340">
                  <c:v>228</c:v>
                </c:pt>
                <c:pt idx="341">
                  <c:v>229</c:v>
                </c:pt>
                <c:pt idx="342">
                  <c:v>230</c:v>
                </c:pt>
                <c:pt idx="343">
                  <c:v>231</c:v>
                </c:pt>
                <c:pt idx="344">
                  <c:v>232</c:v>
                </c:pt>
                <c:pt idx="345">
                  <c:v>233</c:v>
                </c:pt>
                <c:pt idx="346">
                  <c:v>234</c:v>
                </c:pt>
                <c:pt idx="347">
                  <c:v>235</c:v>
                </c:pt>
                <c:pt idx="348">
                  <c:v>236</c:v>
                </c:pt>
                <c:pt idx="349">
                  <c:v>237</c:v>
                </c:pt>
                <c:pt idx="350">
                  <c:v>238</c:v>
                </c:pt>
                <c:pt idx="351">
                  <c:v>239</c:v>
                </c:pt>
                <c:pt idx="352">
                  <c:v>240</c:v>
                </c:pt>
                <c:pt idx="353">
                  <c:v>241</c:v>
                </c:pt>
                <c:pt idx="354">
                  <c:v>242</c:v>
                </c:pt>
                <c:pt idx="355">
                  <c:v>243</c:v>
                </c:pt>
                <c:pt idx="356">
                  <c:v>244</c:v>
                </c:pt>
                <c:pt idx="357">
                  <c:v>245</c:v>
                </c:pt>
                <c:pt idx="358">
                  <c:v>246</c:v>
                </c:pt>
                <c:pt idx="359">
                  <c:v>247</c:v>
                </c:pt>
                <c:pt idx="360">
                  <c:v>248</c:v>
                </c:pt>
                <c:pt idx="361">
                  <c:v>249</c:v>
                </c:pt>
                <c:pt idx="362">
                  <c:v>250</c:v>
                </c:pt>
                <c:pt idx="363">
                  <c:v>251</c:v>
                </c:pt>
                <c:pt idx="364">
                  <c:v>252</c:v>
                </c:pt>
                <c:pt idx="365">
                  <c:v>253</c:v>
                </c:pt>
                <c:pt idx="366">
                  <c:v>254</c:v>
                </c:pt>
                <c:pt idx="367">
                  <c:v>255</c:v>
                </c:pt>
                <c:pt idx="368">
                  <c:v>256</c:v>
                </c:pt>
                <c:pt idx="369">
                  <c:v>257</c:v>
                </c:pt>
                <c:pt idx="370">
                  <c:v>258</c:v>
                </c:pt>
                <c:pt idx="371">
                  <c:v>259</c:v>
                </c:pt>
                <c:pt idx="372">
                  <c:v>260</c:v>
                </c:pt>
                <c:pt idx="373">
                  <c:v>261</c:v>
                </c:pt>
                <c:pt idx="374">
                  <c:v>262</c:v>
                </c:pt>
                <c:pt idx="375">
                  <c:v>263</c:v>
                </c:pt>
                <c:pt idx="376">
                  <c:v>264</c:v>
                </c:pt>
                <c:pt idx="377">
                  <c:v>265</c:v>
                </c:pt>
                <c:pt idx="378">
                  <c:v>266</c:v>
                </c:pt>
                <c:pt idx="379">
                  <c:v>267</c:v>
                </c:pt>
                <c:pt idx="380">
                  <c:v>268</c:v>
                </c:pt>
                <c:pt idx="381">
                  <c:v>269</c:v>
                </c:pt>
                <c:pt idx="382">
                  <c:v>270</c:v>
                </c:pt>
                <c:pt idx="383">
                  <c:v>271</c:v>
                </c:pt>
                <c:pt idx="384">
                  <c:v>272</c:v>
                </c:pt>
                <c:pt idx="385">
                  <c:v>273</c:v>
                </c:pt>
                <c:pt idx="386">
                  <c:v>274</c:v>
                </c:pt>
                <c:pt idx="387">
                  <c:v>275</c:v>
                </c:pt>
                <c:pt idx="388">
                  <c:v>276</c:v>
                </c:pt>
                <c:pt idx="389">
                  <c:v>277</c:v>
                </c:pt>
                <c:pt idx="390">
                  <c:v>278</c:v>
                </c:pt>
                <c:pt idx="391">
                  <c:v>279</c:v>
                </c:pt>
                <c:pt idx="392">
                  <c:v>280</c:v>
                </c:pt>
                <c:pt idx="393">
                  <c:v>281</c:v>
                </c:pt>
                <c:pt idx="394">
                  <c:v>282</c:v>
                </c:pt>
                <c:pt idx="395">
                  <c:v>283</c:v>
                </c:pt>
                <c:pt idx="396">
                  <c:v>284</c:v>
                </c:pt>
                <c:pt idx="397">
                  <c:v>285</c:v>
                </c:pt>
                <c:pt idx="398">
                  <c:v>286</c:v>
                </c:pt>
                <c:pt idx="399">
                  <c:v>287</c:v>
                </c:pt>
                <c:pt idx="400">
                  <c:v>288</c:v>
                </c:pt>
                <c:pt idx="401">
                  <c:v>289</c:v>
                </c:pt>
                <c:pt idx="402">
                  <c:v>290</c:v>
                </c:pt>
                <c:pt idx="403">
                  <c:v>291</c:v>
                </c:pt>
                <c:pt idx="404">
                  <c:v>292</c:v>
                </c:pt>
                <c:pt idx="405">
                  <c:v>293</c:v>
                </c:pt>
                <c:pt idx="406">
                  <c:v>294</c:v>
                </c:pt>
                <c:pt idx="407">
                  <c:v>295</c:v>
                </c:pt>
                <c:pt idx="408">
                  <c:v>296</c:v>
                </c:pt>
                <c:pt idx="409">
                  <c:v>297</c:v>
                </c:pt>
                <c:pt idx="410">
                  <c:v>298</c:v>
                </c:pt>
                <c:pt idx="411">
                  <c:v>299</c:v>
                </c:pt>
                <c:pt idx="412">
                  <c:v>300</c:v>
                </c:pt>
                <c:pt idx="413">
                  <c:v>301</c:v>
                </c:pt>
                <c:pt idx="414">
                  <c:v>302</c:v>
                </c:pt>
                <c:pt idx="415">
                  <c:v>303</c:v>
                </c:pt>
                <c:pt idx="416">
                  <c:v>304</c:v>
                </c:pt>
                <c:pt idx="417">
                  <c:v>305</c:v>
                </c:pt>
                <c:pt idx="418">
                  <c:v>306</c:v>
                </c:pt>
                <c:pt idx="419">
                  <c:v>307</c:v>
                </c:pt>
                <c:pt idx="420">
                  <c:v>308</c:v>
                </c:pt>
                <c:pt idx="421">
                  <c:v>309</c:v>
                </c:pt>
                <c:pt idx="422">
                  <c:v>310</c:v>
                </c:pt>
                <c:pt idx="423">
                  <c:v>311</c:v>
                </c:pt>
                <c:pt idx="424">
                  <c:v>312</c:v>
                </c:pt>
                <c:pt idx="425">
                  <c:v>313</c:v>
                </c:pt>
                <c:pt idx="426">
                  <c:v>314</c:v>
                </c:pt>
                <c:pt idx="427">
                  <c:v>315</c:v>
                </c:pt>
                <c:pt idx="428">
                  <c:v>316</c:v>
                </c:pt>
                <c:pt idx="429">
                  <c:v>317</c:v>
                </c:pt>
                <c:pt idx="430">
                  <c:v>318</c:v>
                </c:pt>
                <c:pt idx="431">
                  <c:v>319</c:v>
                </c:pt>
                <c:pt idx="432">
                  <c:v>320</c:v>
                </c:pt>
                <c:pt idx="433">
                  <c:v>321</c:v>
                </c:pt>
                <c:pt idx="434">
                  <c:v>322</c:v>
                </c:pt>
                <c:pt idx="435">
                  <c:v>323</c:v>
                </c:pt>
                <c:pt idx="436">
                  <c:v>324</c:v>
                </c:pt>
                <c:pt idx="437">
                  <c:v>325</c:v>
                </c:pt>
                <c:pt idx="438">
                  <c:v>326</c:v>
                </c:pt>
                <c:pt idx="439">
                  <c:v>327</c:v>
                </c:pt>
                <c:pt idx="440">
                  <c:v>328</c:v>
                </c:pt>
                <c:pt idx="441">
                  <c:v>329</c:v>
                </c:pt>
                <c:pt idx="442">
                  <c:v>330</c:v>
                </c:pt>
                <c:pt idx="443">
                  <c:v>331</c:v>
                </c:pt>
                <c:pt idx="444">
                  <c:v>332</c:v>
                </c:pt>
                <c:pt idx="445">
                  <c:v>333</c:v>
                </c:pt>
                <c:pt idx="446">
                  <c:v>334</c:v>
                </c:pt>
                <c:pt idx="447">
                  <c:v>335</c:v>
                </c:pt>
                <c:pt idx="448">
                  <c:v>336</c:v>
                </c:pt>
                <c:pt idx="449">
                  <c:v>337</c:v>
                </c:pt>
                <c:pt idx="450">
                  <c:v>338</c:v>
                </c:pt>
                <c:pt idx="451">
                  <c:v>339</c:v>
                </c:pt>
                <c:pt idx="452">
                  <c:v>340</c:v>
                </c:pt>
                <c:pt idx="453">
                  <c:v>341</c:v>
                </c:pt>
                <c:pt idx="454">
                  <c:v>342</c:v>
                </c:pt>
                <c:pt idx="455">
                  <c:v>343</c:v>
                </c:pt>
                <c:pt idx="456">
                  <c:v>344</c:v>
                </c:pt>
                <c:pt idx="457">
                  <c:v>345</c:v>
                </c:pt>
                <c:pt idx="458">
                  <c:v>346</c:v>
                </c:pt>
                <c:pt idx="459">
                  <c:v>347</c:v>
                </c:pt>
                <c:pt idx="460">
                  <c:v>348</c:v>
                </c:pt>
                <c:pt idx="461">
                  <c:v>349</c:v>
                </c:pt>
                <c:pt idx="462">
                  <c:v>350</c:v>
                </c:pt>
                <c:pt idx="463">
                  <c:v>351</c:v>
                </c:pt>
                <c:pt idx="464">
                  <c:v>352</c:v>
                </c:pt>
                <c:pt idx="465">
                  <c:v>353</c:v>
                </c:pt>
                <c:pt idx="466">
                  <c:v>354</c:v>
                </c:pt>
                <c:pt idx="467">
                  <c:v>355</c:v>
                </c:pt>
                <c:pt idx="468">
                  <c:v>356</c:v>
                </c:pt>
                <c:pt idx="469">
                  <c:v>357</c:v>
                </c:pt>
                <c:pt idx="470">
                  <c:v>358</c:v>
                </c:pt>
                <c:pt idx="471">
                  <c:v>359</c:v>
                </c:pt>
                <c:pt idx="472">
                  <c:v>360</c:v>
                </c:pt>
                <c:pt idx="473">
                  <c:v>361</c:v>
                </c:pt>
                <c:pt idx="474">
                  <c:v>362</c:v>
                </c:pt>
                <c:pt idx="475">
                  <c:v>363</c:v>
                </c:pt>
                <c:pt idx="476">
                  <c:v>364</c:v>
                </c:pt>
                <c:pt idx="477">
                  <c:v>365</c:v>
                </c:pt>
                <c:pt idx="478">
                  <c:v>366</c:v>
                </c:pt>
                <c:pt idx="479">
                  <c:v>367</c:v>
                </c:pt>
                <c:pt idx="480">
                  <c:v>368</c:v>
                </c:pt>
                <c:pt idx="481">
                  <c:v>369</c:v>
                </c:pt>
                <c:pt idx="482">
                  <c:v>370</c:v>
                </c:pt>
                <c:pt idx="483">
                  <c:v>371</c:v>
                </c:pt>
                <c:pt idx="484">
                  <c:v>372</c:v>
                </c:pt>
                <c:pt idx="485">
                  <c:v>373</c:v>
                </c:pt>
                <c:pt idx="486">
                  <c:v>374</c:v>
                </c:pt>
                <c:pt idx="487">
                  <c:v>375</c:v>
                </c:pt>
                <c:pt idx="488">
                  <c:v>376</c:v>
                </c:pt>
                <c:pt idx="489">
                  <c:v>377</c:v>
                </c:pt>
                <c:pt idx="490">
                  <c:v>378</c:v>
                </c:pt>
                <c:pt idx="491">
                  <c:v>379</c:v>
                </c:pt>
                <c:pt idx="492">
                  <c:v>380</c:v>
                </c:pt>
                <c:pt idx="493">
                  <c:v>381</c:v>
                </c:pt>
                <c:pt idx="494">
                  <c:v>382</c:v>
                </c:pt>
                <c:pt idx="495">
                  <c:v>383</c:v>
                </c:pt>
                <c:pt idx="496">
                  <c:v>384</c:v>
                </c:pt>
                <c:pt idx="497">
                  <c:v>385</c:v>
                </c:pt>
                <c:pt idx="498">
                  <c:v>386</c:v>
                </c:pt>
                <c:pt idx="499">
                  <c:v>387</c:v>
                </c:pt>
                <c:pt idx="500">
                  <c:v>388</c:v>
                </c:pt>
                <c:pt idx="501">
                  <c:v>389</c:v>
                </c:pt>
                <c:pt idx="502">
                  <c:v>390</c:v>
                </c:pt>
                <c:pt idx="503">
                  <c:v>391</c:v>
                </c:pt>
                <c:pt idx="504">
                  <c:v>392</c:v>
                </c:pt>
                <c:pt idx="505">
                  <c:v>393</c:v>
                </c:pt>
                <c:pt idx="506">
                  <c:v>394</c:v>
                </c:pt>
                <c:pt idx="507">
                  <c:v>395</c:v>
                </c:pt>
                <c:pt idx="508">
                  <c:v>396</c:v>
                </c:pt>
                <c:pt idx="509">
                  <c:v>397</c:v>
                </c:pt>
                <c:pt idx="510">
                  <c:v>398</c:v>
                </c:pt>
                <c:pt idx="511">
                  <c:v>399</c:v>
                </c:pt>
                <c:pt idx="512">
                  <c:v>400</c:v>
                </c:pt>
                <c:pt idx="513">
                  <c:v>401</c:v>
                </c:pt>
                <c:pt idx="514">
                  <c:v>402</c:v>
                </c:pt>
                <c:pt idx="515">
                  <c:v>403</c:v>
                </c:pt>
                <c:pt idx="516">
                  <c:v>404</c:v>
                </c:pt>
                <c:pt idx="517">
                  <c:v>405</c:v>
                </c:pt>
                <c:pt idx="518">
                  <c:v>406</c:v>
                </c:pt>
                <c:pt idx="519">
                  <c:v>407</c:v>
                </c:pt>
                <c:pt idx="520">
                  <c:v>408</c:v>
                </c:pt>
                <c:pt idx="521">
                  <c:v>409</c:v>
                </c:pt>
                <c:pt idx="522">
                  <c:v>410</c:v>
                </c:pt>
                <c:pt idx="523">
                  <c:v>411</c:v>
                </c:pt>
                <c:pt idx="524">
                  <c:v>412</c:v>
                </c:pt>
                <c:pt idx="525">
                  <c:v>413</c:v>
                </c:pt>
                <c:pt idx="526">
                  <c:v>414</c:v>
                </c:pt>
                <c:pt idx="527">
                  <c:v>415</c:v>
                </c:pt>
                <c:pt idx="528">
                  <c:v>416</c:v>
                </c:pt>
                <c:pt idx="529">
                  <c:v>417</c:v>
                </c:pt>
                <c:pt idx="530">
                  <c:v>418</c:v>
                </c:pt>
                <c:pt idx="531">
                  <c:v>419</c:v>
                </c:pt>
                <c:pt idx="532">
                  <c:v>420</c:v>
                </c:pt>
                <c:pt idx="533">
                  <c:v>421</c:v>
                </c:pt>
                <c:pt idx="534">
                  <c:v>422</c:v>
                </c:pt>
                <c:pt idx="535">
                  <c:v>423</c:v>
                </c:pt>
                <c:pt idx="536">
                  <c:v>424</c:v>
                </c:pt>
                <c:pt idx="537">
                  <c:v>425</c:v>
                </c:pt>
                <c:pt idx="538">
                  <c:v>426</c:v>
                </c:pt>
                <c:pt idx="539">
                  <c:v>427</c:v>
                </c:pt>
                <c:pt idx="540">
                  <c:v>428</c:v>
                </c:pt>
                <c:pt idx="541">
                  <c:v>429</c:v>
                </c:pt>
                <c:pt idx="542">
                  <c:v>430</c:v>
                </c:pt>
                <c:pt idx="543">
                  <c:v>431</c:v>
                </c:pt>
                <c:pt idx="544">
                  <c:v>432</c:v>
                </c:pt>
                <c:pt idx="545">
                  <c:v>433</c:v>
                </c:pt>
                <c:pt idx="546">
                  <c:v>434</c:v>
                </c:pt>
                <c:pt idx="547">
                  <c:v>435</c:v>
                </c:pt>
                <c:pt idx="548">
                  <c:v>436</c:v>
                </c:pt>
                <c:pt idx="549">
                  <c:v>437</c:v>
                </c:pt>
                <c:pt idx="550">
                  <c:v>438</c:v>
                </c:pt>
                <c:pt idx="551">
                  <c:v>439</c:v>
                </c:pt>
                <c:pt idx="552">
                  <c:v>440</c:v>
                </c:pt>
                <c:pt idx="553">
                  <c:v>441</c:v>
                </c:pt>
                <c:pt idx="554">
                  <c:v>442</c:v>
                </c:pt>
                <c:pt idx="555">
                  <c:v>443</c:v>
                </c:pt>
                <c:pt idx="556">
                  <c:v>444</c:v>
                </c:pt>
                <c:pt idx="557">
                  <c:v>445</c:v>
                </c:pt>
                <c:pt idx="558">
                  <c:v>446</c:v>
                </c:pt>
                <c:pt idx="559">
                  <c:v>447</c:v>
                </c:pt>
                <c:pt idx="560">
                  <c:v>448</c:v>
                </c:pt>
                <c:pt idx="561">
                  <c:v>449</c:v>
                </c:pt>
                <c:pt idx="562">
                  <c:v>450</c:v>
                </c:pt>
                <c:pt idx="563">
                  <c:v>451</c:v>
                </c:pt>
                <c:pt idx="564">
                  <c:v>452</c:v>
                </c:pt>
                <c:pt idx="565">
                  <c:v>453</c:v>
                </c:pt>
                <c:pt idx="566">
                  <c:v>454</c:v>
                </c:pt>
                <c:pt idx="567">
                  <c:v>455</c:v>
                </c:pt>
                <c:pt idx="568">
                  <c:v>456</c:v>
                </c:pt>
                <c:pt idx="569">
                  <c:v>457</c:v>
                </c:pt>
                <c:pt idx="570">
                  <c:v>458</c:v>
                </c:pt>
                <c:pt idx="571">
                  <c:v>459</c:v>
                </c:pt>
                <c:pt idx="572">
                  <c:v>460</c:v>
                </c:pt>
                <c:pt idx="573">
                  <c:v>461</c:v>
                </c:pt>
                <c:pt idx="574">
                  <c:v>462</c:v>
                </c:pt>
                <c:pt idx="575">
                  <c:v>463</c:v>
                </c:pt>
                <c:pt idx="576">
                  <c:v>464</c:v>
                </c:pt>
                <c:pt idx="577">
                  <c:v>465</c:v>
                </c:pt>
                <c:pt idx="578">
                  <c:v>466</c:v>
                </c:pt>
                <c:pt idx="579">
                  <c:v>467</c:v>
                </c:pt>
                <c:pt idx="580">
                  <c:v>468</c:v>
                </c:pt>
                <c:pt idx="581">
                  <c:v>469</c:v>
                </c:pt>
                <c:pt idx="582">
                  <c:v>470</c:v>
                </c:pt>
                <c:pt idx="583">
                  <c:v>471</c:v>
                </c:pt>
                <c:pt idx="584">
                  <c:v>472</c:v>
                </c:pt>
                <c:pt idx="585">
                  <c:v>473</c:v>
                </c:pt>
                <c:pt idx="586">
                  <c:v>474</c:v>
                </c:pt>
                <c:pt idx="587">
                  <c:v>475</c:v>
                </c:pt>
                <c:pt idx="588">
                  <c:v>476</c:v>
                </c:pt>
                <c:pt idx="589">
                  <c:v>477</c:v>
                </c:pt>
                <c:pt idx="590">
                  <c:v>478</c:v>
                </c:pt>
                <c:pt idx="591">
                  <c:v>479</c:v>
                </c:pt>
                <c:pt idx="592">
                  <c:v>480</c:v>
                </c:pt>
                <c:pt idx="593">
                  <c:v>481</c:v>
                </c:pt>
                <c:pt idx="594">
                  <c:v>482</c:v>
                </c:pt>
                <c:pt idx="595">
                  <c:v>483</c:v>
                </c:pt>
                <c:pt idx="596">
                  <c:v>484</c:v>
                </c:pt>
                <c:pt idx="597">
                  <c:v>485</c:v>
                </c:pt>
                <c:pt idx="598">
                  <c:v>486</c:v>
                </c:pt>
                <c:pt idx="599">
                  <c:v>487</c:v>
                </c:pt>
                <c:pt idx="600">
                  <c:v>488</c:v>
                </c:pt>
                <c:pt idx="601">
                  <c:v>489</c:v>
                </c:pt>
                <c:pt idx="602">
                  <c:v>490</c:v>
                </c:pt>
                <c:pt idx="603">
                  <c:v>491</c:v>
                </c:pt>
                <c:pt idx="604">
                  <c:v>492</c:v>
                </c:pt>
                <c:pt idx="605">
                  <c:v>493</c:v>
                </c:pt>
                <c:pt idx="606">
                  <c:v>494</c:v>
                </c:pt>
                <c:pt idx="607">
                  <c:v>495</c:v>
                </c:pt>
                <c:pt idx="608">
                  <c:v>496</c:v>
                </c:pt>
                <c:pt idx="609">
                  <c:v>497</c:v>
                </c:pt>
                <c:pt idx="610">
                  <c:v>498</c:v>
                </c:pt>
                <c:pt idx="611">
                  <c:v>499</c:v>
                </c:pt>
                <c:pt idx="612">
                  <c:v>500</c:v>
                </c:pt>
                <c:pt idx="613">
                  <c:v>501</c:v>
                </c:pt>
                <c:pt idx="614">
                  <c:v>502</c:v>
                </c:pt>
                <c:pt idx="615">
                  <c:v>503</c:v>
                </c:pt>
                <c:pt idx="616">
                  <c:v>504</c:v>
                </c:pt>
                <c:pt idx="617">
                  <c:v>505</c:v>
                </c:pt>
                <c:pt idx="618">
                  <c:v>506</c:v>
                </c:pt>
                <c:pt idx="619">
                  <c:v>507</c:v>
                </c:pt>
                <c:pt idx="620">
                  <c:v>508</c:v>
                </c:pt>
                <c:pt idx="621">
                  <c:v>509</c:v>
                </c:pt>
                <c:pt idx="622">
                  <c:v>510</c:v>
                </c:pt>
                <c:pt idx="623">
                  <c:v>511</c:v>
                </c:pt>
                <c:pt idx="624">
                  <c:v>512</c:v>
                </c:pt>
                <c:pt idx="625">
                  <c:v>513</c:v>
                </c:pt>
                <c:pt idx="626">
                  <c:v>514</c:v>
                </c:pt>
                <c:pt idx="627">
                  <c:v>515</c:v>
                </c:pt>
                <c:pt idx="628">
                  <c:v>516</c:v>
                </c:pt>
                <c:pt idx="629">
                  <c:v>517</c:v>
                </c:pt>
                <c:pt idx="630">
                  <c:v>518</c:v>
                </c:pt>
                <c:pt idx="631">
                  <c:v>519</c:v>
                </c:pt>
                <c:pt idx="632">
                  <c:v>520</c:v>
                </c:pt>
                <c:pt idx="633">
                  <c:v>521</c:v>
                </c:pt>
                <c:pt idx="634">
                  <c:v>522</c:v>
                </c:pt>
                <c:pt idx="635">
                  <c:v>523</c:v>
                </c:pt>
                <c:pt idx="636">
                  <c:v>524</c:v>
                </c:pt>
                <c:pt idx="637">
                  <c:v>525</c:v>
                </c:pt>
                <c:pt idx="638">
                  <c:v>526</c:v>
                </c:pt>
                <c:pt idx="639">
                  <c:v>527</c:v>
                </c:pt>
                <c:pt idx="640">
                  <c:v>528</c:v>
                </c:pt>
                <c:pt idx="641">
                  <c:v>529</c:v>
                </c:pt>
                <c:pt idx="642">
                  <c:v>530</c:v>
                </c:pt>
                <c:pt idx="643">
                  <c:v>531</c:v>
                </c:pt>
                <c:pt idx="644">
                  <c:v>532</c:v>
                </c:pt>
                <c:pt idx="645">
                  <c:v>533</c:v>
                </c:pt>
                <c:pt idx="646">
                  <c:v>534</c:v>
                </c:pt>
                <c:pt idx="647">
                  <c:v>535</c:v>
                </c:pt>
                <c:pt idx="648">
                  <c:v>536</c:v>
                </c:pt>
                <c:pt idx="649">
                  <c:v>537</c:v>
                </c:pt>
                <c:pt idx="650">
                  <c:v>538</c:v>
                </c:pt>
                <c:pt idx="651">
                  <c:v>539</c:v>
                </c:pt>
                <c:pt idx="652">
                  <c:v>540</c:v>
                </c:pt>
                <c:pt idx="653">
                  <c:v>541</c:v>
                </c:pt>
                <c:pt idx="654">
                  <c:v>542</c:v>
                </c:pt>
                <c:pt idx="655">
                  <c:v>543</c:v>
                </c:pt>
                <c:pt idx="656">
                  <c:v>544</c:v>
                </c:pt>
                <c:pt idx="657">
                  <c:v>545</c:v>
                </c:pt>
                <c:pt idx="658">
                  <c:v>546</c:v>
                </c:pt>
                <c:pt idx="659">
                  <c:v>547</c:v>
                </c:pt>
                <c:pt idx="660">
                  <c:v>548</c:v>
                </c:pt>
                <c:pt idx="661">
                  <c:v>549</c:v>
                </c:pt>
                <c:pt idx="662">
                  <c:v>550</c:v>
                </c:pt>
                <c:pt idx="663">
                  <c:v>551</c:v>
                </c:pt>
                <c:pt idx="664">
                  <c:v>552</c:v>
                </c:pt>
                <c:pt idx="665">
                  <c:v>553</c:v>
                </c:pt>
                <c:pt idx="666">
                  <c:v>554</c:v>
                </c:pt>
                <c:pt idx="667">
                  <c:v>555</c:v>
                </c:pt>
                <c:pt idx="668">
                  <c:v>556</c:v>
                </c:pt>
                <c:pt idx="669">
                  <c:v>557</c:v>
                </c:pt>
                <c:pt idx="670">
                  <c:v>558</c:v>
                </c:pt>
                <c:pt idx="671">
                  <c:v>559</c:v>
                </c:pt>
                <c:pt idx="672">
                  <c:v>560</c:v>
                </c:pt>
                <c:pt idx="673">
                  <c:v>561</c:v>
                </c:pt>
                <c:pt idx="674">
                  <c:v>562</c:v>
                </c:pt>
                <c:pt idx="675">
                  <c:v>563</c:v>
                </c:pt>
                <c:pt idx="676">
                  <c:v>564</c:v>
                </c:pt>
                <c:pt idx="677">
                  <c:v>565</c:v>
                </c:pt>
                <c:pt idx="678">
                  <c:v>566</c:v>
                </c:pt>
                <c:pt idx="679">
                  <c:v>567</c:v>
                </c:pt>
                <c:pt idx="680">
                  <c:v>568</c:v>
                </c:pt>
                <c:pt idx="681">
                  <c:v>569</c:v>
                </c:pt>
                <c:pt idx="682">
                  <c:v>570</c:v>
                </c:pt>
                <c:pt idx="683">
                  <c:v>571</c:v>
                </c:pt>
                <c:pt idx="684">
                  <c:v>572</c:v>
                </c:pt>
                <c:pt idx="685">
                  <c:v>573</c:v>
                </c:pt>
                <c:pt idx="686">
                  <c:v>574</c:v>
                </c:pt>
                <c:pt idx="687">
                  <c:v>575</c:v>
                </c:pt>
                <c:pt idx="688">
                  <c:v>576</c:v>
                </c:pt>
                <c:pt idx="689">
                  <c:v>577</c:v>
                </c:pt>
                <c:pt idx="690">
                  <c:v>578</c:v>
                </c:pt>
                <c:pt idx="691">
                  <c:v>579</c:v>
                </c:pt>
                <c:pt idx="692">
                  <c:v>580</c:v>
                </c:pt>
                <c:pt idx="693">
                  <c:v>581</c:v>
                </c:pt>
                <c:pt idx="694">
                  <c:v>582</c:v>
                </c:pt>
                <c:pt idx="695">
                  <c:v>583</c:v>
                </c:pt>
                <c:pt idx="696">
                  <c:v>584</c:v>
                </c:pt>
                <c:pt idx="697">
                  <c:v>585</c:v>
                </c:pt>
                <c:pt idx="698">
                  <c:v>586</c:v>
                </c:pt>
                <c:pt idx="699">
                  <c:v>587</c:v>
                </c:pt>
                <c:pt idx="700">
                  <c:v>588</c:v>
                </c:pt>
                <c:pt idx="701">
                  <c:v>589</c:v>
                </c:pt>
                <c:pt idx="702">
                  <c:v>590</c:v>
                </c:pt>
                <c:pt idx="703">
                  <c:v>591</c:v>
                </c:pt>
                <c:pt idx="704">
                  <c:v>592</c:v>
                </c:pt>
                <c:pt idx="705">
                  <c:v>593</c:v>
                </c:pt>
                <c:pt idx="706">
                  <c:v>594</c:v>
                </c:pt>
                <c:pt idx="707">
                  <c:v>595</c:v>
                </c:pt>
                <c:pt idx="708">
                  <c:v>596</c:v>
                </c:pt>
                <c:pt idx="709">
                  <c:v>597</c:v>
                </c:pt>
                <c:pt idx="710">
                  <c:v>598</c:v>
                </c:pt>
                <c:pt idx="711">
                  <c:v>599</c:v>
                </c:pt>
                <c:pt idx="712">
                  <c:v>600</c:v>
                </c:pt>
                <c:pt idx="713">
                  <c:v>601</c:v>
                </c:pt>
                <c:pt idx="714">
                  <c:v>602</c:v>
                </c:pt>
                <c:pt idx="715">
                  <c:v>603</c:v>
                </c:pt>
                <c:pt idx="716">
                  <c:v>604</c:v>
                </c:pt>
                <c:pt idx="717">
                  <c:v>605</c:v>
                </c:pt>
                <c:pt idx="718">
                  <c:v>606</c:v>
                </c:pt>
                <c:pt idx="719">
                  <c:v>607</c:v>
                </c:pt>
                <c:pt idx="720">
                  <c:v>608</c:v>
                </c:pt>
                <c:pt idx="721">
                  <c:v>609</c:v>
                </c:pt>
                <c:pt idx="722">
                  <c:v>610</c:v>
                </c:pt>
                <c:pt idx="723">
                  <c:v>611</c:v>
                </c:pt>
                <c:pt idx="724">
                  <c:v>612</c:v>
                </c:pt>
                <c:pt idx="725">
                  <c:v>613</c:v>
                </c:pt>
                <c:pt idx="726">
                  <c:v>614</c:v>
                </c:pt>
                <c:pt idx="727">
                  <c:v>615</c:v>
                </c:pt>
                <c:pt idx="728">
                  <c:v>616</c:v>
                </c:pt>
                <c:pt idx="729">
                  <c:v>617</c:v>
                </c:pt>
                <c:pt idx="730">
                  <c:v>618</c:v>
                </c:pt>
                <c:pt idx="731">
                  <c:v>619</c:v>
                </c:pt>
                <c:pt idx="732">
                  <c:v>620</c:v>
                </c:pt>
                <c:pt idx="733">
                  <c:v>621</c:v>
                </c:pt>
                <c:pt idx="734">
                  <c:v>622</c:v>
                </c:pt>
                <c:pt idx="735">
                  <c:v>623</c:v>
                </c:pt>
                <c:pt idx="736">
                  <c:v>624</c:v>
                </c:pt>
                <c:pt idx="737">
                  <c:v>625</c:v>
                </c:pt>
                <c:pt idx="738">
                  <c:v>626</c:v>
                </c:pt>
                <c:pt idx="739">
                  <c:v>627</c:v>
                </c:pt>
                <c:pt idx="740">
                  <c:v>628</c:v>
                </c:pt>
                <c:pt idx="741">
                  <c:v>629</c:v>
                </c:pt>
                <c:pt idx="742">
                  <c:v>630</c:v>
                </c:pt>
                <c:pt idx="743">
                  <c:v>631</c:v>
                </c:pt>
                <c:pt idx="744">
                  <c:v>632</c:v>
                </c:pt>
                <c:pt idx="745">
                  <c:v>633</c:v>
                </c:pt>
                <c:pt idx="746">
                  <c:v>634</c:v>
                </c:pt>
                <c:pt idx="747">
                  <c:v>635</c:v>
                </c:pt>
                <c:pt idx="748">
                  <c:v>636</c:v>
                </c:pt>
                <c:pt idx="749">
                  <c:v>637</c:v>
                </c:pt>
                <c:pt idx="750">
                  <c:v>638</c:v>
                </c:pt>
                <c:pt idx="751">
                  <c:v>639</c:v>
                </c:pt>
                <c:pt idx="752">
                  <c:v>640</c:v>
                </c:pt>
                <c:pt idx="753">
                  <c:v>641</c:v>
                </c:pt>
                <c:pt idx="754">
                  <c:v>642</c:v>
                </c:pt>
                <c:pt idx="755">
                  <c:v>643</c:v>
                </c:pt>
                <c:pt idx="756">
                  <c:v>644</c:v>
                </c:pt>
                <c:pt idx="757">
                  <c:v>645</c:v>
                </c:pt>
                <c:pt idx="758">
                  <c:v>646</c:v>
                </c:pt>
                <c:pt idx="759">
                  <c:v>647</c:v>
                </c:pt>
                <c:pt idx="760">
                  <c:v>648</c:v>
                </c:pt>
                <c:pt idx="761">
                  <c:v>649</c:v>
                </c:pt>
                <c:pt idx="762">
                  <c:v>650</c:v>
                </c:pt>
                <c:pt idx="763">
                  <c:v>651</c:v>
                </c:pt>
                <c:pt idx="764">
                  <c:v>652</c:v>
                </c:pt>
                <c:pt idx="765">
                  <c:v>653</c:v>
                </c:pt>
                <c:pt idx="766">
                  <c:v>654</c:v>
                </c:pt>
                <c:pt idx="767">
                  <c:v>655</c:v>
                </c:pt>
                <c:pt idx="768">
                  <c:v>656</c:v>
                </c:pt>
                <c:pt idx="769">
                  <c:v>657</c:v>
                </c:pt>
                <c:pt idx="770">
                  <c:v>658</c:v>
                </c:pt>
                <c:pt idx="771">
                  <c:v>659</c:v>
                </c:pt>
                <c:pt idx="772">
                  <c:v>660</c:v>
                </c:pt>
                <c:pt idx="773">
                  <c:v>661</c:v>
                </c:pt>
                <c:pt idx="774">
                  <c:v>662</c:v>
                </c:pt>
                <c:pt idx="775">
                  <c:v>663</c:v>
                </c:pt>
                <c:pt idx="776">
                  <c:v>664</c:v>
                </c:pt>
                <c:pt idx="777">
                  <c:v>665</c:v>
                </c:pt>
                <c:pt idx="778">
                  <c:v>666</c:v>
                </c:pt>
                <c:pt idx="779">
                  <c:v>667</c:v>
                </c:pt>
                <c:pt idx="780">
                  <c:v>668</c:v>
                </c:pt>
                <c:pt idx="781">
                  <c:v>669</c:v>
                </c:pt>
                <c:pt idx="782">
                  <c:v>670</c:v>
                </c:pt>
                <c:pt idx="783">
                  <c:v>671</c:v>
                </c:pt>
                <c:pt idx="784">
                  <c:v>672</c:v>
                </c:pt>
                <c:pt idx="785">
                  <c:v>673</c:v>
                </c:pt>
                <c:pt idx="786">
                  <c:v>674</c:v>
                </c:pt>
                <c:pt idx="787">
                  <c:v>675</c:v>
                </c:pt>
                <c:pt idx="788">
                  <c:v>676</c:v>
                </c:pt>
                <c:pt idx="789">
                  <c:v>677</c:v>
                </c:pt>
                <c:pt idx="790">
                  <c:v>678</c:v>
                </c:pt>
                <c:pt idx="791">
                  <c:v>679</c:v>
                </c:pt>
                <c:pt idx="792">
                  <c:v>680</c:v>
                </c:pt>
                <c:pt idx="793">
                  <c:v>681</c:v>
                </c:pt>
                <c:pt idx="794">
                  <c:v>682</c:v>
                </c:pt>
                <c:pt idx="795">
                  <c:v>683</c:v>
                </c:pt>
                <c:pt idx="796">
                  <c:v>684</c:v>
                </c:pt>
                <c:pt idx="797">
                  <c:v>685</c:v>
                </c:pt>
                <c:pt idx="798">
                  <c:v>686</c:v>
                </c:pt>
                <c:pt idx="799">
                  <c:v>687</c:v>
                </c:pt>
                <c:pt idx="800">
                  <c:v>688</c:v>
                </c:pt>
                <c:pt idx="801">
                  <c:v>689</c:v>
                </c:pt>
                <c:pt idx="802">
                  <c:v>690</c:v>
                </c:pt>
                <c:pt idx="803">
                  <c:v>691</c:v>
                </c:pt>
                <c:pt idx="804">
                  <c:v>692</c:v>
                </c:pt>
                <c:pt idx="805">
                  <c:v>693</c:v>
                </c:pt>
                <c:pt idx="806">
                  <c:v>694</c:v>
                </c:pt>
                <c:pt idx="807">
                  <c:v>695</c:v>
                </c:pt>
                <c:pt idx="808">
                  <c:v>696</c:v>
                </c:pt>
                <c:pt idx="809">
                  <c:v>697</c:v>
                </c:pt>
                <c:pt idx="810">
                  <c:v>698</c:v>
                </c:pt>
                <c:pt idx="811">
                  <c:v>699</c:v>
                </c:pt>
                <c:pt idx="812">
                  <c:v>700</c:v>
                </c:pt>
                <c:pt idx="813">
                  <c:v>701</c:v>
                </c:pt>
                <c:pt idx="814">
                  <c:v>702</c:v>
                </c:pt>
                <c:pt idx="815">
                  <c:v>703</c:v>
                </c:pt>
                <c:pt idx="816">
                  <c:v>704</c:v>
                </c:pt>
                <c:pt idx="817">
                  <c:v>705</c:v>
                </c:pt>
                <c:pt idx="818">
                  <c:v>706</c:v>
                </c:pt>
                <c:pt idx="819">
                  <c:v>707</c:v>
                </c:pt>
                <c:pt idx="820">
                  <c:v>708</c:v>
                </c:pt>
                <c:pt idx="821">
                  <c:v>709</c:v>
                </c:pt>
                <c:pt idx="822">
                  <c:v>710</c:v>
                </c:pt>
                <c:pt idx="823">
                  <c:v>711</c:v>
                </c:pt>
                <c:pt idx="824">
                  <c:v>712</c:v>
                </c:pt>
                <c:pt idx="825">
                  <c:v>713</c:v>
                </c:pt>
                <c:pt idx="826">
                  <c:v>714</c:v>
                </c:pt>
                <c:pt idx="827">
                  <c:v>715</c:v>
                </c:pt>
                <c:pt idx="828">
                  <c:v>716</c:v>
                </c:pt>
                <c:pt idx="829">
                  <c:v>717</c:v>
                </c:pt>
                <c:pt idx="830">
                  <c:v>718</c:v>
                </c:pt>
                <c:pt idx="831">
                  <c:v>719</c:v>
                </c:pt>
                <c:pt idx="832">
                  <c:v>720</c:v>
                </c:pt>
                <c:pt idx="833">
                  <c:v>721</c:v>
                </c:pt>
                <c:pt idx="834">
                  <c:v>722</c:v>
                </c:pt>
                <c:pt idx="835">
                  <c:v>723</c:v>
                </c:pt>
                <c:pt idx="836">
                  <c:v>724</c:v>
                </c:pt>
                <c:pt idx="837">
                  <c:v>725</c:v>
                </c:pt>
                <c:pt idx="838">
                  <c:v>726</c:v>
                </c:pt>
                <c:pt idx="839">
                  <c:v>727</c:v>
                </c:pt>
                <c:pt idx="840">
                  <c:v>728</c:v>
                </c:pt>
                <c:pt idx="841">
                  <c:v>729</c:v>
                </c:pt>
                <c:pt idx="842">
                  <c:v>730</c:v>
                </c:pt>
                <c:pt idx="843">
                  <c:v>731</c:v>
                </c:pt>
                <c:pt idx="844">
                  <c:v>732</c:v>
                </c:pt>
                <c:pt idx="845">
                  <c:v>733</c:v>
                </c:pt>
                <c:pt idx="846">
                  <c:v>734</c:v>
                </c:pt>
                <c:pt idx="847">
                  <c:v>735</c:v>
                </c:pt>
                <c:pt idx="848">
                  <c:v>736</c:v>
                </c:pt>
                <c:pt idx="849">
                  <c:v>737</c:v>
                </c:pt>
                <c:pt idx="850">
                  <c:v>738</c:v>
                </c:pt>
                <c:pt idx="851">
                  <c:v>739</c:v>
                </c:pt>
                <c:pt idx="852">
                  <c:v>740</c:v>
                </c:pt>
                <c:pt idx="853">
                  <c:v>741</c:v>
                </c:pt>
                <c:pt idx="854">
                  <c:v>742</c:v>
                </c:pt>
                <c:pt idx="855">
                  <c:v>743</c:v>
                </c:pt>
                <c:pt idx="856">
                  <c:v>744</c:v>
                </c:pt>
                <c:pt idx="857">
                  <c:v>745</c:v>
                </c:pt>
                <c:pt idx="858">
                  <c:v>746</c:v>
                </c:pt>
                <c:pt idx="859">
                  <c:v>747</c:v>
                </c:pt>
                <c:pt idx="860">
                  <c:v>748</c:v>
                </c:pt>
                <c:pt idx="861">
                  <c:v>749</c:v>
                </c:pt>
                <c:pt idx="862">
                  <c:v>750</c:v>
                </c:pt>
                <c:pt idx="863">
                  <c:v>751</c:v>
                </c:pt>
                <c:pt idx="864">
                  <c:v>752</c:v>
                </c:pt>
                <c:pt idx="865">
                  <c:v>753</c:v>
                </c:pt>
                <c:pt idx="866">
                  <c:v>754</c:v>
                </c:pt>
                <c:pt idx="867">
                  <c:v>755</c:v>
                </c:pt>
                <c:pt idx="868">
                  <c:v>756</c:v>
                </c:pt>
                <c:pt idx="869">
                  <c:v>757</c:v>
                </c:pt>
                <c:pt idx="870">
                  <c:v>758</c:v>
                </c:pt>
                <c:pt idx="871">
                  <c:v>759</c:v>
                </c:pt>
                <c:pt idx="872">
                  <c:v>760</c:v>
                </c:pt>
                <c:pt idx="873">
                  <c:v>761</c:v>
                </c:pt>
                <c:pt idx="874">
                  <c:v>762</c:v>
                </c:pt>
                <c:pt idx="875">
                  <c:v>763</c:v>
                </c:pt>
                <c:pt idx="876">
                  <c:v>764</c:v>
                </c:pt>
                <c:pt idx="877">
                  <c:v>765</c:v>
                </c:pt>
                <c:pt idx="878">
                  <c:v>766</c:v>
                </c:pt>
                <c:pt idx="879">
                  <c:v>767</c:v>
                </c:pt>
                <c:pt idx="880">
                  <c:v>768</c:v>
                </c:pt>
                <c:pt idx="881">
                  <c:v>769</c:v>
                </c:pt>
                <c:pt idx="882">
                  <c:v>770</c:v>
                </c:pt>
                <c:pt idx="883">
                  <c:v>771</c:v>
                </c:pt>
                <c:pt idx="884">
                  <c:v>772</c:v>
                </c:pt>
                <c:pt idx="885">
                  <c:v>773</c:v>
                </c:pt>
                <c:pt idx="886">
                  <c:v>774</c:v>
                </c:pt>
                <c:pt idx="887">
                  <c:v>775</c:v>
                </c:pt>
                <c:pt idx="888">
                  <c:v>776</c:v>
                </c:pt>
                <c:pt idx="889">
                  <c:v>777</c:v>
                </c:pt>
                <c:pt idx="890">
                  <c:v>778</c:v>
                </c:pt>
                <c:pt idx="891">
                  <c:v>779</c:v>
                </c:pt>
                <c:pt idx="892">
                  <c:v>780</c:v>
                </c:pt>
                <c:pt idx="893">
                  <c:v>781</c:v>
                </c:pt>
                <c:pt idx="894">
                  <c:v>782</c:v>
                </c:pt>
                <c:pt idx="895">
                  <c:v>783</c:v>
                </c:pt>
                <c:pt idx="896">
                  <c:v>784</c:v>
                </c:pt>
                <c:pt idx="897">
                  <c:v>785</c:v>
                </c:pt>
                <c:pt idx="898">
                  <c:v>786</c:v>
                </c:pt>
                <c:pt idx="899">
                  <c:v>787</c:v>
                </c:pt>
                <c:pt idx="900">
                  <c:v>788</c:v>
                </c:pt>
                <c:pt idx="901">
                  <c:v>789</c:v>
                </c:pt>
                <c:pt idx="902">
                  <c:v>790</c:v>
                </c:pt>
                <c:pt idx="903">
                  <c:v>791</c:v>
                </c:pt>
                <c:pt idx="904">
                  <c:v>792</c:v>
                </c:pt>
                <c:pt idx="905">
                  <c:v>793</c:v>
                </c:pt>
                <c:pt idx="906">
                  <c:v>794</c:v>
                </c:pt>
                <c:pt idx="907">
                  <c:v>795</c:v>
                </c:pt>
                <c:pt idx="908">
                  <c:v>796</c:v>
                </c:pt>
                <c:pt idx="909">
                  <c:v>797</c:v>
                </c:pt>
                <c:pt idx="910">
                  <c:v>798</c:v>
                </c:pt>
                <c:pt idx="911">
                  <c:v>799</c:v>
                </c:pt>
                <c:pt idx="912">
                  <c:v>800</c:v>
                </c:pt>
                <c:pt idx="913">
                  <c:v>801</c:v>
                </c:pt>
                <c:pt idx="914">
                  <c:v>802</c:v>
                </c:pt>
                <c:pt idx="915">
                  <c:v>803</c:v>
                </c:pt>
                <c:pt idx="916">
                  <c:v>804</c:v>
                </c:pt>
                <c:pt idx="917">
                  <c:v>805</c:v>
                </c:pt>
                <c:pt idx="918">
                  <c:v>806</c:v>
                </c:pt>
                <c:pt idx="919">
                  <c:v>807</c:v>
                </c:pt>
                <c:pt idx="920">
                  <c:v>808</c:v>
                </c:pt>
                <c:pt idx="921">
                  <c:v>809</c:v>
                </c:pt>
                <c:pt idx="922">
                  <c:v>810</c:v>
                </c:pt>
                <c:pt idx="923">
                  <c:v>811</c:v>
                </c:pt>
                <c:pt idx="924">
                  <c:v>812</c:v>
                </c:pt>
                <c:pt idx="925">
                  <c:v>813</c:v>
                </c:pt>
                <c:pt idx="926">
                  <c:v>814</c:v>
                </c:pt>
                <c:pt idx="927">
                  <c:v>815</c:v>
                </c:pt>
                <c:pt idx="928">
                  <c:v>816</c:v>
                </c:pt>
                <c:pt idx="929">
                  <c:v>817</c:v>
                </c:pt>
                <c:pt idx="930">
                  <c:v>818</c:v>
                </c:pt>
                <c:pt idx="931">
                  <c:v>819</c:v>
                </c:pt>
                <c:pt idx="932">
                  <c:v>820</c:v>
                </c:pt>
                <c:pt idx="933">
                  <c:v>821</c:v>
                </c:pt>
                <c:pt idx="934">
                  <c:v>822</c:v>
                </c:pt>
                <c:pt idx="935">
                  <c:v>823</c:v>
                </c:pt>
                <c:pt idx="936">
                  <c:v>824</c:v>
                </c:pt>
                <c:pt idx="937">
                  <c:v>825</c:v>
                </c:pt>
                <c:pt idx="938">
                  <c:v>826</c:v>
                </c:pt>
                <c:pt idx="939">
                  <c:v>827</c:v>
                </c:pt>
                <c:pt idx="940">
                  <c:v>828</c:v>
                </c:pt>
                <c:pt idx="941">
                  <c:v>829</c:v>
                </c:pt>
                <c:pt idx="942">
                  <c:v>830</c:v>
                </c:pt>
                <c:pt idx="943">
                  <c:v>831</c:v>
                </c:pt>
                <c:pt idx="944">
                  <c:v>832</c:v>
                </c:pt>
                <c:pt idx="945">
                  <c:v>833</c:v>
                </c:pt>
                <c:pt idx="946">
                  <c:v>834</c:v>
                </c:pt>
                <c:pt idx="947">
                  <c:v>835</c:v>
                </c:pt>
                <c:pt idx="948">
                  <c:v>836</c:v>
                </c:pt>
                <c:pt idx="949">
                  <c:v>837</c:v>
                </c:pt>
                <c:pt idx="950">
                  <c:v>838</c:v>
                </c:pt>
                <c:pt idx="951">
                  <c:v>839</c:v>
                </c:pt>
                <c:pt idx="952">
                  <c:v>840</c:v>
                </c:pt>
                <c:pt idx="953">
                  <c:v>841</c:v>
                </c:pt>
                <c:pt idx="954">
                  <c:v>842</c:v>
                </c:pt>
                <c:pt idx="955">
                  <c:v>843</c:v>
                </c:pt>
                <c:pt idx="956">
                  <c:v>844</c:v>
                </c:pt>
                <c:pt idx="957">
                  <c:v>845</c:v>
                </c:pt>
                <c:pt idx="958">
                  <c:v>846</c:v>
                </c:pt>
                <c:pt idx="959">
                  <c:v>847</c:v>
                </c:pt>
                <c:pt idx="960">
                  <c:v>848</c:v>
                </c:pt>
                <c:pt idx="961">
                  <c:v>849</c:v>
                </c:pt>
                <c:pt idx="962">
                  <c:v>850</c:v>
                </c:pt>
                <c:pt idx="963">
                  <c:v>851</c:v>
                </c:pt>
                <c:pt idx="964">
                  <c:v>852</c:v>
                </c:pt>
                <c:pt idx="965">
                  <c:v>853</c:v>
                </c:pt>
                <c:pt idx="966">
                  <c:v>854</c:v>
                </c:pt>
                <c:pt idx="967">
                  <c:v>855</c:v>
                </c:pt>
                <c:pt idx="968">
                  <c:v>856</c:v>
                </c:pt>
                <c:pt idx="969">
                  <c:v>857</c:v>
                </c:pt>
                <c:pt idx="970">
                  <c:v>858</c:v>
                </c:pt>
                <c:pt idx="971">
                  <c:v>859</c:v>
                </c:pt>
                <c:pt idx="972">
                  <c:v>860</c:v>
                </c:pt>
                <c:pt idx="973">
                  <c:v>861</c:v>
                </c:pt>
                <c:pt idx="974">
                  <c:v>862</c:v>
                </c:pt>
                <c:pt idx="975">
                  <c:v>863</c:v>
                </c:pt>
                <c:pt idx="976">
                  <c:v>864</c:v>
                </c:pt>
                <c:pt idx="977">
                  <c:v>865</c:v>
                </c:pt>
                <c:pt idx="978">
                  <c:v>866</c:v>
                </c:pt>
                <c:pt idx="979">
                  <c:v>867</c:v>
                </c:pt>
                <c:pt idx="980">
                  <c:v>868</c:v>
                </c:pt>
                <c:pt idx="981">
                  <c:v>869</c:v>
                </c:pt>
                <c:pt idx="982">
                  <c:v>870</c:v>
                </c:pt>
                <c:pt idx="983">
                  <c:v>871</c:v>
                </c:pt>
                <c:pt idx="984">
                  <c:v>872</c:v>
                </c:pt>
                <c:pt idx="985">
                  <c:v>873</c:v>
                </c:pt>
                <c:pt idx="986">
                  <c:v>874</c:v>
                </c:pt>
                <c:pt idx="987">
                  <c:v>875</c:v>
                </c:pt>
                <c:pt idx="988">
                  <c:v>876</c:v>
                </c:pt>
                <c:pt idx="989">
                  <c:v>877</c:v>
                </c:pt>
                <c:pt idx="990">
                  <c:v>878</c:v>
                </c:pt>
                <c:pt idx="991">
                  <c:v>879</c:v>
                </c:pt>
                <c:pt idx="992">
                  <c:v>880</c:v>
                </c:pt>
                <c:pt idx="993">
                  <c:v>881</c:v>
                </c:pt>
                <c:pt idx="994">
                  <c:v>882</c:v>
                </c:pt>
                <c:pt idx="995">
                  <c:v>883</c:v>
                </c:pt>
                <c:pt idx="996">
                  <c:v>884</c:v>
                </c:pt>
                <c:pt idx="997">
                  <c:v>885</c:v>
                </c:pt>
                <c:pt idx="998">
                  <c:v>886</c:v>
                </c:pt>
                <c:pt idx="999">
                  <c:v>887</c:v>
                </c:pt>
                <c:pt idx="1000">
                  <c:v>888</c:v>
                </c:pt>
                <c:pt idx="1001">
                  <c:v>889</c:v>
                </c:pt>
                <c:pt idx="1002">
                  <c:v>890</c:v>
                </c:pt>
                <c:pt idx="1003">
                  <c:v>891</c:v>
                </c:pt>
                <c:pt idx="1004">
                  <c:v>892</c:v>
                </c:pt>
                <c:pt idx="1005">
                  <c:v>893</c:v>
                </c:pt>
                <c:pt idx="1006">
                  <c:v>894</c:v>
                </c:pt>
                <c:pt idx="1007">
                  <c:v>895</c:v>
                </c:pt>
                <c:pt idx="1008">
                  <c:v>896</c:v>
                </c:pt>
                <c:pt idx="1009">
                  <c:v>897</c:v>
                </c:pt>
                <c:pt idx="1010">
                  <c:v>898</c:v>
                </c:pt>
                <c:pt idx="1011">
                  <c:v>899</c:v>
                </c:pt>
                <c:pt idx="1012">
                  <c:v>900</c:v>
                </c:pt>
                <c:pt idx="1013">
                  <c:v>901</c:v>
                </c:pt>
                <c:pt idx="1014">
                  <c:v>902</c:v>
                </c:pt>
                <c:pt idx="1015">
                  <c:v>903</c:v>
                </c:pt>
                <c:pt idx="1016">
                  <c:v>904</c:v>
                </c:pt>
                <c:pt idx="1017">
                  <c:v>905</c:v>
                </c:pt>
                <c:pt idx="1018">
                  <c:v>906</c:v>
                </c:pt>
                <c:pt idx="1019">
                  <c:v>907</c:v>
                </c:pt>
                <c:pt idx="1020">
                  <c:v>908</c:v>
                </c:pt>
                <c:pt idx="1021">
                  <c:v>909</c:v>
                </c:pt>
                <c:pt idx="1022">
                  <c:v>910</c:v>
                </c:pt>
                <c:pt idx="1023">
                  <c:v>911</c:v>
                </c:pt>
                <c:pt idx="1024">
                  <c:v>912</c:v>
                </c:pt>
                <c:pt idx="1025">
                  <c:v>913</c:v>
                </c:pt>
                <c:pt idx="1026">
                  <c:v>914</c:v>
                </c:pt>
                <c:pt idx="1027">
                  <c:v>915</c:v>
                </c:pt>
                <c:pt idx="1028">
                  <c:v>916</c:v>
                </c:pt>
                <c:pt idx="1029">
                  <c:v>917</c:v>
                </c:pt>
                <c:pt idx="1030">
                  <c:v>918</c:v>
                </c:pt>
                <c:pt idx="1031">
                  <c:v>919</c:v>
                </c:pt>
                <c:pt idx="1032">
                  <c:v>920</c:v>
                </c:pt>
                <c:pt idx="1033">
                  <c:v>921</c:v>
                </c:pt>
                <c:pt idx="1034">
                  <c:v>922</c:v>
                </c:pt>
                <c:pt idx="1035">
                  <c:v>923</c:v>
                </c:pt>
                <c:pt idx="1036">
                  <c:v>924</c:v>
                </c:pt>
                <c:pt idx="1037">
                  <c:v>925</c:v>
                </c:pt>
                <c:pt idx="1038">
                  <c:v>926</c:v>
                </c:pt>
                <c:pt idx="1039">
                  <c:v>927</c:v>
                </c:pt>
                <c:pt idx="1040">
                  <c:v>928</c:v>
                </c:pt>
                <c:pt idx="1041">
                  <c:v>929</c:v>
                </c:pt>
                <c:pt idx="1042">
                  <c:v>930</c:v>
                </c:pt>
                <c:pt idx="1043">
                  <c:v>931</c:v>
                </c:pt>
                <c:pt idx="1044">
                  <c:v>932</c:v>
                </c:pt>
                <c:pt idx="1045">
                  <c:v>933</c:v>
                </c:pt>
                <c:pt idx="1046">
                  <c:v>934</c:v>
                </c:pt>
                <c:pt idx="1047">
                  <c:v>935</c:v>
                </c:pt>
                <c:pt idx="1048">
                  <c:v>936</c:v>
                </c:pt>
                <c:pt idx="1049">
                  <c:v>937</c:v>
                </c:pt>
                <c:pt idx="1050">
                  <c:v>938</c:v>
                </c:pt>
                <c:pt idx="1051">
                  <c:v>939</c:v>
                </c:pt>
                <c:pt idx="1052">
                  <c:v>940</c:v>
                </c:pt>
                <c:pt idx="1053">
                  <c:v>941</c:v>
                </c:pt>
                <c:pt idx="1054">
                  <c:v>942</c:v>
                </c:pt>
                <c:pt idx="1055">
                  <c:v>943</c:v>
                </c:pt>
                <c:pt idx="1056">
                  <c:v>944</c:v>
                </c:pt>
                <c:pt idx="1057">
                  <c:v>945</c:v>
                </c:pt>
                <c:pt idx="1058">
                  <c:v>946</c:v>
                </c:pt>
                <c:pt idx="1059">
                  <c:v>947</c:v>
                </c:pt>
                <c:pt idx="1060">
                  <c:v>948</c:v>
                </c:pt>
                <c:pt idx="1061">
                  <c:v>949</c:v>
                </c:pt>
                <c:pt idx="1062">
                  <c:v>950</c:v>
                </c:pt>
                <c:pt idx="1063">
                  <c:v>951</c:v>
                </c:pt>
                <c:pt idx="1064">
                  <c:v>952</c:v>
                </c:pt>
                <c:pt idx="1065">
                  <c:v>953</c:v>
                </c:pt>
                <c:pt idx="1066">
                  <c:v>954</c:v>
                </c:pt>
                <c:pt idx="1067">
                  <c:v>955</c:v>
                </c:pt>
                <c:pt idx="1068">
                  <c:v>956</c:v>
                </c:pt>
                <c:pt idx="1069">
                  <c:v>957</c:v>
                </c:pt>
                <c:pt idx="1070">
                  <c:v>958</c:v>
                </c:pt>
                <c:pt idx="1071">
                  <c:v>959</c:v>
                </c:pt>
                <c:pt idx="1072">
                  <c:v>960</c:v>
                </c:pt>
                <c:pt idx="1073">
                  <c:v>961</c:v>
                </c:pt>
                <c:pt idx="1074">
                  <c:v>962</c:v>
                </c:pt>
                <c:pt idx="1075">
                  <c:v>963</c:v>
                </c:pt>
                <c:pt idx="1076">
                  <c:v>964</c:v>
                </c:pt>
                <c:pt idx="1077">
                  <c:v>965</c:v>
                </c:pt>
                <c:pt idx="1078">
                  <c:v>966</c:v>
                </c:pt>
                <c:pt idx="1079">
                  <c:v>967</c:v>
                </c:pt>
                <c:pt idx="1080">
                  <c:v>968</c:v>
                </c:pt>
                <c:pt idx="1081">
                  <c:v>969</c:v>
                </c:pt>
                <c:pt idx="1082">
                  <c:v>970</c:v>
                </c:pt>
                <c:pt idx="1083">
                  <c:v>971</c:v>
                </c:pt>
                <c:pt idx="1084">
                  <c:v>972</c:v>
                </c:pt>
                <c:pt idx="1085">
                  <c:v>973</c:v>
                </c:pt>
                <c:pt idx="1086">
                  <c:v>974</c:v>
                </c:pt>
                <c:pt idx="1087">
                  <c:v>975</c:v>
                </c:pt>
                <c:pt idx="1088">
                  <c:v>976</c:v>
                </c:pt>
                <c:pt idx="1089">
                  <c:v>977</c:v>
                </c:pt>
                <c:pt idx="1090">
                  <c:v>978</c:v>
                </c:pt>
                <c:pt idx="1091">
                  <c:v>979</c:v>
                </c:pt>
                <c:pt idx="1092">
                  <c:v>980</c:v>
                </c:pt>
                <c:pt idx="1093">
                  <c:v>981</c:v>
                </c:pt>
                <c:pt idx="1094">
                  <c:v>982</c:v>
                </c:pt>
                <c:pt idx="1095">
                  <c:v>983</c:v>
                </c:pt>
                <c:pt idx="1096">
                  <c:v>984</c:v>
                </c:pt>
                <c:pt idx="1097">
                  <c:v>985</c:v>
                </c:pt>
                <c:pt idx="1098">
                  <c:v>986</c:v>
                </c:pt>
                <c:pt idx="1099">
                  <c:v>987</c:v>
                </c:pt>
                <c:pt idx="1100">
                  <c:v>988</c:v>
                </c:pt>
                <c:pt idx="1101">
                  <c:v>989</c:v>
                </c:pt>
                <c:pt idx="1102">
                  <c:v>990</c:v>
                </c:pt>
                <c:pt idx="1103">
                  <c:v>991</c:v>
                </c:pt>
                <c:pt idx="1104">
                  <c:v>992</c:v>
                </c:pt>
                <c:pt idx="1105">
                  <c:v>993</c:v>
                </c:pt>
                <c:pt idx="1106">
                  <c:v>994</c:v>
                </c:pt>
                <c:pt idx="1107">
                  <c:v>995</c:v>
                </c:pt>
                <c:pt idx="1108">
                  <c:v>996</c:v>
                </c:pt>
                <c:pt idx="1109">
                  <c:v>997</c:v>
                </c:pt>
                <c:pt idx="1110">
                  <c:v>998</c:v>
                </c:pt>
                <c:pt idx="1111">
                  <c:v>999</c:v>
                </c:pt>
                <c:pt idx="1112">
                  <c:v>1000</c:v>
                </c:pt>
                <c:pt idx="1113">
                  <c:v>1001</c:v>
                </c:pt>
                <c:pt idx="1114">
                  <c:v>1002</c:v>
                </c:pt>
                <c:pt idx="1115">
                  <c:v>1003</c:v>
                </c:pt>
                <c:pt idx="1116">
                  <c:v>1004</c:v>
                </c:pt>
                <c:pt idx="1117">
                  <c:v>1005</c:v>
                </c:pt>
                <c:pt idx="1118">
                  <c:v>1006</c:v>
                </c:pt>
                <c:pt idx="1119">
                  <c:v>1007</c:v>
                </c:pt>
                <c:pt idx="1120">
                  <c:v>1008</c:v>
                </c:pt>
                <c:pt idx="1121">
                  <c:v>1009</c:v>
                </c:pt>
                <c:pt idx="1122">
                  <c:v>1010</c:v>
                </c:pt>
                <c:pt idx="1123">
                  <c:v>1011</c:v>
                </c:pt>
                <c:pt idx="1124">
                  <c:v>1012</c:v>
                </c:pt>
                <c:pt idx="1125">
                  <c:v>1013</c:v>
                </c:pt>
                <c:pt idx="1126">
                  <c:v>1014</c:v>
                </c:pt>
                <c:pt idx="1127">
                  <c:v>1015</c:v>
                </c:pt>
                <c:pt idx="1128">
                  <c:v>1016</c:v>
                </c:pt>
                <c:pt idx="1129">
                  <c:v>1017</c:v>
                </c:pt>
                <c:pt idx="1130">
                  <c:v>1018</c:v>
                </c:pt>
                <c:pt idx="1131">
                  <c:v>1019</c:v>
                </c:pt>
                <c:pt idx="1132">
                  <c:v>1020</c:v>
                </c:pt>
                <c:pt idx="1133">
                  <c:v>1021</c:v>
                </c:pt>
                <c:pt idx="1134">
                  <c:v>1022</c:v>
                </c:pt>
                <c:pt idx="1135">
                  <c:v>1023</c:v>
                </c:pt>
                <c:pt idx="1136">
                  <c:v>1024</c:v>
                </c:pt>
                <c:pt idx="1137">
                  <c:v>1025</c:v>
                </c:pt>
                <c:pt idx="1138">
                  <c:v>1026</c:v>
                </c:pt>
                <c:pt idx="1139">
                  <c:v>1027</c:v>
                </c:pt>
                <c:pt idx="1140">
                  <c:v>1028</c:v>
                </c:pt>
                <c:pt idx="1141">
                  <c:v>1029</c:v>
                </c:pt>
                <c:pt idx="1142">
                  <c:v>1030</c:v>
                </c:pt>
                <c:pt idx="1143">
                  <c:v>1031</c:v>
                </c:pt>
                <c:pt idx="1144">
                  <c:v>1032</c:v>
                </c:pt>
                <c:pt idx="1145">
                  <c:v>1033</c:v>
                </c:pt>
                <c:pt idx="1146">
                  <c:v>1034</c:v>
                </c:pt>
                <c:pt idx="1147">
                  <c:v>1035</c:v>
                </c:pt>
                <c:pt idx="1148">
                  <c:v>1036</c:v>
                </c:pt>
                <c:pt idx="1149">
                  <c:v>1037</c:v>
                </c:pt>
                <c:pt idx="1150">
                  <c:v>1038</c:v>
                </c:pt>
                <c:pt idx="1151">
                  <c:v>1039</c:v>
                </c:pt>
                <c:pt idx="1152">
                  <c:v>1040</c:v>
                </c:pt>
                <c:pt idx="1153">
                  <c:v>1041</c:v>
                </c:pt>
                <c:pt idx="1154">
                  <c:v>1042</c:v>
                </c:pt>
                <c:pt idx="1155">
                  <c:v>1043</c:v>
                </c:pt>
                <c:pt idx="1156">
                  <c:v>1044</c:v>
                </c:pt>
                <c:pt idx="1157">
                  <c:v>1045</c:v>
                </c:pt>
                <c:pt idx="1158">
                  <c:v>1046</c:v>
                </c:pt>
                <c:pt idx="1159">
                  <c:v>1047</c:v>
                </c:pt>
                <c:pt idx="1160">
                  <c:v>1048</c:v>
                </c:pt>
                <c:pt idx="1161">
                  <c:v>1049</c:v>
                </c:pt>
                <c:pt idx="1162">
                  <c:v>1050</c:v>
                </c:pt>
                <c:pt idx="1163">
                  <c:v>1051</c:v>
                </c:pt>
                <c:pt idx="1164">
                  <c:v>1052</c:v>
                </c:pt>
                <c:pt idx="1165">
                  <c:v>1053</c:v>
                </c:pt>
                <c:pt idx="1166">
                  <c:v>1054</c:v>
                </c:pt>
                <c:pt idx="1167">
                  <c:v>1055</c:v>
                </c:pt>
                <c:pt idx="1168">
                  <c:v>1056</c:v>
                </c:pt>
                <c:pt idx="1169">
                  <c:v>1057</c:v>
                </c:pt>
                <c:pt idx="1170">
                  <c:v>1058</c:v>
                </c:pt>
                <c:pt idx="1171">
                  <c:v>1059</c:v>
                </c:pt>
                <c:pt idx="1172">
                  <c:v>1060</c:v>
                </c:pt>
                <c:pt idx="1173">
                  <c:v>1061</c:v>
                </c:pt>
                <c:pt idx="1174">
                  <c:v>1062</c:v>
                </c:pt>
                <c:pt idx="1175">
                  <c:v>1063</c:v>
                </c:pt>
                <c:pt idx="1176">
                  <c:v>1064</c:v>
                </c:pt>
                <c:pt idx="1177">
                  <c:v>1065</c:v>
                </c:pt>
                <c:pt idx="1178">
                  <c:v>1066</c:v>
                </c:pt>
                <c:pt idx="1179">
                  <c:v>1067</c:v>
                </c:pt>
                <c:pt idx="1180">
                  <c:v>1068</c:v>
                </c:pt>
                <c:pt idx="1181">
                  <c:v>1069</c:v>
                </c:pt>
                <c:pt idx="1182">
                  <c:v>1070</c:v>
                </c:pt>
                <c:pt idx="1183">
                  <c:v>1071</c:v>
                </c:pt>
                <c:pt idx="1184">
                  <c:v>1072</c:v>
                </c:pt>
                <c:pt idx="1185">
                  <c:v>1073</c:v>
                </c:pt>
                <c:pt idx="1186">
                  <c:v>1074</c:v>
                </c:pt>
                <c:pt idx="1187">
                  <c:v>1075</c:v>
                </c:pt>
                <c:pt idx="1188">
                  <c:v>1076</c:v>
                </c:pt>
                <c:pt idx="1189">
                  <c:v>1077</c:v>
                </c:pt>
                <c:pt idx="1190">
                  <c:v>1078</c:v>
                </c:pt>
                <c:pt idx="1191">
                  <c:v>1079</c:v>
                </c:pt>
                <c:pt idx="1192">
                  <c:v>1080</c:v>
                </c:pt>
                <c:pt idx="1193">
                  <c:v>1081</c:v>
                </c:pt>
                <c:pt idx="1194">
                  <c:v>1082</c:v>
                </c:pt>
                <c:pt idx="1195">
                  <c:v>1083</c:v>
                </c:pt>
                <c:pt idx="1196">
                  <c:v>1084</c:v>
                </c:pt>
                <c:pt idx="1197">
                  <c:v>1085</c:v>
                </c:pt>
                <c:pt idx="1198">
                  <c:v>1086</c:v>
                </c:pt>
                <c:pt idx="1199">
                  <c:v>1087</c:v>
                </c:pt>
                <c:pt idx="1200">
                  <c:v>1088</c:v>
                </c:pt>
                <c:pt idx="1201">
                  <c:v>1089</c:v>
                </c:pt>
                <c:pt idx="1202">
                  <c:v>1090</c:v>
                </c:pt>
                <c:pt idx="1203">
                  <c:v>1091</c:v>
                </c:pt>
                <c:pt idx="1204">
                  <c:v>1092</c:v>
                </c:pt>
                <c:pt idx="1205">
                  <c:v>1093</c:v>
                </c:pt>
                <c:pt idx="1206">
                  <c:v>1094</c:v>
                </c:pt>
                <c:pt idx="1207">
                  <c:v>1095</c:v>
                </c:pt>
                <c:pt idx="1208">
                  <c:v>1096</c:v>
                </c:pt>
                <c:pt idx="1209">
                  <c:v>1097</c:v>
                </c:pt>
                <c:pt idx="1210">
                  <c:v>1098</c:v>
                </c:pt>
                <c:pt idx="1211">
                  <c:v>1099</c:v>
                </c:pt>
                <c:pt idx="1212">
                  <c:v>1100</c:v>
                </c:pt>
                <c:pt idx="1213">
                  <c:v>1101</c:v>
                </c:pt>
                <c:pt idx="1214">
                  <c:v>1102</c:v>
                </c:pt>
                <c:pt idx="1215">
                  <c:v>1103</c:v>
                </c:pt>
                <c:pt idx="1216">
                  <c:v>1104</c:v>
                </c:pt>
                <c:pt idx="1217">
                  <c:v>1105</c:v>
                </c:pt>
                <c:pt idx="1218">
                  <c:v>1106</c:v>
                </c:pt>
                <c:pt idx="1219">
                  <c:v>1107</c:v>
                </c:pt>
                <c:pt idx="1220">
                  <c:v>1108</c:v>
                </c:pt>
                <c:pt idx="1221">
                  <c:v>1109</c:v>
                </c:pt>
                <c:pt idx="1222">
                  <c:v>1110</c:v>
                </c:pt>
                <c:pt idx="1223">
                  <c:v>1111</c:v>
                </c:pt>
                <c:pt idx="1224">
                  <c:v>1112</c:v>
                </c:pt>
                <c:pt idx="1225">
                  <c:v>1113</c:v>
                </c:pt>
                <c:pt idx="1226">
                  <c:v>1114</c:v>
                </c:pt>
                <c:pt idx="1227">
                  <c:v>1115</c:v>
                </c:pt>
                <c:pt idx="1228">
                  <c:v>1116</c:v>
                </c:pt>
                <c:pt idx="1229">
                  <c:v>1117</c:v>
                </c:pt>
                <c:pt idx="1230">
                  <c:v>1118</c:v>
                </c:pt>
                <c:pt idx="1231">
                  <c:v>1119</c:v>
                </c:pt>
                <c:pt idx="1232">
                  <c:v>1120</c:v>
                </c:pt>
                <c:pt idx="1233">
                  <c:v>1121</c:v>
                </c:pt>
                <c:pt idx="1234">
                  <c:v>1122</c:v>
                </c:pt>
                <c:pt idx="1235">
                  <c:v>1123</c:v>
                </c:pt>
                <c:pt idx="1236">
                  <c:v>1124</c:v>
                </c:pt>
                <c:pt idx="1237">
                  <c:v>1125</c:v>
                </c:pt>
                <c:pt idx="1238">
                  <c:v>1126</c:v>
                </c:pt>
                <c:pt idx="1239">
                  <c:v>1127</c:v>
                </c:pt>
                <c:pt idx="1240">
                  <c:v>1128</c:v>
                </c:pt>
                <c:pt idx="1241">
                  <c:v>1129</c:v>
                </c:pt>
                <c:pt idx="1242">
                  <c:v>1130</c:v>
                </c:pt>
                <c:pt idx="1243">
                  <c:v>1131</c:v>
                </c:pt>
                <c:pt idx="1244">
                  <c:v>1132</c:v>
                </c:pt>
                <c:pt idx="1245">
                  <c:v>1133</c:v>
                </c:pt>
                <c:pt idx="1246">
                  <c:v>1134</c:v>
                </c:pt>
                <c:pt idx="1247">
                  <c:v>1135</c:v>
                </c:pt>
                <c:pt idx="1248">
                  <c:v>1136</c:v>
                </c:pt>
                <c:pt idx="1249">
                  <c:v>1137</c:v>
                </c:pt>
                <c:pt idx="1250">
                  <c:v>1138</c:v>
                </c:pt>
                <c:pt idx="1251">
                  <c:v>1139</c:v>
                </c:pt>
                <c:pt idx="1252">
                  <c:v>1140</c:v>
                </c:pt>
                <c:pt idx="1253">
                  <c:v>1141</c:v>
                </c:pt>
                <c:pt idx="1254">
                  <c:v>1142</c:v>
                </c:pt>
                <c:pt idx="1255">
                  <c:v>1143</c:v>
                </c:pt>
                <c:pt idx="1256">
                  <c:v>1144</c:v>
                </c:pt>
                <c:pt idx="1257">
                  <c:v>1145</c:v>
                </c:pt>
                <c:pt idx="1258">
                  <c:v>1146</c:v>
                </c:pt>
                <c:pt idx="1259">
                  <c:v>1147</c:v>
                </c:pt>
                <c:pt idx="1260">
                  <c:v>1148</c:v>
                </c:pt>
                <c:pt idx="1261">
                  <c:v>1149</c:v>
                </c:pt>
                <c:pt idx="1262">
                  <c:v>1150</c:v>
                </c:pt>
                <c:pt idx="1263">
                  <c:v>1151</c:v>
                </c:pt>
                <c:pt idx="1264">
                  <c:v>1152</c:v>
                </c:pt>
                <c:pt idx="1265">
                  <c:v>1153</c:v>
                </c:pt>
                <c:pt idx="1266">
                  <c:v>1154</c:v>
                </c:pt>
                <c:pt idx="1267">
                  <c:v>1155</c:v>
                </c:pt>
                <c:pt idx="1268">
                  <c:v>1156</c:v>
                </c:pt>
                <c:pt idx="1269">
                  <c:v>1157</c:v>
                </c:pt>
                <c:pt idx="1270">
                  <c:v>1158</c:v>
                </c:pt>
                <c:pt idx="1271">
                  <c:v>1159</c:v>
                </c:pt>
                <c:pt idx="1272">
                  <c:v>1160</c:v>
                </c:pt>
                <c:pt idx="1273">
                  <c:v>1161</c:v>
                </c:pt>
                <c:pt idx="1274">
                  <c:v>1162</c:v>
                </c:pt>
                <c:pt idx="1275">
                  <c:v>1163</c:v>
                </c:pt>
                <c:pt idx="1276">
                  <c:v>1164</c:v>
                </c:pt>
                <c:pt idx="1277">
                  <c:v>1165</c:v>
                </c:pt>
                <c:pt idx="1278">
                  <c:v>1166</c:v>
                </c:pt>
                <c:pt idx="1279">
                  <c:v>1167</c:v>
                </c:pt>
                <c:pt idx="1280">
                  <c:v>1168</c:v>
                </c:pt>
                <c:pt idx="1281">
                  <c:v>1169</c:v>
                </c:pt>
                <c:pt idx="1282">
                  <c:v>1170</c:v>
                </c:pt>
                <c:pt idx="1283">
                  <c:v>1171</c:v>
                </c:pt>
                <c:pt idx="1284">
                  <c:v>1172</c:v>
                </c:pt>
                <c:pt idx="1285">
                  <c:v>1173</c:v>
                </c:pt>
                <c:pt idx="1286">
                  <c:v>1174</c:v>
                </c:pt>
                <c:pt idx="1287">
                  <c:v>1175</c:v>
                </c:pt>
                <c:pt idx="1288">
                  <c:v>1176</c:v>
                </c:pt>
                <c:pt idx="1289">
                  <c:v>1177</c:v>
                </c:pt>
                <c:pt idx="1290">
                  <c:v>1178</c:v>
                </c:pt>
                <c:pt idx="1291">
                  <c:v>1179</c:v>
                </c:pt>
                <c:pt idx="1292">
                  <c:v>1180</c:v>
                </c:pt>
                <c:pt idx="1293">
                  <c:v>1181</c:v>
                </c:pt>
                <c:pt idx="1294">
                  <c:v>1182</c:v>
                </c:pt>
                <c:pt idx="1295">
                  <c:v>1183</c:v>
                </c:pt>
                <c:pt idx="1296">
                  <c:v>1184</c:v>
                </c:pt>
                <c:pt idx="1297">
                  <c:v>1185</c:v>
                </c:pt>
                <c:pt idx="1298">
                  <c:v>1186</c:v>
                </c:pt>
                <c:pt idx="1299">
                  <c:v>1187</c:v>
                </c:pt>
                <c:pt idx="1300">
                  <c:v>1188</c:v>
                </c:pt>
                <c:pt idx="1301">
                  <c:v>1189</c:v>
                </c:pt>
                <c:pt idx="1302">
                  <c:v>1190</c:v>
                </c:pt>
                <c:pt idx="1303">
                  <c:v>1191</c:v>
                </c:pt>
                <c:pt idx="1304">
                  <c:v>1192</c:v>
                </c:pt>
                <c:pt idx="1305">
                  <c:v>1193</c:v>
                </c:pt>
                <c:pt idx="1306">
                  <c:v>1194</c:v>
                </c:pt>
                <c:pt idx="1307">
                  <c:v>1195</c:v>
                </c:pt>
                <c:pt idx="1308">
                  <c:v>1196</c:v>
                </c:pt>
                <c:pt idx="1309">
                  <c:v>1197</c:v>
                </c:pt>
                <c:pt idx="1310">
                  <c:v>1198</c:v>
                </c:pt>
                <c:pt idx="1311">
                  <c:v>1199</c:v>
                </c:pt>
                <c:pt idx="1312">
                  <c:v>1200</c:v>
                </c:pt>
                <c:pt idx="1313">
                  <c:v>1201</c:v>
                </c:pt>
                <c:pt idx="1314">
                  <c:v>1202</c:v>
                </c:pt>
                <c:pt idx="1315">
                  <c:v>1203</c:v>
                </c:pt>
                <c:pt idx="1316">
                  <c:v>1204</c:v>
                </c:pt>
                <c:pt idx="1317">
                  <c:v>1205</c:v>
                </c:pt>
                <c:pt idx="1318">
                  <c:v>1206</c:v>
                </c:pt>
                <c:pt idx="1319">
                  <c:v>1207</c:v>
                </c:pt>
                <c:pt idx="1320">
                  <c:v>1208</c:v>
                </c:pt>
                <c:pt idx="1321">
                  <c:v>1209</c:v>
                </c:pt>
                <c:pt idx="1322">
                  <c:v>1210</c:v>
                </c:pt>
                <c:pt idx="1323">
                  <c:v>1211</c:v>
                </c:pt>
                <c:pt idx="1324">
                  <c:v>1212</c:v>
                </c:pt>
                <c:pt idx="1325">
                  <c:v>1213</c:v>
                </c:pt>
                <c:pt idx="1326">
                  <c:v>1214</c:v>
                </c:pt>
                <c:pt idx="1327">
                  <c:v>1215</c:v>
                </c:pt>
                <c:pt idx="1328">
                  <c:v>1216</c:v>
                </c:pt>
                <c:pt idx="1329">
                  <c:v>1217</c:v>
                </c:pt>
                <c:pt idx="1330">
                  <c:v>1218</c:v>
                </c:pt>
                <c:pt idx="1331">
                  <c:v>1219</c:v>
                </c:pt>
                <c:pt idx="1332">
                  <c:v>1220</c:v>
                </c:pt>
                <c:pt idx="1333">
                  <c:v>1221</c:v>
                </c:pt>
                <c:pt idx="1334">
                  <c:v>1222</c:v>
                </c:pt>
                <c:pt idx="1335">
                  <c:v>1223</c:v>
                </c:pt>
                <c:pt idx="1336">
                  <c:v>1224</c:v>
                </c:pt>
                <c:pt idx="1337">
                  <c:v>1225</c:v>
                </c:pt>
                <c:pt idx="1338">
                  <c:v>1226</c:v>
                </c:pt>
                <c:pt idx="1339">
                  <c:v>1227</c:v>
                </c:pt>
                <c:pt idx="1340">
                  <c:v>1228</c:v>
                </c:pt>
                <c:pt idx="1341">
                  <c:v>1229</c:v>
                </c:pt>
                <c:pt idx="1342">
                  <c:v>1230</c:v>
                </c:pt>
                <c:pt idx="1343">
                  <c:v>1231</c:v>
                </c:pt>
                <c:pt idx="1344">
                  <c:v>1232</c:v>
                </c:pt>
                <c:pt idx="1345">
                  <c:v>1233</c:v>
                </c:pt>
                <c:pt idx="1346">
                  <c:v>1234</c:v>
                </c:pt>
                <c:pt idx="1347">
                  <c:v>1235</c:v>
                </c:pt>
                <c:pt idx="1348">
                  <c:v>1236</c:v>
                </c:pt>
                <c:pt idx="1349">
                  <c:v>1237</c:v>
                </c:pt>
                <c:pt idx="1350">
                  <c:v>1238</c:v>
                </c:pt>
                <c:pt idx="1351">
                  <c:v>1239</c:v>
                </c:pt>
                <c:pt idx="1352">
                  <c:v>1240</c:v>
                </c:pt>
                <c:pt idx="1353">
                  <c:v>1241</c:v>
                </c:pt>
                <c:pt idx="1354">
                  <c:v>1242</c:v>
                </c:pt>
                <c:pt idx="1355">
                  <c:v>1243</c:v>
                </c:pt>
                <c:pt idx="1356">
                  <c:v>1244</c:v>
                </c:pt>
                <c:pt idx="1357">
                  <c:v>1245</c:v>
                </c:pt>
                <c:pt idx="1358">
                  <c:v>1246</c:v>
                </c:pt>
                <c:pt idx="1359">
                  <c:v>1247</c:v>
                </c:pt>
                <c:pt idx="1360">
                  <c:v>1248</c:v>
                </c:pt>
                <c:pt idx="1361">
                  <c:v>1249</c:v>
                </c:pt>
                <c:pt idx="1362">
                  <c:v>1250</c:v>
                </c:pt>
                <c:pt idx="1363">
                  <c:v>1251</c:v>
                </c:pt>
                <c:pt idx="1364">
                  <c:v>1252</c:v>
                </c:pt>
                <c:pt idx="1365">
                  <c:v>1253</c:v>
                </c:pt>
                <c:pt idx="1366">
                  <c:v>1254</c:v>
                </c:pt>
                <c:pt idx="1367">
                  <c:v>1255</c:v>
                </c:pt>
                <c:pt idx="1368">
                  <c:v>1256</c:v>
                </c:pt>
                <c:pt idx="1369">
                  <c:v>1257</c:v>
                </c:pt>
                <c:pt idx="1370">
                  <c:v>1258</c:v>
                </c:pt>
                <c:pt idx="1371">
                  <c:v>1259</c:v>
                </c:pt>
                <c:pt idx="1372">
                  <c:v>1260</c:v>
                </c:pt>
                <c:pt idx="1373">
                  <c:v>1261</c:v>
                </c:pt>
                <c:pt idx="1374">
                  <c:v>1262</c:v>
                </c:pt>
                <c:pt idx="1375">
                  <c:v>1263</c:v>
                </c:pt>
                <c:pt idx="1376">
                  <c:v>1264</c:v>
                </c:pt>
                <c:pt idx="1377">
                  <c:v>1265</c:v>
                </c:pt>
                <c:pt idx="1378">
                  <c:v>1266</c:v>
                </c:pt>
                <c:pt idx="1379">
                  <c:v>1267</c:v>
                </c:pt>
                <c:pt idx="1380">
                  <c:v>1268</c:v>
                </c:pt>
                <c:pt idx="1381">
                  <c:v>1269</c:v>
                </c:pt>
                <c:pt idx="1382">
                  <c:v>1270</c:v>
                </c:pt>
                <c:pt idx="1383">
                  <c:v>1271</c:v>
                </c:pt>
                <c:pt idx="1384">
                  <c:v>1272</c:v>
                </c:pt>
                <c:pt idx="1385">
                  <c:v>1273</c:v>
                </c:pt>
                <c:pt idx="1386">
                  <c:v>1274</c:v>
                </c:pt>
                <c:pt idx="1387">
                  <c:v>1275</c:v>
                </c:pt>
                <c:pt idx="1388">
                  <c:v>1276</c:v>
                </c:pt>
                <c:pt idx="1389">
                  <c:v>1277</c:v>
                </c:pt>
                <c:pt idx="1390">
                  <c:v>1278</c:v>
                </c:pt>
                <c:pt idx="1391">
                  <c:v>1279</c:v>
                </c:pt>
                <c:pt idx="1392">
                  <c:v>1280</c:v>
                </c:pt>
                <c:pt idx="1393">
                  <c:v>1281</c:v>
                </c:pt>
                <c:pt idx="1394">
                  <c:v>1282</c:v>
                </c:pt>
                <c:pt idx="1395">
                  <c:v>1283</c:v>
                </c:pt>
                <c:pt idx="1396">
                  <c:v>1284</c:v>
                </c:pt>
                <c:pt idx="1397">
                  <c:v>1285</c:v>
                </c:pt>
                <c:pt idx="1398">
                  <c:v>1286</c:v>
                </c:pt>
                <c:pt idx="1399">
                  <c:v>1287</c:v>
                </c:pt>
                <c:pt idx="1400">
                  <c:v>1288</c:v>
                </c:pt>
                <c:pt idx="1401">
                  <c:v>1289</c:v>
                </c:pt>
                <c:pt idx="1402">
                  <c:v>1290</c:v>
                </c:pt>
                <c:pt idx="1403">
                  <c:v>1291</c:v>
                </c:pt>
                <c:pt idx="1404">
                  <c:v>1292</c:v>
                </c:pt>
                <c:pt idx="1405">
                  <c:v>1293</c:v>
                </c:pt>
                <c:pt idx="1406">
                  <c:v>1294</c:v>
                </c:pt>
                <c:pt idx="1407">
                  <c:v>1295</c:v>
                </c:pt>
                <c:pt idx="1408">
                  <c:v>1296</c:v>
                </c:pt>
                <c:pt idx="1409">
                  <c:v>1297</c:v>
                </c:pt>
                <c:pt idx="1410">
                  <c:v>1298</c:v>
                </c:pt>
                <c:pt idx="1411">
                  <c:v>1299</c:v>
                </c:pt>
                <c:pt idx="1412">
                  <c:v>1300</c:v>
                </c:pt>
                <c:pt idx="1413">
                  <c:v>1301</c:v>
                </c:pt>
                <c:pt idx="1414">
                  <c:v>1302</c:v>
                </c:pt>
                <c:pt idx="1415">
                  <c:v>1303</c:v>
                </c:pt>
                <c:pt idx="1416">
                  <c:v>1304</c:v>
                </c:pt>
                <c:pt idx="1417">
                  <c:v>1305</c:v>
                </c:pt>
                <c:pt idx="1418">
                  <c:v>1306</c:v>
                </c:pt>
                <c:pt idx="1419">
                  <c:v>1307</c:v>
                </c:pt>
                <c:pt idx="1420">
                  <c:v>1308</c:v>
                </c:pt>
                <c:pt idx="1421">
                  <c:v>1309</c:v>
                </c:pt>
                <c:pt idx="1422">
                  <c:v>1310</c:v>
                </c:pt>
                <c:pt idx="1423">
                  <c:v>1311</c:v>
                </c:pt>
                <c:pt idx="1424">
                  <c:v>1312</c:v>
                </c:pt>
                <c:pt idx="1425">
                  <c:v>1313</c:v>
                </c:pt>
                <c:pt idx="1426">
                  <c:v>1314</c:v>
                </c:pt>
                <c:pt idx="1427">
                  <c:v>1315</c:v>
                </c:pt>
                <c:pt idx="1428">
                  <c:v>1316</c:v>
                </c:pt>
                <c:pt idx="1429">
                  <c:v>1317</c:v>
                </c:pt>
                <c:pt idx="1430">
                  <c:v>1318</c:v>
                </c:pt>
                <c:pt idx="1431">
                  <c:v>1319</c:v>
                </c:pt>
                <c:pt idx="1432">
                  <c:v>1320</c:v>
                </c:pt>
                <c:pt idx="1433">
                  <c:v>1321</c:v>
                </c:pt>
                <c:pt idx="1434">
                  <c:v>1322</c:v>
                </c:pt>
                <c:pt idx="1435">
                  <c:v>1323</c:v>
                </c:pt>
                <c:pt idx="1436">
                  <c:v>1324</c:v>
                </c:pt>
                <c:pt idx="1437">
                  <c:v>1325</c:v>
                </c:pt>
                <c:pt idx="1438">
                  <c:v>1326</c:v>
                </c:pt>
                <c:pt idx="1439">
                  <c:v>1327</c:v>
                </c:pt>
                <c:pt idx="1440">
                  <c:v>1328</c:v>
                </c:pt>
                <c:pt idx="1441">
                  <c:v>1329</c:v>
                </c:pt>
                <c:pt idx="1442">
                  <c:v>1330</c:v>
                </c:pt>
                <c:pt idx="1443">
                  <c:v>1331</c:v>
                </c:pt>
                <c:pt idx="1444">
                  <c:v>1332</c:v>
                </c:pt>
                <c:pt idx="1445">
                  <c:v>1333</c:v>
                </c:pt>
                <c:pt idx="1446">
                  <c:v>1334</c:v>
                </c:pt>
                <c:pt idx="1447">
                  <c:v>1335</c:v>
                </c:pt>
                <c:pt idx="1448">
                  <c:v>1336</c:v>
                </c:pt>
                <c:pt idx="1449">
                  <c:v>1337</c:v>
                </c:pt>
                <c:pt idx="1450">
                  <c:v>1338</c:v>
                </c:pt>
                <c:pt idx="1451">
                  <c:v>1339</c:v>
                </c:pt>
                <c:pt idx="1452">
                  <c:v>1340</c:v>
                </c:pt>
                <c:pt idx="1453">
                  <c:v>1341</c:v>
                </c:pt>
                <c:pt idx="1454">
                  <c:v>1342</c:v>
                </c:pt>
                <c:pt idx="1455">
                  <c:v>1343</c:v>
                </c:pt>
                <c:pt idx="1456">
                  <c:v>1344</c:v>
                </c:pt>
                <c:pt idx="1457">
                  <c:v>1345</c:v>
                </c:pt>
                <c:pt idx="1458">
                  <c:v>1346</c:v>
                </c:pt>
                <c:pt idx="1459">
                  <c:v>1347</c:v>
                </c:pt>
                <c:pt idx="1460">
                  <c:v>1348</c:v>
                </c:pt>
                <c:pt idx="1461">
                  <c:v>1349</c:v>
                </c:pt>
                <c:pt idx="1462">
                  <c:v>1350</c:v>
                </c:pt>
                <c:pt idx="1463">
                  <c:v>1351</c:v>
                </c:pt>
                <c:pt idx="1464">
                  <c:v>1352</c:v>
                </c:pt>
                <c:pt idx="1465">
                  <c:v>1353</c:v>
                </c:pt>
                <c:pt idx="1466">
                  <c:v>1354</c:v>
                </c:pt>
                <c:pt idx="1467">
                  <c:v>1355</c:v>
                </c:pt>
                <c:pt idx="1468">
                  <c:v>1356</c:v>
                </c:pt>
                <c:pt idx="1469">
                  <c:v>1357</c:v>
                </c:pt>
                <c:pt idx="1470">
                  <c:v>1358</c:v>
                </c:pt>
                <c:pt idx="1471">
                  <c:v>1359</c:v>
                </c:pt>
                <c:pt idx="1472">
                  <c:v>1360</c:v>
                </c:pt>
                <c:pt idx="1473">
                  <c:v>1361</c:v>
                </c:pt>
                <c:pt idx="1474">
                  <c:v>1362</c:v>
                </c:pt>
                <c:pt idx="1475">
                  <c:v>1363</c:v>
                </c:pt>
                <c:pt idx="1476">
                  <c:v>1364</c:v>
                </c:pt>
                <c:pt idx="1477">
                  <c:v>1365</c:v>
                </c:pt>
                <c:pt idx="1478">
                  <c:v>1366</c:v>
                </c:pt>
                <c:pt idx="1479">
                  <c:v>1367</c:v>
                </c:pt>
                <c:pt idx="1480">
                  <c:v>1368</c:v>
                </c:pt>
                <c:pt idx="1481">
                  <c:v>1369</c:v>
                </c:pt>
                <c:pt idx="1482">
                  <c:v>1370</c:v>
                </c:pt>
                <c:pt idx="1483">
                  <c:v>1371</c:v>
                </c:pt>
                <c:pt idx="1484">
                  <c:v>1372</c:v>
                </c:pt>
                <c:pt idx="1485">
                  <c:v>1373</c:v>
                </c:pt>
                <c:pt idx="1486">
                  <c:v>1374</c:v>
                </c:pt>
                <c:pt idx="1487">
                  <c:v>1375</c:v>
                </c:pt>
                <c:pt idx="1488">
                  <c:v>1376</c:v>
                </c:pt>
                <c:pt idx="1489">
                  <c:v>1377</c:v>
                </c:pt>
                <c:pt idx="1490">
                  <c:v>1378</c:v>
                </c:pt>
                <c:pt idx="1491">
                  <c:v>1379</c:v>
                </c:pt>
                <c:pt idx="1492">
                  <c:v>1380</c:v>
                </c:pt>
                <c:pt idx="1493">
                  <c:v>1381</c:v>
                </c:pt>
                <c:pt idx="1494">
                  <c:v>1382</c:v>
                </c:pt>
                <c:pt idx="1495">
                  <c:v>1383</c:v>
                </c:pt>
                <c:pt idx="1496">
                  <c:v>1384</c:v>
                </c:pt>
                <c:pt idx="1497">
                  <c:v>1385</c:v>
                </c:pt>
                <c:pt idx="1498">
                  <c:v>1386</c:v>
                </c:pt>
                <c:pt idx="1499">
                  <c:v>1387</c:v>
                </c:pt>
                <c:pt idx="1500">
                  <c:v>1388</c:v>
                </c:pt>
                <c:pt idx="1501">
                  <c:v>1389</c:v>
                </c:pt>
                <c:pt idx="1502">
                  <c:v>1390</c:v>
                </c:pt>
                <c:pt idx="1503">
                  <c:v>1391</c:v>
                </c:pt>
                <c:pt idx="1504">
                  <c:v>1392</c:v>
                </c:pt>
                <c:pt idx="1505">
                  <c:v>1393</c:v>
                </c:pt>
                <c:pt idx="1506">
                  <c:v>1394</c:v>
                </c:pt>
                <c:pt idx="1507">
                  <c:v>1395</c:v>
                </c:pt>
                <c:pt idx="1508">
                  <c:v>1396</c:v>
                </c:pt>
                <c:pt idx="1509">
                  <c:v>1397</c:v>
                </c:pt>
                <c:pt idx="1510">
                  <c:v>1398</c:v>
                </c:pt>
                <c:pt idx="1511">
                  <c:v>1399</c:v>
                </c:pt>
                <c:pt idx="1512">
                  <c:v>1400</c:v>
                </c:pt>
                <c:pt idx="1513">
                  <c:v>1401</c:v>
                </c:pt>
                <c:pt idx="1514">
                  <c:v>1402</c:v>
                </c:pt>
                <c:pt idx="1515">
                  <c:v>1403</c:v>
                </c:pt>
                <c:pt idx="1516">
                  <c:v>1404</c:v>
                </c:pt>
                <c:pt idx="1517">
                  <c:v>1405</c:v>
                </c:pt>
                <c:pt idx="1518">
                  <c:v>1406</c:v>
                </c:pt>
                <c:pt idx="1519">
                  <c:v>1407</c:v>
                </c:pt>
                <c:pt idx="1520">
                  <c:v>1408</c:v>
                </c:pt>
                <c:pt idx="1521">
                  <c:v>1409</c:v>
                </c:pt>
                <c:pt idx="1522">
                  <c:v>1410</c:v>
                </c:pt>
                <c:pt idx="1523">
                  <c:v>1411</c:v>
                </c:pt>
                <c:pt idx="1524">
                  <c:v>1412</c:v>
                </c:pt>
                <c:pt idx="1525">
                  <c:v>1413</c:v>
                </c:pt>
                <c:pt idx="1526">
                  <c:v>1414</c:v>
                </c:pt>
                <c:pt idx="1527">
                  <c:v>1415</c:v>
                </c:pt>
                <c:pt idx="1528">
                  <c:v>1416</c:v>
                </c:pt>
                <c:pt idx="1529">
                  <c:v>1417</c:v>
                </c:pt>
                <c:pt idx="1530">
                  <c:v>1418</c:v>
                </c:pt>
                <c:pt idx="1531">
                  <c:v>1419</c:v>
                </c:pt>
                <c:pt idx="1532">
                  <c:v>1420</c:v>
                </c:pt>
                <c:pt idx="1533">
                  <c:v>1421</c:v>
                </c:pt>
                <c:pt idx="1534">
                  <c:v>1422</c:v>
                </c:pt>
                <c:pt idx="1535">
                  <c:v>1423</c:v>
                </c:pt>
                <c:pt idx="1536">
                  <c:v>1424</c:v>
                </c:pt>
                <c:pt idx="1537">
                  <c:v>1425</c:v>
                </c:pt>
                <c:pt idx="1538">
                  <c:v>1426</c:v>
                </c:pt>
                <c:pt idx="1539">
                  <c:v>1427</c:v>
                </c:pt>
                <c:pt idx="1540">
                  <c:v>1428</c:v>
                </c:pt>
                <c:pt idx="1541">
                  <c:v>1429</c:v>
                </c:pt>
                <c:pt idx="1542">
                  <c:v>1430</c:v>
                </c:pt>
                <c:pt idx="1543">
                  <c:v>1431</c:v>
                </c:pt>
                <c:pt idx="1544">
                  <c:v>1432</c:v>
                </c:pt>
                <c:pt idx="1545">
                  <c:v>1433</c:v>
                </c:pt>
                <c:pt idx="1546">
                  <c:v>1434</c:v>
                </c:pt>
                <c:pt idx="1547">
                  <c:v>1435</c:v>
                </c:pt>
                <c:pt idx="1548">
                  <c:v>1436</c:v>
                </c:pt>
                <c:pt idx="1549">
                  <c:v>1437</c:v>
                </c:pt>
                <c:pt idx="1550">
                  <c:v>1438</c:v>
                </c:pt>
                <c:pt idx="1551">
                  <c:v>1439</c:v>
                </c:pt>
                <c:pt idx="1552">
                  <c:v>1440</c:v>
                </c:pt>
                <c:pt idx="1553">
                  <c:v>1441</c:v>
                </c:pt>
                <c:pt idx="1554">
                  <c:v>1442</c:v>
                </c:pt>
                <c:pt idx="1555">
                  <c:v>1443</c:v>
                </c:pt>
                <c:pt idx="1556">
                  <c:v>1444</c:v>
                </c:pt>
                <c:pt idx="1557">
                  <c:v>1445</c:v>
                </c:pt>
                <c:pt idx="1558">
                  <c:v>1446</c:v>
                </c:pt>
                <c:pt idx="1559">
                  <c:v>1447</c:v>
                </c:pt>
                <c:pt idx="1560">
                  <c:v>1448</c:v>
                </c:pt>
                <c:pt idx="1561">
                  <c:v>1449</c:v>
                </c:pt>
                <c:pt idx="1562">
                  <c:v>1450</c:v>
                </c:pt>
                <c:pt idx="1563">
                  <c:v>1451</c:v>
                </c:pt>
                <c:pt idx="1564">
                  <c:v>1452</c:v>
                </c:pt>
                <c:pt idx="1565">
                  <c:v>1453</c:v>
                </c:pt>
                <c:pt idx="1566">
                  <c:v>1454</c:v>
                </c:pt>
                <c:pt idx="1567">
                  <c:v>1455</c:v>
                </c:pt>
                <c:pt idx="1568">
                  <c:v>1456</c:v>
                </c:pt>
                <c:pt idx="1569">
                  <c:v>1457</c:v>
                </c:pt>
                <c:pt idx="1570">
                  <c:v>1458</c:v>
                </c:pt>
                <c:pt idx="1571">
                  <c:v>1459</c:v>
                </c:pt>
                <c:pt idx="1572">
                  <c:v>1460</c:v>
                </c:pt>
                <c:pt idx="1573">
                  <c:v>1461</c:v>
                </c:pt>
                <c:pt idx="1574">
                  <c:v>1462</c:v>
                </c:pt>
                <c:pt idx="1575">
                  <c:v>1463</c:v>
                </c:pt>
                <c:pt idx="1576">
                  <c:v>1464</c:v>
                </c:pt>
                <c:pt idx="1577">
                  <c:v>1465</c:v>
                </c:pt>
                <c:pt idx="1578">
                  <c:v>1466</c:v>
                </c:pt>
                <c:pt idx="1579">
                  <c:v>1467</c:v>
                </c:pt>
                <c:pt idx="1580">
                  <c:v>1468</c:v>
                </c:pt>
                <c:pt idx="1581">
                  <c:v>1469</c:v>
                </c:pt>
                <c:pt idx="1582">
                  <c:v>1470</c:v>
                </c:pt>
                <c:pt idx="1583">
                  <c:v>1471</c:v>
                </c:pt>
                <c:pt idx="1584">
                  <c:v>1472</c:v>
                </c:pt>
                <c:pt idx="1585">
                  <c:v>1473</c:v>
                </c:pt>
                <c:pt idx="1586">
                  <c:v>1474</c:v>
                </c:pt>
                <c:pt idx="1587">
                  <c:v>1475</c:v>
                </c:pt>
                <c:pt idx="1588">
                  <c:v>1476</c:v>
                </c:pt>
                <c:pt idx="1589">
                  <c:v>1477</c:v>
                </c:pt>
                <c:pt idx="1590">
                  <c:v>1478</c:v>
                </c:pt>
                <c:pt idx="1591">
                  <c:v>1479</c:v>
                </c:pt>
                <c:pt idx="1592">
                  <c:v>1480</c:v>
                </c:pt>
                <c:pt idx="1593">
                  <c:v>1481</c:v>
                </c:pt>
                <c:pt idx="1594">
                  <c:v>1482</c:v>
                </c:pt>
                <c:pt idx="1595">
                  <c:v>1483</c:v>
                </c:pt>
                <c:pt idx="1596">
                  <c:v>1484</c:v>
                </c:pt>
                <c:pt idx="1597">
                  <c:v>1485</c:v>
                </c:pt>
                <c:pt idx="1598">
                  <c:v>1486</c:v>
                </c:pt>
                <c:pt idx="1599">
                  <c:v>1487</c:v>
                </c:pt>
                <c:pt idx="1600">
                  <c:v>1488</c:v>
                </c:pt>
                <c:pt idx="1601">
                  <c:v>1489</c:v>
                </c:pt>
                <c:pt idx="1602">
                  <c:v>1490</c:v>
                </c:pt>
                <c:pt idx="1603">
                  <c:v>1491</c:v>
                </c:pt>
                <c:pt idx="1604">
                  <c:v>1492</c:v>
                </c:pt>
                <c:pt idx="1605">
                  <c:v>1493</c:v>
                </c:pt>
                <c:pt idx="1606">
                  <c:v>1494</c:v>
                </c:pt>
                <c:pt idx="1607">
                  <c:v>1495</c:v>
                </c:pt>
                <c:pt idx="1608">
                  <c:v>1496</c:v>
                </c:pt>
                <c:pt idx="1609">
                  <c:v>1497</c:v>
                </c:pt>
                <c:pt idx="1610">
                  <c:v>1498</c:v>
                </c:pt>
                <c:pt idx="1611">
                  <c:v>1499</c:v>
                </c:pt>
                <c:pt idx="1612">
                  <c:v>1500</c:v>
                </c:pt>
                <c:pt idx="1613">
                  <c:v>1501</c:v>
                </c:pt>
                <c:pt idx="1614">
                  <c:v>1502</c:v>
                </c:pt>
                <c:pt idx="1615">
                  <c:v>1503</c:v>
                </c:pt>
                <c:pt idx="1616">
                  <c:v>1504</c:v>
                </c:pt>
                <c:pt idx="1617">
                  <c:v>1505</c:v>
                </c:pt>
                <c:pt idx="1618">
                  <c:v>1506</c:v>
                </c:pt>
                <c:pt idx="1619">
                  <c:v>1507</c:v>
                </c:pt>
                <c:pt idx="1620">
                  <c:v>1508</c:v>
                </c:pt>
                <c:pt idx="1621">
                  <c:v>1509</c:v>
                </c:pt>
                <c:pt idx="1622">
                  <c:v>1510</c:v>
                </c:pt>
                <c:pt idx="1623">
                  <c:v>1511</c:v>
                </c:pt>
                <c:pt idx="1624">
                  <c:v>1512</c:v>
                </c:pt>
                <c:pt idx="1625">
                  <c:v>1513</c:v>
                </c:pt>
                <c:pt idx="1626">
                  <c:v>1514</c:v>
                </c:pt>
                <c:pt idx="1627">
                  <c:v>1515</c:v>
                </c:pt>
                <c:pt idx="1628">
                  <c:v>1516</c:v>
                </c:pt>
                <c:pt idx="1629">
                  <c:v>1517</c:v>
                </c:pt>
                <c:pt idx="1630">
                  <c:v>1518</c:v>
                </c:pt>
                <c:pt idx="1631">
                  <c:v>1519</c:v>
                </c:pt>
                <c:pt idx="1632">
                  <c:v>1520</c:v>
                </c:pt>
                <c:pt idx="1633">
                  <c:v>1521</c:v>
                </c:pt>
                <c:pt idx="1634">
                  <c:v>1522</c:v>
                </c:pt>
                <c:pt idx="1635">
                  <c:v>1523</c:v>
                </c:pt>
                <c:pt idx="1636">
                  <c:v>1524</c:v>
                </c:pt>
                <c:pt idx="1637">
                  <c:v>1525</c:v>
                </c:pt>
                <c:pt idx="1638">
                  <c:v>1526</c:v>
                </c:pt>
                <c:pt idx="1639">
                  <c:v>1527</c:v>
                </c:pt>
                <c:pt idx="1640">
                  <c:v>1528</c:v>
                </c:pt>
                <c:pt idx="1641">
                  <c:v>1529</c:v>
                </c:pt>
                <c:pt idx="1642">
                  <c:v>1530</c:v>
                </c:pt>
                <c:pt idx="1643">
                  <c:v>1531</c:v>
                </c:pt>
                <c:pt idx="1644">
                  <c:v>1532</c:v>
                </c:pt>
              </c:numCache>
            </c:numRef>
          </c:xVal>
          <c:yVal>
            <c:numRef>
              <c:f>data!$O$3:$O$4454</c:f>
              <c:numCache>
                <c:formatCode>0.00E+00</c:formatCode>
                <c:ptCount val="4452"/>
                <c:pt idx="0" formatCode="General">
                  <c:v>1</c:v>
                </c:pt>
                <c:pt idx="1">
                  <c:v>1.0006165827862317</c:v>
                </c:pt>
                <c:pt idx="2">
                  <c:v>1.0006781277671473</c:v>
                </c:pt>
                <c:pt idx="3">
                  <c:v>1.0007458148231148</c:v>
                </c:pt>
                <c:pt idx="4">
                  <c:v>1.0008202555594299</c:v>
                </c:pt>
                <c:pt idx="5">
                  <c:v>1.0009021221976413</c:v>
                </c:pt>
                <c:pt idx="6">
                  <c:v>1.0009921535235997</c:v>
                </c:pt>
                <c:pt idx="7">
                  <c:v>1.0010911614066969</c:v>
                </c:pt>
                <c:pt idx="8">
                  <c:v>1.0012000379425352</c:v>
                </c:pt>
                <c:pt idx="9">
                  <c:v>1.0013197632754876</c:v>
                </c:pt>
                <c:pt idx="10">
                  <c:v>1.0014514141620576</c:v>
                </c:pt>
                <c:pt idx="11">
                  <c:v>1.0015961733405954</c:v>
                </c:pt>
                <c:pt idx="12">
                  <c:v>1.0017553397777494</c:v>
                </c:pt>
                <c:pt idx="13">
                  <c:v>1.0019303398670001</c:v>
                </c:pt>
                <c:pt idx="14">
                  <c:v>1.0021227396596677</c:v>
                </c:pt>
                <c:pt idx="15">
                  <c:v>1.0023342582138555</c:v>
                </c:pt>
                <c:pt idx="16">
                  <c:v>1.0025667821517799</c:v>
                </c:pt>
                <c:pt idx="17">
                  <c:v>1.0028223815207431</c:v>
                </c:pt>
                <c:pt idx="18">
                  <c:v>1.0031033270574765</c:v>
                </c:pt>
                <c:pt idx="19">
                  <c:v>1.0034121089595363</c:v>
                </c:pt>
                <c:pt idx="20">
                  <c:v>1.0037514572706585</c:v>
                </c:pt>
                <c:pt idx="21">
                  <c:v>1.0041243639891975</c:v>
                </c:pt>
                <c:pt idx="22">
                  <c:v>1.0045341070096576</c:v>
                </c:pt>
                <c:pt idx="23">
                  <c:v>1.0049842760065064</c:v>
                </c:pt>
                <c:pt idx="24">
                  <c:v>1.005478800366443</c:v>
                </c:pt>
                <c:pt idx="25">
                  <c:v>1.006021979269579</c:v>
                </c:pt>
                <c:pt idx="26">
                  <c:v>1.0066185140109223</c:v>
                </c:pt>
                <c:pt idx="27">
                  <c:v>1.0072735426404216</c:v>
                </c:pt>
                <c:pt idx="28">
                  <c:v>1.0079926769818264</c:v>
                </c:pt>
                <c:pt idx="29">
                  <c:v>1.0087820420668037</c:v>
                </c:pt>
                <c:pt idx="30">
                  <c:v>1.0096483179901481</c:v>
                </c:pt>
                <c:pt idx="31">
                  <c:v>1.0105987841534034</c:v>
                </c:pt>
                <c:pt idx="32">
                  <c:v>1.0116413658166503</c:v>
                </c:pt>
                <c:pt idx="33">
                  <c:v>1.0127846828204039</c:v>
                </c:pt>
                <c:pt idx="34">
                  <c:v>1.0140381002703478</c:v>
                </c:pt>
                <c:pt idx="35">
                  <c:v>1.0154117808959231</c:v>
                </c:pt>
                <c:pt idx="36">
                  <c:v>1.0169167386986862</c:v>
                </c:pt>
                <c:pt idx="37">
                  <c:v>1.0185648933972411</c:v>
                </c:pt>
                <c:pt idx="38">
                  <c:v>1.0203691250522624</c:v>
                </c:pt>
                <c:pt idx="39">
                  <c:v>1.0223433281181085</c:v>
                </c:pt>
                <c:pt idx="40">
                  <c:v>1.0245024640180604</c:v>
                </c:pt>
                <c:pt idx="41">
                  <c:v>1.0268626111806354</c:v>
                </c:pt>
                <c:pt idx="42">
                  <c:v>1.0294410113083861</c:v>
                </c:pt>
                <c:pt idx="43">
                  <c:v>1.0322561104833128</c:v>
                </c:pt>
                <c:pt idx="44">
                  <c:v>1.0353275935515005</c:v>
                </c:pt>
                <c:pt idx="45">
                  <c:v>1.038676410082829</c:v>
                </c:pt>
                <c:pt idx="46">
                  <c:v>1.0423247900805981</c:v>
                </c:pt>
                <c:pt idx="47">
                  <c:v>1.0462962475336248</c:v>
                </c:pt>
                <c:pt idx="48">
                  <c:v>1.0506155698744202</c:v>
                </c:pt>
                <c:pt idx="49">
                  <c:v>1.0553087914471577</c:v>
                </c:pt>
                <c:pt idx="50">
                  <c:v>1.0604031492141881</c:v>
                </c:pt>
                <c:pt idx="51">
                  <c:v>1.0659270191547303</c:v>
                </c:pt>
                <c:pt idx="52">
                  <c:v>1.071909832146317</c:v>
                </c:pt>
                <c:pt idx="53">
                  <c:v>1.0783819685763651</c:v>
                </c:pt>
                <c:pt idx="54">
                  <c:v>1.0853746315091688</c:v>
                </c:pt>
                <c:pt idx="55">
                  <c:v>1.0929196989254268</c:v>
                </c:pt>
                <c:pt idx="56">
                  <c:v>1.1010495563397866</c:v>
                </c:pt>
                <c:pt idx="57">
                  <c:v>1.109796911958228</c:v>
                </c:pt>
                <c:pt idx="58">
                  <c:v>1.1191945974216624</c:v>
                </c:pt>
                <c:pt idx="59">
                  <c:v>1.1292753580450476</c:v>
                </c:pt>
                <c:pt idx="60">
                  <c:v>1.1400716372454964</c:v>
                </c:pt>
                <c:pt idx="61">
                  <c:v>1.1516153604978949</c:v>
                </c:pt>
                <c:pt idx="62">
                  <c:v>1.1639377246042772</c:v>
                </c:pt>
                <c:pt idx="63">
                  <c:v>1.1770689982636333</c:v>
                </c:pt>
                <c:pt idx="64">
                  <c:v>1.1910383398463342</c:v>
                </c:pt>
                <c:pt idx="65">
                  <c:v>1.2058736378958566</c:v>
                </c:pt>
                <c:pt idx="66">
                  <c:v>1.2216013792069347</c:v>
                </c:pt>
                <c:pt idx="67">
                  <c:v>1.2382465483947418</c:v>
                </c:pt>
                <c:pt idx="68">
                  <c:v>1.2558325617276649</c:v>
                </c:pt>
                <c:pt idx="69">
                  <c:v>1.2743812367180234</c:v>
                </c:pt>
                <c:pt idx="70">
                  <c:v>1.2939127976331901</c:v>
                </c:pt>
                <c:pt idx="71">
                  <c:v>1.3144459157895503</c:v>
                </c:pt>
                <c:pt idx="72">
                  <c:v>1.3359977823038496</c:v>
                </c:pt>
                <c:pt idx="73">
                  <c:v>1.3585842099683272</c:v>
                </c:pt>
                <c:pt idx="74">
                  <c:v>1.3822197601368882</c:v>
                </c:pt>
                <c:pt idx="75">
                  <c:v>1.406917889987408</c:v>
                </c:pt>
                <c:pt idx="76">
                  <c:v>1.4326911152661528</c:v>
                </c:pt>
                <c:pt idx="77">
                  <c:v>1.4595511836104873</c:v>
                </c:pt>
                <c:pt idx="78">
                  <c:v>1.4875092537556263</c:v>
                </c:pt>
                <c:pt idx="79">
                  <c:v>1.5165760763191398</c:v>
                </c:pt>
                <c:pt idx="80">
                  <c:v>1.5467621723762124</c:v>
                </c:pt>
                <c:pt idx="81">
                  <c:v>1.5780780066412505</c:v>
                </c:pt>
                <c:pt idx="82">
                  <c:v>1.6105341527122896</c:v>
                </c:pt>
                <c:pt idx="83">
                  <c:v>1.644141448474663</c:v>
                </c:pt>
                <c:pt idx="84">
                  <c:v>1.6789111403682255</c:v>
                </c:pt>
                <c:pt idx="85">
                  <c:v>1.7148550157750444</c:v>
                </c:pt>
                <c:pt idx="86">
                  <c:v>1.7519855232670913</c:v>
                </c:pt>
                <c:pt idx="87">
                  <c:v>1.7903158808585287</c:v>
                </c:pt>
                <c:pt idx="88">
                  <c:v>1.8298601727332497</c:v>
                </c:pt>
                <c:pt idx="89">
                  <c:v>1.8706334351685634</c:v>
                </c:pt>
                <c:pt idx="90">
                  <c:v>1.9126517325568055</c:v>
                </c:pt>
                <c:pt idx="91">
                  <c:v>1.9559322245466799</c:v>
                </c:pt>
                <c:pt idx="92">
                  <c:v>2.0004932253947558</c:v>
                </c:pt>
                <c:pt idx="93">
                  <c:v>2.0463542566444035</c:v>
                </c:pt>
                <c:pt idx="94">
                  <c:v>2.0935360942437349</c:v>
                </c:pt>
                <c:pt idx="95">
                  <c:v>2.1420608111842081</c:v>
                </c:pt>
                <c:pt idx="96">
                  <c:v>2.1919518166948131</c:v>
                </c:pt>
                <c:pt idx="97">
                  <c:v>2.2432338929694113</c:v>
                </c:pt>
                <c:pt idx="98">
                  <c:v>2.2959332303419622</c:v>
                </c:pt>
                <c:pt idx="99">
                  <c:v>2.3500774617601272</c:v>
                </c:pt>
                <c:pt idx="100">
                  <c:v>2.4056956973452581</c:v>
                </c:pt>
                <c:pt idx="101">
                  <c:v>2.4628185597683792</c:v>
                </c:pt>
                <c:pt idx="102">
                  <c:v>2.5214782211192155</c:v>
                </c:pt>
                <c:pt idx="103">
                  <c:v>2.5817084418997078</c:v>
                </c:pt>
                <c:pt idx="104">
                  <c:v>2.6435446127356079</c:v>
                </c:pt>
                <c:pt idx="105">
                  <c:v>2.7070237993700745</c:v>
                </c:pt>
                <c:pt idx="106">
                  <c:v>2.7721847914819566</c:v>
                </c:pt>
                <c:pt idx="107">
                  <c:v>2.8390681558587425</c:v>
                </c:pt>
                <c:pt idx="108">
                  <c:v>2.9077162944500192</c:v>
                </c:pt>
                <c:pt idx="109">
                  <c:v>2.9781735078316891</c:v>
                </c:pt>
                <c:pt idx="110">
                  <c:v>3.0504860646242058</c:v>
                </c:pt>
                <c:pt idx="111">
                  <c:v>3.1247022774297495</c:v>
                </c:pt>
                <c:pt idx="112">
                  <c:v>3.2008725858837326</c:v>
                </c:pt>
                <c:pt idx="113">
                  <c:v>3.279049647455599</c:v>
                </c:pt>
                <c:pt idx="114">
                  <c:v>3.3592884366828972</c:v>
                </c:pt>
                <c:pt idx="115">
                  <c:v>3.4416463535816724</c:v>
                </c:pt>
                <c:pt idx="116">
                  <c:v>3.526183342046012</c:v>
                </c:pt>
                <c:pt idx="117">
                  <c:v>3.6129620191310319</c:v>
                </c:pt>
                <c:pt idx="118">
                  <c:v>3.7020478162078501</c:v>
                </c:pt>
                <c:pt idx="119">
                  <c:v>3.7935091330875683</c:v>
                </c:pt>
                <c:pt idx="120">
                  <c:v>3.8874175063356735</c:v>
                </c:pt>
                <c:pt idx="121">
                  <c:v>3.9838477931406331</c:v>
                </c:pt>
                <c:pt idx="122">
                  <c:v>4.0617285384140089</c:v>
                </c:pt>
                <c:pt idx="123">
                  <c:v>4.1629218721736239</c:v>
                </c:pt>
                <c:pt idx="124">
                  <c:v>4.2574137054777381</c:v>
                </c:pt>
                <c:pt idx="125">
                  <c:v>4.3462033136284557</c:v>
                </c:pt>
                <c:pt idx="126">
                  <c:v>4.4300717609333899</c:v>
                </c:pt>
                <c:pt idx="127">
                  <c:v>4.5096425276942336</c:v>
                </c:pt>
                <c:pt idx="128">
                  <c:v>4.5854221737625966</c:v>
                </c:pt>
                <c:pt idx="129">
                  <c:v>4.6578285079309483</c:v>
                </c:pt>
                <c:pt idx="130">
                  <c:v>4.727210643361345</c:v>
                </c:pt>
                <c:pt idx="131">
                  <c:v>4.7938636154952272</c:v>
                </c:pt>
                <c:pt idx="132">
                  <c:v>4.8580392561477481</c:v>
                </c:pt>
                <c:pt idx="133">
                  <c:v>4.9199544285132664</c:v>
                </c:pt>
                <c:pt idx="134">
                  <c:v>4.9797973629249546</c:v>
                </c:pt>
                <c:pt idx="135">
                  <c:v>5.037732600506434</c:v>
                </c:pt>
                <c:pt idx="136">
                  <c:v>5.0939048995967084</c:v>
                </c:pt>
                <c:pt idx="137">
                  <c:v>5.1484423579143757</c:v>
                </c:pt>
                <c:pt idx="138">
                  <c:v>5.2014589338021766</c:v>
                </c:pt>
                <c:pt idx="139">
                  <c:v>5.2530565014446946</c:v>
                </c:pt>
                <c:pt idx="140">
                  <c:v>5.3033265406729848</c:v>
                </c:pt>
                <c:pt idx="141">
                  <c:v>5.3523515373452089</c:v>
                </c:pt>
                <c:pt idx="142">
                  <c:v>5.4002061523557465</c:v>
                </c:pt>
                <c:pt idx="143">
                  <c:v>5.4469582040926516</c:v>
                </c:pt>
                <c:pt idx="144">
                  <c:v>5.4926694992857445</c:v>
                </c:pt>
                <c:pt idx="145">
                  <c:v>5.5373965397339378</c:v>
                </c:pt>
                <c:pt idx="146">
                  <c:v>5.5811911267188208</c:v>
                </c:pt>
                <c:pt idx="147">
                  <c:v>5.6241008805400181</c:v>
                </c:pt>
                <c:pt idx="148">
                  <c:v>5.6661696892147848</c:v>
                </c:pt>
                <c:pt idx="149">
                  <c:v>5.707438097729125</c:v>
                </c:pt>
                <c:pt idx="150">
                  <c:v>5.7479436471339769</c:v>
                </c:pt>
                <c:pt idx="151">
                  <c:v>5.7877211711171173</c:v>
                </c:pt>
                <c:pt idx="152">
                  <c:v>5.8268030563517321</c:v>
                </c:pt>
                <c:pt idx="153">
                  <c:v>5.8652194718525834</c:v>
                </c:pt>
                <c:pt idx="154">
                  <c:v>5.9029985717044271</c:v>
                </c:pt>
                <c:pt idx="155">
                  <c:v>5.9401666748220219</c:v>
                </c:pt>
                <c:pt idx="156">
                  <c:v>5.9767484248236959</c:v>
                </c:pt>
                <c:pt idx="157">
                  <c:v>6.0127669326254143</c:v>
                </c:pt>
                <c:pt idx="158">
                  <c:v>6.0482439039695031</c:v>
                </c:pt>
                <c:pt idx="159">
                  <c:v>6.0831997537759781</c:v>
                </c:pt>
                <c:pt idx="160">
                  <c:v>6.1176537089322434</c:v>
                </c:pt>
                <c:pt idx="161">
                  <c:v>6.151623900908926</c:v>
                </c:pt>
                <c:pt idx="162">
                  <c:v>6.1851274493978217</c:v>
                </c:pt>
                <c:pt idx="163">
                  <c:v>6.2181805380059831</c:v>
                </c:pt>
                <c:pt idx="164">
                  <c:v>6.2507984829027654</c:v>
                </c:pt>
                <c:pt idx="165">
                  <c:v>6.2829957951999322</c:v>
                </c:pt>
                <c:pt idx="166">
                  <c:v>6.3147862377453405</c:v>
                </c:pt>
                <c:pt idx="167">
                  <c:v>6.3461828769255</c:v>
                </c:pt>
                <c:pt idx="168">
                  <c:v>6.3771981299990781</c:v>
                </c:pt>
                <c:pt idx="169">
                  <c:v>6.4078438084204192</c:v>
                </c:pt>
                <c:pt idx="170">
                  <c:v>6.4381311575576792</c:v>
                </c:pt>
                <c:pt idx="171">
                  <c:v>6.468070893163028</c:v>
                </c:pt>
                <c:pt idx="172">
                  <c:v>6.4976732349114394</c:v>
                </c:pt>
                <c:pt idx="173">
                  <c:v>6.5269479372889396</c:v>
                </c:pt>
                <c:pt idx="174">
                  <c:v>6.5559043180800662</c:v>
                </c:pt>
                <c:pt idx="175">
                  <c:v>6.5845512846770982</c:v>
                </c:pt>
                <c:pt idx="176">
                  <c:v>6.6128973584097421</c:v>
                </c:pt>
                <c:pt idx="177">
                  <c:v>6.6409506970730003</c:v>
                </c:pt>
                <c:pt idx="178">
                  <c:v>6.6687191158124861</c:v>
                </c:pt>
                <c:pt idx="179">
                  <c:v>6.6962101065101525</c:v>
                </c:pt>
                <c:pt idx="180">
                  <c:v>6.7234308557990081</c:v>
                </c:pt>
                <c:pt idx="181">
                  <c:v>6.7503882618226099</c:v>
                </c:pt>
                <c:pt idx="182">
                  <c:v>6.7770889498438232</c:v>
                </c:pt>
                <c:pt idx="183">
                  <c:v>6.8035392867972382</c:v>
                </c:pt>
                <c:pt idx="184">
                  <c:v>6.8297453948706881</c:v>
                </c:pt>
                <c:pt idx="185">
                  <c:v>6.8557131641932774</c:v>
                </c:pt>
                <c:pt idx="186">
                  <c:v>6.8814482647002029</c:v>
                </c:pt>
                <c:pt idx="187">
                  <c:v>6.9069561572382243</c:v>
                </c:pt>
                <c:pt idx="188">
                  <c:v>6.9322421039699016</c:v>
                </c:pt>
                <c:pt idx="189">
                  <c:v>6.9573111781295625</c:v>
                </c:pt>
                <c:pt idx="190">
                  <c:v>6.9821682731793233</c:v>
                </c:pt>
                <c:pt idx="191">
                  <c:v>7.0068181114093013</c:v>
                </c:pt>
                <c:pt idx="192">
                  <c:v>7.0312652520223997</c:v>
                </c:pt>
                <c:pt idx="193">
                  <c:v>7.055514098740634</c:v>
                </c:pt>
                <c:pt idx="194">
                  <c:v>7.0795689069668937</c:v>
                </c:pt>
                <c:pt idx="195">
                  <c:v>7.1034337905332503</c:v>
                </c:pt>
                <c:pt idx="196">
                  <c:v>7.1271127280643887</c:v>
                </c:pt>
                <c:pt idx="197">
                  <c:v>7.1506095689824507</c:v>
                </c:pt>
                <c:pt idx="198">
                  <c:v>7.1739280391774933</c:v>
                </c:pt>
                <c:pt idx="199">
                  <c:v>7.1970717463658636</c:v>
                </c:pt>
                <c:pt idx="200">
                  <c:v>7.2200441851570725</c:v>
                </c:pt>
                <c:pt idx="201">
                  <c:v>7.2428487418481646</c:v>
                </c:pt>
                <c:pt idx="202">
                  <c:v>7.2654886989631464</c:v>
                </c:pt>
                <c:pt idx="203">
                  <c:v>7.2879672395537245</c:v>
                </c:pt>
                <c:pt idx="204">
                  <c:v>7.3102874512763885</c:v>
                </c:pt>
                <c:pt idx="205">
                  <c:v>7.332452330259791</c:v>
                </c:pt>
                <c:pt idx="206">
                  <c:v>7.3544647847753497</c:v>
                </c:pt>
                <c:pt idx="207">
                  <c:v>7.3763276387230761</c:v>
                </c:pt>
                <c:pt idx="208">
                  <c:v>7.398043634943793</c:v>
                </c:pt>
                <c:pt idx="209">
                  <c:v>7.4196154383680959</c:v>
                </c:pt>
                <c:pt idx="210">
                  <c:v>7.4410456390117243</c:v>
                </c:pt>
                <c:pt idx="211">
                  <c:v>7.4623367548263202</c:v>
                </c:pt>
                <c:pt idx="212">
                  <c:v>7.4834912344139513</c:v>
                </c:pt>
                <c:pt idx="213">
                  <c:v>7.5045114596132114</c:v>
                </c:pt>
                <c:pt idx="214">
                  <c:v>7.525399747964185</c:v>
                </c:pt>
                <c:pt idx="215">
                  <c:v>7.5461583550590916</c:v>
                </c:pt>
                <c:pt idx="216">
                  <c:v>7.5667894767849617</c:v>
                </c:pt>
                <c:pt idx="217">
                  <c:v>7.5872952514643082</c:v>
                </c:pt>
                <c:pt idx="218">
                  <c:v>7.607677761899355</c:v>
                </c:pt>
                <c:pt idx="219">
                  <c:v>7.6279390373250378</c:v>
                </c:pt>
                <c:pt idx="220">
                  <c:v>7.6480810552756724</c:v>
                </c:pt>
                <c:pt idx="221">
                  <c:v>7.6681057433698614</c:v>
                </c:pt>
                <c:pt idx="222">
                  <c:v>7.6880149810179494</c:v>
                </c:pt>
                <c:pt idx="223">
                  <c:v>7.7078106010560576</c:v>
                </c:pt>
                <c:pt idx="224">
                  <c:v>7.7274943913104881</c:v>
                </c:pt>
                <c:pt idx="225">
                  <c:v>7.7470680960960649</c:v>
                </c:pt>
                <c:pt idx="226">
                  <c:v>7.7665334176517593</c:v>
                </c:pt>
                <c:pt idx="227">
                  <c:v>7.7858920175167556</c:v>
                </c:pt>
                <c:pt idx="228">
                  <c:v>7.8051455178499234</c:v>
                </c:pt>
                <c:pt idx="229">
                  <c:v>7.8242955026954935</c:v>
                </c:pt>
                <c:pt idx="230">
                  <c:v>7.8433435191975729</c:v>
                </c:pt>
                <c:pt idx="231">
                  <c:v>7.8622910787659812</c:v>
                </c:pt>
                <c:pt idx="232">
                  <c:v>7.8811396581957585</c:v>
                </c:pt>
                <c:pt idx="233">
                  <c:v>7.8998907007425503</c:v>
                </c:pt>
                <c:pt idx="234">
                  <c:v>7.9185456171559636</c:v>
                </c:pt>
                <c:pt idx="235">
                  <c:v>7.9371057866728689</c:v>
                </c:pt>
                <c:pt idx="236">
                  <c:v>7.9555725579725101</c:v>
                </c:pt>
                <c:pt idx="237">
                  <c:v>7.9739472500951907</c:v>
                </c:pt>
                <c:pt idx="238">
                  <c:v>7.9922311533262054</c:v>
                </c:pt>
                <c:pt idx="239">
                  <c:v>8.0104255300466001</c:v>
                </c:pt>
                <c:pt idx="240">
                  <c:v>8.0285316155522484</c:v>
                </c:pt>
                <c:pt idx="241">
                  <c:v>8.0465506188426748</c:v>
                </c:pt>
                <c:pt idx="242">
                  <c:v>8.0644837233809596</c:v>
                </c:pt>
                <c:pt idx="243">
                  <c:v>8.0823320878260034</c:v>
                </c:pt>
                <c:pt idx="244">
                  <c:v>8.1000968467383654</c:v>
                </c:pt>
                <c:pt idx="245">
                  <c:v>8.1177791112608038</c:v>
                </c:pt>
                <c:pt idx="246">
                  <c:v>8.1353799697746361</c:v>
                </c:pt>
                <c:pt idx="247">
                  <c:v>8.1529004885329339</c:v>
                </c:pt>
                <c:pt idx="248">
                  <c:v>8.1703417122715329</c:v>
                </c:pt>
                <c:pt idx="249">
                  <c:v>8.1877046647988116</c:v>
                </c:pt>
                <c:pt idx="250">
                  <c:v>8.2049903495651062</c:v>
                </c:pt>
                <c:pt idx="251">
                  <c:v>8.2221997502126207</c:v>
                </c:pt>
                <c:pt idx="252">
                  <c:v>8.2393338311066291</c:v>
                </c:pt>
                <c:pt idx="253">
                  <c:v>8.256393537848739</c:v>
                </c:pt>
                <c:pt idx="254">
                  <c:v>8.2733797977729431</c:v>
                </c:pt>
                <c:pt idx="255">
                  <c:v>8.2902935204251538</c:v>
                </c:pt>
                <c:pt idx="256">
                  <c:v>8.3071355980268855</c:v>
                </c:pt>
                <c:pt idx="257">
                  <c:v>8.3239069059237103</c:v>
                </c:pt>
                <c:pt idx="258">
                  <c:v>8.3406083030190903</c:v>
                </c:pt>
                <c:pt idx="259">
                  <c:v>8.3572406321941628</c:v>
                </c:pt>
                <c:pt idx="260">
                  <c:v>8.3738047207140234</c:v>
                </c:pt>
                <c:pt idx="261">
                  <c:v>8.3903013806210343</c:v>
                </c:pt>
                <c:pt idx="262">
                  <c:v>8.4067314091156451</c:v>
                </c:pt>
                <c:pt idx="263">
                  <c:v>8.4230955889252179</c:v>
                </c:pt>
                <c:pt idx="264">
                  <c:v>8.4393946886612987</c:v>
                </c:pt>
                <c:pt idx="265">
                  <c:v>8.4556294631657831</c:v>
                </c:pt>
                <c:pt idx="266">
                  <c:v>8.4718006538463779</c:v>
                </c:pt>
                <c:pt idx="267">
                  <c:v>8.487908989001772</c:v>
                </c:pt>
                <c:pt idx="268">
                  <c:v>8.503955184136883</c:v>
                </c:pt>
                <c:pt idx="269">
                  <c:v>8.5199399422685538</c:v>
                </c:pt>
                <c:pt idx="270">
                  <c:v>8.5358639542220427</c:v>
                </c:pt>
                <c:pt idx="271">
                  <c:v>8.551727898918644</c:v>
                </c:pt>
                <c:pt idx="272">
                  <c:v>8.5675324436547537</c:v>
                </c:pt>
                <c:pt idx="273">
                  <c:v>8.5832782443726909</c:v>
                </c:pt>
                <c:pt idx="274">
                  <c:v>8.5989659459235686</c:v>
                </c:pt>
                <c:pt idx="275">
                  <c:v>8.6145961823224937</c:v>
                </c:pt>
                <c:pt idx="276">
                  <c:v>8.6301695769963622</c:v>
                </c:pt>
                <c:pt idx="277">
                  <c:v>8.6456867430245126</c:v>
                </c:pt>
                <c:pt idx="278">
                  <c:v>8.6611482833724889</c:v>
                </c:pt>
                <c:pt idx="279">
                  <c:v>8.6765547911191412</c:v>
                </c:pt>
                <c:pt idx="280">
                  <c:v>8.6919068496772969</c:v>
                </c:pt>
                <c:pt idx="281">
                  <c:v>8.7072050330082291</c:v>
                </c:pt>
                <c:pt idx="282">
                  <c:v>8.7224499058301195</c:v>
                </c:pt>
                <c:pt idx="283">
                  <c:v>8.737642023820726</c:v>
                </c:pt>
                <c:pt idx="284">
                  <c:v>8.7527819338144539</c:v>
                </c:pt>
                <c:pt idx="285">
                  <c:v>8.7678701739939964</c:v>
                </c:pt>
                <c:pt idx="286">
                  <c:v>8.7829072740767558</c:v>
                </c:pt>
                <c:pt idx="287">
                  <c:v>8.7978937554961867</c:v>
                </c:pt>
                <c:pt idx="288">
                  <c:v>8.8128301315782469</c:v>
                </c:pt>
                <c:pt idx="289">
                  <c:v>8.8277169077131088</c:v>
                </c:pt>
                <c:pt idx="290">
                  <c:v>8.8425545815222844</c:v>
                </c:pt>
                <c:pt idx="291">
                  <c:v>8.8573436430213111</c:v>
                </c:pt>
                <c:pt idx="292">
                  <c:v>8.8720845747781389</c:v>
                </c:pt>
                <c:pt idx="293">
                  <c:v>8.8867778520673664</c:v>
                </c:pt>
                <c:pt idx="294">
                  <c:v>8.9014239430204398</c:v>
                </c:pt>
                <c:pt idx="295">
                  <c:v>8.9160233087719547</c:v>
                </c:pt>
                <c:pt idx="296">
                  <c:v>8.9305764036021777</c:v>
                </c:pt>
                <c:pt idx="297">
                  <c:v>8.9450836750759084</c:v>
                </c:pt>
                <c:pt idx="298">
                  <c:v>8.9595455641777946</c:v>
                </c:pt>
                <c:pt idx="299">
                  <c:v>8.9739625054442023</c:v>
                </c:pt>
                <c:pt idx="300">
                  <c:v>8.9883349270917581</c:v>
                </c:pt>
                <c:pt idx="301">
                  <c:v>9.002663251142657</c:v>
                </c:pt>
                <c:pt idx="302">
                  <c:v>9.0169478935468401</c:v>
                </c:pt>
                <c:pt idx="303">
                  <c:v>9.0311892643011245</c:v>
                </c:pt>
                <c:pt idx="304">
                  <c:v>9.0453877675653924</c:v>
                </c:pt>
                <c:pt idx="305">
                  <c:v>9.05954380177592</c:v>
                </c:pt>
                <c:pt idx="306">
                  <c:v>9.0736577597559265</c:v>
                </c:pt>
                <c:pt idx="307">
                  <c:v>9.0877300288234277</c:v>
                </c:pt>
                <c:pt idx="308">
                  <c:v>9.1017609908964854</c:v>
                </c:pt>
                <c:pt idx="309">
                  <c:v>9.1157510225959069</c:v>
                </c:pt>
                <c:pt idx="310">
                  <c:v>9.1297004953454888</c:v>
                </c:pt>
                <c:pt idx="311">
                  <c:v>9.1436097754698586</c:v>
                </c:pt>
                <c:pt idx="312">
                  <c:v>9.1574792242900056</c:v>
                </c:pt>
                <c:pt idx="313">
                  <c:v>9.1713091982165427</c:v>
                </c:pt>
                <c:pt idx="314">
                  <c:v>9.185100048840777</c:v>
                </c:pt>
                <c:pt idx="315">
                  <c:v>9.1988521230236557</c:v>
                </c:pt>
                <c:pt idx="316">
                  <c:v>9.2125657629826314</c:v>
                </c:pt>
                <c:pt idx="317">
                  <c:v>9.2262413063765241</c:v>
                </c:pt>
                <c:pt idx="318">
                  <c:v>9.2398790863884184</c:v>
                </c:pt>
                <c:pt idx="319">
                  <c:v>9.2534794318066655</c:v>
                </c:pt>
                <c:pt idx="320">
                  <c:v>9.2670426671040325</c:v>
                </c:pt>
                <c:pt idx="321">
                  <c:v>9.2805691125150478</c:v>
                </c:pt>
                <c:pt idx="322">
                  <c:v>9.2940590841116126</c:v>
                </c:pt>
                <c:pt idx="323">
                  <c:v>9.3075128938768898</c:v>
                </c:pt>
                <c:pt idx="324">
                  <c:v>9.3209308497775538</c:v>
                </c:pt>
                <c:pt idx="325">
                  <c:v>9.3343132558344255</c:v>
                </c:pt>
                <c:pt idx="326">
                  <c:v>9.3476604121915354</c:v>
                </c:pt>
                <c:pt idx="327">
                  <c:v>9.3609726151836661</c:v>
                </c:pt>
                <c:pt idx="328">
                  <c:v>9.3742501574024057</c:v>
                </c:pt>
                <c:pt idx="329">
                  <c:v>9.3874933277607617</c:v>
                </c:pt>
                <c:pt idx="330">
                  <c:v>9.4007024115563613</c:v>
                </c:pt>
                <c:pt idx="331">
                  <c:v>9.4138776905332868</c:v>
                </c:pt>
                <c:pt idx="332">
                  <c:v>9.4270194429425729</c:v>
                </c:pt>
                <c:pt idx="333">
                  <c:v>9.4401279436014036</c:v>
                </c:pt>
                <c:pt idx="334">
                  <c:v>9.4532034639510485</c:v>
                </c:pt>
                <c:pt idx="335">
                  <c:v>9.4662462721135583</c:v>
                </c:pt>
                <c:pt idx="336">
                  <c:v>9.4792566329472638</c:v>
                </c:pt>
                <c:pt idx="337">
                  <c:v>9.4922348081011023</c:v>
                </c:pt>
                <c:pt idx="338">
                  <c:v>9.5051810560678014</c:v>
                </c:pt>
                <c:pt idx="339">
                  <c:v>9.5180956322359531</c:v>
                </c:pt>
                <c:pt idx="340">
                  <c:v>9.5309787889410025</c:v>
                </c:pt>
                <c:pt idx="341">
                  <c:v>9.5438307755151808</c:v>
                </c:pt>
                <c:pt idx="342">
                  <c:v>9.5566518383364034</c:v>
                </c:pt>
                <c:pt idx="343">
                  <c:v>9.5694422208761676</c:v>
                </c:pt>
                <c:pt idx="344">
                  <c:v>9.5822021637464694</c:v>
                </c:pt>
                <c:pt idx="345">
                  <c:v>9.5949319047457635</c:v>
                </c:pt>
                <c:pt idx="346">
                  <c:v>9.6076316789039904</c:v>
                </c:pt>
                <c:pt idx="347">
                  <c:v>9.6203017185266972</c:v>
                </c:pt>
                <c:pt idx="348">
                  <c:v>9.6329422532382658</c:v>
                </c:pt>
                <c:pt idx="349">
                  <c:v>9.645553510024282</c:v>
                </c:pt>
                <c:pt idx="350">
                  <c:v>9.6581357132730545</c:v>
                </c:pt>
                <c:pt idx="351">
                  <c:v>9.6706890848163098</c:v>
                </c:pt>
                <c:pt idx="352">
                  <c:v>9.6832138439690869</c:v>
                </c:pt>
                <c:pt idx="353">
                  <c:v>9.6957102075688386</c:v>
                </c:pt>
                <c:pt idx="354">
                  <c:v>9.7081783900137744</c:v>
                </c:pt>
                <c:pt idx="355">
                  <c:v>9.7206186033004496</c:v>
                </c:pt>
                <c:pt idx="356">
                  <c:v>9.7330310570606215</c:v>
                </c:pt>
                <c:pt idx="357">
                  <c:v>9.7454159585974001</c:v>
                </c:pt>
                <c:pt idx="358">
                  <c:v>9.7577735129206893</c:v>
                </c:pt>
                <c:pt idx="359">
                  <c:v>9.7701039227819599</c:v>
                </c:pt>
                <c:pt idx="360">
                  <c:v>9.7824073887083465</c:v>
                </c:pt>
                <c:pt idx="361">
                  <c:v>9.794684109036103</c:v>
                </c:pt>
                <c:pt idx="362">
                  <c:v>9.8069342799434143</c:v>
                </c:pt>
                <c:pt idx="363">
                  <c:v>9.8191580954825959</c:v>
                </c:pt>
                <c:pt idx="364">
                  <c:v>9.8313557476116866</c:v>
                </c:pt>
                <c:pt idx="365">
                  <c:v>9.8435274262254406</c:v>
                </c:pt>
                <c:pt idx="366">
                  <c:v>9.8556733191857493</c:v>
                </c:pt>
                <c:pt idx="367">
                  <c:v>9.8677936123514947</c:v>
                </c:pt>
                <c:pt idx="368">
                  <c:v>9.8798884896078469</c:v>
                </c:pt>
                <c:pt idx="369">
                  <c:v>9.8919581328950219</c:v>
                </c:pt>
                <c:pt idx="370">
                  <c:v>9.9040027222365126</c:v>
                </c:pt>
                <c:pt idx="371">
                  <c:v>9.9160224357668021</c:v>
                </c:pt>
                <c:pt idx="372">
                  <c:v>9.9280174497585705</c:v>
                </c:pt>
                <c:pt idx="373">
                  <c:v>9.9399879386494021</c:v>
                </c:pt>
                <c:pt idx="374">
                  <c:v>9.9519340750680225</c:v>
                </c:pt>
                <c:pt idx="375">
                  <c:v>9.9638560298600467</c:v>
                </c:pt>
                <c:pt idx="376">
                  <c:v>9.9757539721132762</c:v>
                </c:pt>
                <c:pt idx="377">
                  <c:v>9.9876280691825361</c:v>
                </c:pt>
                <c:pt idx="378">
                  <c:v>9.9994784867140751</c:v>
                </c:pt>
                <c:pt idx="379">
                  <c:v>10.011305388669523</c:v>
                </c:pt>
                <c:pt idx="380">
                  <c:v>10.02310893734944</c:v>
                </c:pt>
                <c:pt idx="381">
                  <c:v>10.034889293416429</c:v>
                </c:pt>
                <c:pt idx="382">
                  <c:v>10.046646615917863</c:v>
                </c:pt>
                <c:pt idx="383">
                  <c:v>10.058381062308204</c:v>
                </c:pt>
                <c:pt idx="384">
                  <c:v>10.070092788470925</c:v>
                </c:pt>
                <c:pt idx="385">
                  <c:v>10.081781948740073</c:v>
                </c:pt>
                <c:pt idx="386">
                  <c:v>10.093448695921438</c:v>
                </c:pt>
                <c:pt idx="387">
                  <c:v>10.105093181313366</c:v>
                </c:pt>
                <c:pt idx="388">
                  <c:v>10.116715554727216</c:v>
                </c:pt>
                <c:pt idx="389">
                  <c:v>10.128315964507459</c:v>
                </c:pt>
                <c:pt idx="390">
                  <c:v>10.139894557551445</c:v>
                </c:pt>
                <c:pt idx="391">
                  <c:v>10.15145147932882</c:v>
                </c:pt>
                <c:pt idx="392">
                  <c:v>10.16298687390063</c:v>
                </c:pt>
                <c:pt idx="393">
                  <c:v>10.174500883938089</c:v>
                </c:pt>
                <c:pt idx="394">
                  <c:v>10.185993650741041</c:v>
                </c:pt>
                <c:pt idx="395">
                  <c:v>10.197465314256107</c:v>
                </c:pt>
                <c:pt idx="396">
                  <c:v>10.208916013094527</c:v>
                </c:pt>
                <c:pt idx="397">
                  <c:v>10.220345884549715</c:v>
                </c:pt>
                <c:pt idx="398">
                  <c:v>10.231755064614514</c:v>
                </c:pt>
                <c:pt idx="399">
                  <c:v>10.243143687998165</c:v>
                </c:pt>
                <c:pt idx="400">
                  <c:v>10.254511888143005</c:v>
                </c:pt>
                <c:pt idx="401">
                  <c:v>10.265859797240886</c:v>
                </c:pt>
                <c:pt idx="402">
                  <c:v>10.277187546249321</c:v>
                </c:pt>
                <c:pt idx="403">
                  <c:v>10.288495264907377</c:v>
                </c:pt>
                <c:pt idx="404">
                  <c:v>10.299783081751299</c:v>
                </c:pt>
                <c:pt idx="405">
                  <c:v>10.311051124129891</c:v>
                </c:pt>
                <c:pt idx="406">
                  <c:v>10.322299518219644</c:v>
                </c:pt>
                <c:pt idx="407">
                  <c:v>10.333528389039621</c:v>
                </c:pt>
                <c:pt idx="408">
                  <c:v>10.3447378604661</c:v>
                </c:pt>
                <c:pt idx="409">
                  <c:v>10.355928055246995</c:v>
                </c:pt>
                <c:pt idx="410">
                  <c:v>10.367099095016034</c:v>
                </c:pt>
                <c:pt idx="411">
                  <c:v>10.378251100306716</c:v>
                </c:pt>
                <c:pt idx="412">
                  <c:v>10.389384190566059</c:v>
                </c:pt>
                <c:pt idx="413">
                  <c:v>10.400498484168109</c:v>
                </c:pt>
                <c:pt idx="414">
                  <c:v>10.411594098427262</c:v>
                </c:pt>
                <c:pt idx="415">
                  <c:v>10.422671149611357</c:v>
                </c:pt>
                <c:pt idx="416">
                  <c:v>10.433729752954578</c:v>
                </c:pt>
                <c:pt idx="417">
                  <c:v>10.444770022670145</c:v>
                </c:pt>
                <c:pt idx="418">
                  <c:v>10.455792071962819</c:v>
                </c:pt>
                <c:pt idx="419">
                  <c:v>10.466796013041208</c:v>
                </c:pt>
                <c:pt idx="420">
                  <c:v>10.477781957129883</c:v>
                </c:pt>
                <c:pt idx="421">
                  <c:v>10.488750014481312</c:v>
                </c:pt>
                <c:pt idx="422">
                  <c:v>10.499700294387607</c:v>
                </c:pt>
                <c:pt idx="423">
                  <c:v>10.510632905192091</c:v>
                </c:pt>
                <c:pt idx="424">
                  <c:v>10.521547954300701</c:v>
                </c:pt>
                <c:pt idx="425">
                  <c:v>10.532445548193202</c:v>
                </c:pt>
                <c:pt idx="426">
                  <c:v>10.543325792434242</c:v>
                </c:pt>
                <c:pt idx="427">
                  <c:v>10.55418879168424</c:v>
                </c:pt>
                <c:pt idx="428">
                  <c:v>10.565034649710103</c:v>
                </c:pt>
                <c:pt idx="429">
                  <c:v>10.575863469395797</c:v>
                </c:pt>
                <c:pt idx="430">
                  <c:v>10.586675352752742</c:v>
                </c:pt>
                <c:pt idx="431">
                  <c:v>10.597470400930069</c:v>
                </c:pt>
                <c:pt idx="432">
                  <c:v>10.60824871422472</c:v>
                </c:pt>
                <c:pt idx="433">
                  <c:v>10.61901039209139</c:v>
                </c:pt>
                <c:pt idx="434">
                  <c:v>10.643008658855679</c:v>
                </c:pt>
                <c:pt idx="435">
                  <c:v>10.666925147554579</c:v>
                </c:pt>
                <c:pt idx="436">
                  <c:v>10.690760930407313</c:v>
                </c:pt>
                <c:pt idx="437">
                  <c:v>10.7145170599591</c:v>
                </c:pt>
                <c:pt idx="438">
                  <c:v>10.73819456958034</c:v>
                </c:pt>
                <c:pt idx="439">
                  <c:v>10.761794473949891</c:v>
                </c:pt>
                <c:pt idx="440">
                  <c:v>10.785317769523042</c:v>
                </c:pt>
                <c:pt idx="441">
                  <c:v>10.808765434984775</c:v>
                </c:pt>
                <c:pt idx="442">
                  <c:v>10.832138431688868</c:v>
                </c:pt>
                <c:pt idx="443">
                  <c:v>10.85543770408338</c:v>
                </c:pt>
                <c:pt idx="444">
                  <c:v>10.878664180123002</c:v>
                </c:pt>
                <c:pt idx="445">
                  <c:v>10.901818771668797</c:v>
                </c:pt>
                <c:pt idx="446">
                  <c:v>10.924902374875774</c:v>
                </c:pt>
                <c:pt idx="447">
                  <c:v>10.947915870568737</c:v>
                </c:pt>
                <c:pt idx="448">
                  <c:v>10.970860124606849</c:v>
                </c:pt>
                <c:pt idx="449">
                  <c:v>10.993735988237319</c:v>
                </c:pt>
                <c:pt idx="450">
                  <c:v>11.016544298438587</c:v>
                </c:pt>
                <c:pt idx="451">
                  <c:v>11.039285878253411</c:v>
                </c:pt>
                <c:pt idx="452">
                  <c:v>11.061961537112182</c:v>
                </c:pt>
                <c:pt idx="453">
                  <c:v>11.084572071146837</c:v>
                </c:pt>
                <c:pt idx="454">
                  <c:v>11.107118263495691</c:v>
                </c:pt>
                <c:pt idx="455">
                  <c:v>11.129600884599496</c:v>
                </c:pt>
                <c:pt idx="456">
                  <c:v>11.152020692489051</c:v>
                </c:pt>
                <c:pt idx="457">
                  <c:v>11.174378433064637</c:v>
                </c:pt>
                <c:pt idx="458">
                  <c:v>11.196674840367564</c:v>
                </c:pt>
                <c:pt idx="459">
                  <c:v>11.21891063684409</c:v>
                </c:pt>
                <c:pt idx="460">
                  <c:v>11.241086533601994</c:v>
                </c:pt>
                <c:pt idx="461">
                  <c:v>11.26320323066002</c:v>
                </c:pt>
                <c:pt idx="462">
                  <c:v>11.285261417190442</c:v>
                </c:pt>
                <c:pt idx="463">
                  <c:v>11.307261771754998</c:v>
                </c:pt>
                <c:pt idx="464">
                  <c:v>11.329204962534373</c:v>
                </c:pt>
                <c:pt idx="465">
                  <c:v>11.351091647551483</c:v>
                </c:pt>
                <c:pt idx="466">
                  <c:v>11.372922474888735</c:v>
                </c:pt>
                <c:pt idx="467">
                  <c:v>11.394698082899474</c:v>
                </c:pt>
                <c:pt idx="468">
                  <c:v>11.41641910041379</c:v>
                </c:pt>
                <c:pt idx="469">
                  <c:v>11.438086146938891</c:v>
                </c:pt>
                <c:pt idx="470">
                  <c:v>11.459699832854188</c:v>
                </c:pt>
                <c:pt idx="471">
                  <c:v>11.481260759601273</c:v>
                </c:pt>
                <c:pt idx="472">
                  <c:v>11.502769519868961</c:v>
                </c:pt>
                <c:pt idx="473">
                  <c:v>11.524226697773527</c:v>
                </c:pt>
                <c:pt idx="474">
                  <c:v>11.545632869034311</c:v>
                </c:pt>
                <c:pt idx="475">
                  <c:v>11.566988601144825</c:v>
                </c:pt>
                <c:pt idx="476">
                  <c:v>11.588294453539502</c:v>
                </c:pt>
                <c:pt idx="477">
                  <c:v>11.60955097775622</c:v>
                </c:pt>
                <c:pt idx="478">
                  <c:v>11.630758717594729</c:v>
                </c:pt>
                <c:pt idx="479">
                  <c:v>11.651918209271116</c:v>
                </c:pt>
                <c:pt idx="480">
                  <c:v>11.673029981568414</c:v>
                </c:pt>
                <c:pt idx="481">
                  <c:v>11.694094555983474</c:v>
                </c:pt>
                <c:pt idx="482">
                  <c:v>11.715112446870227</c:v>
                </c:pt>
                <c:pt idx="483">
                  <c:v>11.736084161579422</c:v>
                </c:pt>
                <c:pt idx="484">
                  <c:v>11.757010200594951</c:v>
                </c:pt>
                <c:pt idx="485">
                  <c:v>11.777891057666883</c:v>
                </c:pt>
                <c:pt idx="486">
                  <c:v>11.798727219941259</c:v>
                </c:pt>
                <c:pt idx="487">
                  <c:v>11.819519168086796</c:v>
                </c:pt>
                <c:pt idx="488">
                  <c:v>11.840267376418538</c:v>
                </c:pt>
                <c:pt idx="489">
                  <c:v>11.860972313018589</c:v>
                </c:pt>
                <c:pt idx="490">
                  <c:v>11.881634439853975</c:v>
                </c:pt>
                <c:pt idx="491">
                  <c:v>11.902254212891739</c:v>
                </c:pt>
                <c:pt idx="492">
                  <c:v>11.922832082211334</c:v>
                </c:pt>
                <c:pt idx="493">
                  <c:v>11.943368492114411</c:v>
                </c:pt>
                <c:pt idx="494">
                  <c:v>11.963863881232044</c:v>
                </c:pt>
                <c:pt idx="495">
                  <c:v>11.984318682629494</c:v>
                </c:pt>
                <c:pt idx="496">
                  <c:v>12.004733323908573</c:v>
                </c:pt>
                <c:pt idx="497">
                  <c:v>12.025108227307646</c:v>
                </c:pt>
                <c:pt idx="498">
                  <c:v>12.045443809799394</c:v>
                </c:pt>
                <c:pt idx="499">
                  <c:v>12.065740483186339</c:v>
                </c:pt>
                <c:pt idx="500">
                  <c:v>12.085998654194229</c:v>
                </c:pt>
                <c:pt idx="501">
                  <c:v>12.106218724563341</c:v>
                </c:pt>
                <c:pt idx="502">
                  <c:v>12.126401091137726</c:v>
                </c:pt>
                <c:pt idx="503">
                  <c:v>12.146546145952501</c:v>
                </c:pt>
                <c:pt idx="504">
                  <c:v>12.166654276319196</c:v>
                </c:pt>
                <c:pt idx="505">
                  <c:v>12.186725864909238</c:v>
                </c:pt>
                <c:pt idx="506">
                  <c:v>12.206761289835596</c:v>
                </c:pt>
                <c:pt idx="507">
                  <c:v>12.226760924732663</c:v>
                </c:pt>
                <c:pt idx="508">
                  <c:v>12.246725138834401</c:v>
                </c:pt>
                <c:pt idx="509">
                  <c:v>12.26665429705081</c:v>
                </c:pt>
                <c:pt idx="510">
                  <c:v>12.28654876004274</c:v>
                </c:pt>
                <c:pt idx="511">
                  <c:v>12.306408884295122</c:v>
                </c:pt>
                <c:pt idx="512">
                  <c:v>12.326235022188637</c:v>
                </c:pt>
                <c:pt idx="513">
                  <c:v>12.346027522069869</c:v>
                </c:pt>
                <c:pt idx="514">
                  <c:v>12.365786728319977</c:v>
                </c:pt>
                <c:pt idx="515">
                  <c:v>12.385512981421932</c:v>
                </c:pt>
                <c:pt idx="516">
                  <c:v>12.405206618026359</c:v>
                </c:pt>
                <c:pt idx="517">
                  <c:v>12.424867971015988</c:v>
                </c:pt>
                <c:pt idx="518">
                  <c:v>12.444497369568802</c:v>
                </c:pt>
                <c:pt idx="519">
                  <c:v>12.464095139219866</c:v>
                </c:pt>
                <c:pt idx="520">
                  <c:v>12.483661601921893</c:v>
                </c:pt>
                <c:pt idx="521">
                  <c:v>12.503197076104584</c:v>
                </c:pt>
                <c:pt idx="522">
                  <c:v>12.522701876732746</c:v>
                </c:pt>
                <c:pt idx="523">
                  <c:v>12.542176315363257</c:v>
                </c:pt>
                <c:pt idx="524">
                  <c:v>12.561620700200868</c:v>
                </c:pt>
                <c:pt idx="525">
                  <c:v>12.58103533615289</c:v>
                </c:pt>
                <c:pt idx="526">
                  <c:v>12.600420524882807</c:v>
                </c:pt>
                <c:pt idx="527">
                  <c:v>12.619776564862795</c:v>
                </c:pt>
                <c:pt idx="528">
                  <c:v>12.639103751425232</c:v>
                </c:pt>
                <c:pt idx="529">
                  <c:v>12.658402376813177</c:v>
                </c:pt>
                <c:pt idx="530">
                  <c:v>12.677672730229865</c:v>
                </c:pt>
                <c:pt idx="531">
                  <c:v>12.69691509788724</c:v>
                </c:pt>
                <c:pt idx="532">
                  <c:v>12.716129763053543</c:v>
                </c:pt>
                <c:pt idx="533">
                  <c:v>12.735317006099972</c:v>
                </c:pt>
                <c:pt idx="534">
                  <c:v>12.754477104546464</c:v>
                </c:pt>
                <c:pt idx="535">
                  <c:v>12.773610333106577</c:v>
                </c:pt>
                <c:pt idx="536">
                  <c:v>12.792716963731527</c:v>
                </c:pt>
                <c:pt idx="537">
                  <c:v>12.811797265653393</c:v>
                </c:pt>
                <c:pt idx="538">
                  <c:v>12.830851505427493</c:v>
                </c:pt>
                <c:pt idx="539">
                  <c:v>12.849879946973967</c:v>
                </c:pt>
                <c:pt idx="540">
                  <c:v>12.868882851618583</c:v>
                </c:pt>
                <c:pt idx="541">
                  <c:v>12.887860478132776</c:v>
                </c:pt>
                <c:pt idx="542">
                  <c:v>12.906813082772947</c:v>
                </c:pt>
                <c:pt idx="543">
                  <c:v>12.925740919319033</c:v>
                </c:pt>
                <c:pt idx="544">
                  <c:v>12.944644239112357</c:v>
                </c:pt>
                <c:pt idx="545">
                  <c:v>12.963523291092802</c:v>
                </c:pt>
                <c:pt idx="546">
                  <c:v>12.982378321835288</c:v>
                </c:pt>
                <c:pt idx="547">
                  <c:v>13.001209575585589</c:v>
                </c:pt>
                <c:pt idx="548">
                  <c:v>13.02001729429551</c:v>
                </c:pt>
                <c:pt idx="549">
                  <c:v>13.038801717657416</c:v>
                </c:pt>
                <c:pt idx="550">
                  <c:v>13.057563083138149</c:v>
                </c:pt>
                <c:pt idx="551">
                  <c:v>13.076301626012336</c:v>
                </c:pt>
                <c:pt idx="552">
                  <c:v>13.095017579395101</c:v>
                </c:pt>
                <c:pt idx="553">
                  <c:v>13.113711174274197</c:v>
                </c:pt>
                <c:pt idx="554">
                  <c:v>13.132382639541573</c:v>
                </c:pt>
                <c:pt idx="555">
                  <c:v>13.151032202024382</c:v>
                </c:pt>
                <c:pt idx="556">
                  <c:v>13.169660086515448</c:v>
                </c:pt>
                <c:pt idx="557">
                  <c:v>13.188266515803198</c:v>
                </c:pt>
                <c:pt idx="558">
                  <c:v>13.206851710701079</c:v>
                </c:pt>
                <c:pt idx="559">
                  <c:v>13.225415890076459</c:v>
                </c:pt>
                <c:pt idx="560">
                  <c:v>13.243959270879033</c:v>
                </c:pt>
                <c:pt idx="561">
                  <c:v>13.262482068168746</c:v>
                </c:pt>
                <c:pt idx="562">
                  <c:v>13.28098449514323</c:v>
                </c:pt>
                <c:pt idx="563">
                  <c:v>13.299466763164778</c:v>
                </c:pt>
                <c:pt idx="564">
                  <c:v>13.317929081786867</c:v>
                </c:pt>
                <c:pt idx="565">
                  <c:v>13.336371658780216</c:v>
                </c:pt>
                <c:pt idx="566">
                  <c:v>13.354794700158427</c:v>
                </c:pt>
                <c:pt idx="567">
                  <c:v>13.373198410203182</c:v>
                </c:pt>
                <c:pt idx="568">
                  <c:v>13.391582991489024</c:v>
                </c:pt>
                <c:pt idx="569">
                  <c:v>13.409948644907729</c:v>
                </c:pt>
                <c:pt idx="570">
                  <c:v>13.428295569692272</c:v>
                </c:pt>
                <c:pt idx="571">
                  <c:v>13.446623963440397</c:v>
                </c:pt>
                <c:pt idx="572">
                  <c:v>13.464934022137802</c:v>
                </c:pt>
                <c:pt idx="573">
                  <c:v>13.483225940180954</c:v>
                </c:pt>
                <c:pt idx="574">
                  <c:v>13.501499910399513</c:v>
                </c:pt>
                <c:pt idx="575">
                  <c:v>13.519756124078411</c:v>
                </c:pt>
                <c:pt idx="576">
                  <c:v>13.537994770979568</c:v>
                </c:pt>
                <c:pt idx="577">
                  <c:v>13.556216039363257</c:v>
                </c:pt>
                <c:pt idx="578">
                  <c:v>13.574420116009133</c:v>
                </c:pt>
                <c:pt idx="579">
                  <c:v>13.59260718623692</c:v>
                </c:pt>
                <c:pt idx="580">
                  <c:v>13.610777433926776</c:v>
                </c:pt>
                <c:pt idx="581">
                  <c:v>13.628931041539332</c:v>
                </c:pt>
                <c:pt idx="582">
                  <c:v>13.647068190135418</c:v>
                </c:pt>
                <c:pt idx="583">
                  <c:v>13.665189059395479</c:v>
                </c:pt>
                <c:pt idx="584">
                  <c:v>13.673295406847975</c:v>
                </c:pt>
                <c:pt idx="585">
                  <c:v>13.681398552915999</c:v>
                </c:pt>
                <c:pt idx="586">
                  <c:v>13.689498513420714</c:v>
                </c:pt>
                <c:pt idx="587">
                  <c:v>13.697595304130303</c:v>
                </c:pt>
                <c:pt idx="588">
                  <c:v>13.705688940760293</c:v>
                </c:pt>
                <c:pt idx="589">
                  <c:v>13.713779438973884</c:v>
                </c:pt>
                <c:pt idx="590">
                  <c:v>13.721866814382267</c:v>
                </c:pt>
                <c:pt idx="591">
                  <c:v>13.729951082544952</c:v>
                </c:pt>
                <c:pt idx="592">
                  <c:v>13.738032258970081</c:v>
                </c:pt>
                <c:pt idx="593">
                  <c:v>13.746110359114747</c:v>
                </c:pt>
                <c:pt idx="594">
                  <c:v>13.754185398385308</c:v>
                </c:pt>
                <c:pt idx="595">
                  <c:v>13.762257392137704</c:v>
                </c:pt>
                <c:pt idx="596">
                  <c:v>13.770326355677758</c:v>
                </c:pt>
                <c:pt idx="597">
                  <c:v>13.778392304261494</c:v>
                </c:pt>
                <c:pt idx="598">
                  <c:v>13.786455253095436</c:v>
                </c:pt>
                <c:pt idx="599">
                  <c:v>13.794515217336915</c:v>
                </c:pt>
                <c:pt idx="600">
                  <c:v>13.80257221209437</c:v>
                </c:pt>
                <c:pt idx="601">
                  <c:v>13.810626252427651</c:v>
                </c:pt>
                <c:pt idx="602">
                  <c:v>13.818677353348313</c:v>
                </c:pt>
                <c:pt idx="603">
                  <c:v>13.826725529819914</c:v>
                </c:pt>
                <c:pt idx="604">
                  <c:v>13.834770796758308</c:v>
                </c:pt>
                <c:pt idx="605">
                  <c:v>13.842813169031936</c:v>
                </c:pt>
                <c:pt idx="606">
                  <c:v>13.850852661462122</c:v>
                </c:pt>
                <c:pt idx="607">
                  <c:v>13.858889288823351</c:v>
                </c:pt>
                <c:pt idx="608">
                  <c:v>13.866923065843562</c:v>
                </c:pt>
                <c:pt idx="609">
                  <c:v>13.874954007204433</c:v>
                </c:pt>
                <c:pt idx="610">
                  <c:v>13.882982127541661</c:v>
                </c:pt>
                <c:pt idx="611">
                  <c:v>13.89100744144524</c:v>
                </c:pt>
                <c:pt idx="612">
                  <c:v>13.899029963459743</c:v>
                </c:pt>
                <c:pt idx="613">
                  <c:v>13.907049708084601</c:v>
                </c:pt>
                <c:pt idx="614">
                  <c:v>13.915066689774374</c:v>
                </c:pt>
                <c:pt idx="615">
                  <c:v>13.923080922939024</c:v>
                </c:pt>
                <c:pt idx="616">
                  <c:v>13.931092421944188</c:v>
                </c:pt>
                <c:pt idx="617">
                  <c:v>13.939101201111448</c:v>
                </c:pt>
                <c:pt idx="618">
                  <c:v>13.947107274718601</c:v>
                </c:pt>
                <c:pt idx="619">
                  <c:v>13.955110656999917</c:v>
                </c:pt>
                <c:pt idx="620">
                  <c:v>13.963111362146412</c:v>
                </c:pt>
                <c:pt idx="621">
                  <c:v>13.971109404306109</c:v>
                </c:pt>
                <c:pt idx="622">
                  <c:v>13.979104797584293</c:v>
                </c:pt>
                <c:pt idx="623">
                  <c:v>13.987097556043778</c:v>
                </c:pt>
                <c:pt idx="624">
                  <c:v>13.995087693705161</c:v>
                </c:pt>
                <c:pt idx="625">
                  <c:v>14.003075224547075</c:v>
                </c:pt>
                <c:pt idx="626">
                  <c:v>14.011060162506451</c:v>
                </c:pt>
                <c:pt idx="627">
                  <c:v>14.019042521478765</c:v>
                </c:pt>
                <c:pt idx="628">
                  <c:v>14.027022315318288</c:v>
                </c:pt>
                <c:pt idx="629">
                  <c:v>14.03499955783834</c:v>
                </c:pt>
                <c:pt idx="630">
                  <c:v>14.042974262811535</c:v>
                </c:pt>
                <c:pt idx="631">
                  <c:v>14.050946443970028</c:v>
                </c:pt>
                <c:pt idx="632">
                  <c:v>14.05891611500576</c:v>
                </c:pt>
                <c:pt idx="633">
                  <c:v>14.066883289570697</c:v>
                </c:pt>
                <c:pt idx="634">
                  <c:v>14.074847981277081</c:v>
                </c:pt>
                <c:pt idx="635">
                  <c:v>14.082810203697662</c:v>
                </c:pt>
                <c:pt idx="636">
                  <c:v>14.090769970365937</c:v>
                </c:pt>
                <c:pt idx="637">
                  <c:v>14.09872729477639</c:v>
                </c:pt>
                <c:pt idx="638">
                  <c:v>14.106682190384729</c:v>
                </c:pt>
                <c:pt idx="639">
                  <c:v>14.114634670608117</c:v>
                </c:pt>
                <c:pt idx="640">
                  <c:v>14.122584748825405</c:v>
                </c:pt>
                <c:pt idx="641">
                  <c:v>14.130532438377362</c:v>
                </c:pt>
                <c:pt idx="642">
                  <c:v>14.138477752566908</c:v>
                </c:pt>
                <c:pt idx="643">
                  <c:v>14.146420704659342</c:v>
                </c:pt>
                <c:pt idx="644">
                  <c:v>14.154361307882564</c:v>
                </c:pt>
                <c:pt idx="645">
                  <c:v>14.162299575427308</c:v>
                </c:pt>
                <c:pt idx="646">
                  <c:v>14.170235520447362</c:v>
                </c:pt>
                <c:pt idx="647">
                  <c:v>14.178169156059788</c:v>
                </c:pt>
                <c:pt idx="648">
                  <c:v>14.186100495345148</c:v>
                </c:pt>
                <c:pt idx="649">
                  <c:v>14.194029551347723</c:v>
                </c:pt>
                <c:pt idx="650">
                  <c:v>14.201956337075734</c:v>
                </c:pt>
                <c:pt idx="651">
                  <c:v>14.209880865501548</c:v>
                </c:pt>
                <c:pt idx="652">
                  <c:v>14.217803149561911</c:v>
                </c:pt>
                <c:pt idx="653">
                  <c:v>14.22572320215815</c:v>
                </c:pt>
                <c:pt idx="654">
                  <c:v>14.233641036156392</c:v>
                </c:pt>
                <c:pt idx="655">
                  <c:v>14.241556664387772</c:v>
                </c:pt>
                <c:pt idx="656">
                  <c:v>14.249470099648649</c:v>
                </c:pt>
                <c:pt idx="657">
                  <c:v>14.257381354700811</c:v>
                </c:pt>
                <c:pt idx="658">
                  <c:v>14.26529044227169</c:v>
                </c:pt>
                <c:pt idx="659">
                  <c:v>14.273197375054556</c:v>
                </c:pt>
                <c:pt idx="660">
                  <c:v>14.281102165708738</c:v>
                </c:pt>
                <c:pt idx="661">
                  <c:v>14.289004826859816</c:v>
                </c:pt>
                <c:pt idx="662">
                  <c:v>14.296905371099836</c:v>
                </c:pt>
                <c:pt idx="663">
                  <c:v>14.304803810987499</c:v>
                </c:pt>
                <c:pt idx="664">
                  <c:v>14.312700159048376</c:v>
                </c:pt>
                <c:pt idx="665">
                  <c:v>14.320594427775093</c:v>
                </c:pt>
                <c:pt idx="666">
                  <c:v>14.328486629627543</c:v>
                </c:pt>
                <c:pt idx="667">
                  <c:v>14.336376777033074</c:v>
                </c:pt>
                <c:pt idx="668">
                  <c:v>14.344264882386691</c:v>
                </c:pt>
                <c:pt idx="669">
                  <c:v>14.352150958051247</c:v>
                </c:pt>
                <c:pt idx="670">
                  <c:v>14.360035016357639</c:v>
                </c:pt>
                <c:pt idx="671">
                  <c:v>14.367917069604998</c:v>
                </c:pt>
                <c:pt idx="672">
                  <c:v>14.375797130060887</c:v>
                </c:pt>
                <c:pt idx="673">
                  <c:v>14.383675209961485</c:v>
                </c:pt>
                <c:pt idx="674">
                  <c:v>14.391551321511777</c:v>
                </c:pt>
                <c:pt idx="675">
                  <c:v>14.399425476885748</c:v>
                </c:pt>
                <c:pt idx="676">
                  <c:v>14.407297688226564</c:v>
                </c:pt>
                <c:pt idx="677">
                  <c:v>14.415167967646759</c:v>
                </c:pt>
                <c:pt idx="678">
                  <c:v>14.423036327228424</c:v>
                </c:pt>
                <c:pt idx="679">
                  <c:v>14.430902779023386</c:v>
                </c:pt>
                <c:pt idx="680">
                  <c:v>14.438767335053397</c:v>
                </c:pt>
                <c:pt idx="681">
                  <c:v>14.446630007310308</c:v>
                </c:pt>
                <c:pt idx="682">
                  <c:v>14.454490807756255</c:v>
                </c:pt>
                <c:pt idx="683">
                  <c:v>14.462349748323838</c:v>
                </c:pt>
                <c:pt idx="684">
                  <c:v>14.470206840916301</c:v>
                </c:pt>
                <c:pt idx="685">
                  <c:v>14.478062097407708</c:v>
                </c:pt>
                <c:pt idx="686">
                  <c:v>14.485915529643117</c:v>
                </c:pt>
                <c:pt idx="687">
                  <c:v>14.493767149438764</c:v>
                </c:pt>
                <c:pt idx="688">
                  <c:v>14.501616968582226</c:v>
                </c:pt>
                <c:pt idx="689">
                  <c:v>14.509464998832605</c:v>
                </c:pt>
                <c:pt idx="690">
                  <c:v>14.517311251920699</c:v>
                </c:pt>
                <c:pt idx="691">
                  <c:v>14.525155739549168</c:v>
                </c:pt>
                <c:pt idx="692">
                  <c:v>14.532998473392711</c:v>
                </c:pt>
                <c:pt idx="693">
                  <c:v>14.540839465098232</c:v>
                </c:pt>
                <c:pt idx="694">
                  <c:v>14.548678726285013</c:v>
                </c:pt>
                <c:pt idx="695">
                  <c:v>14.556516268544877</c:v>
                </c:pt>
                <c:pt idx="696">
                  <c:v>14.56435210344236</c:v>
                </c:pt>
                <c:pt idx="697">
                  <c:v>14.572186242514874</c:v>
                </c:pt>
                <c:pt idx="698">
                  <c:v>14.580018697272873</c:v>
                </c:pt>
                <c:pt idx="699">
                  <c:v>14.587849479200017</c:v>
                </c:pt>
                <c:pt idx="700">
                  <c:v>14.595678599753334</c:v>
                </c:pt>
                <c:pt idx="701">
                  <c:v>14.603506070363391</c:v>
                </c:pt>
                <c:pt idx="702">
                  <c:v>14.611331902434442</c:v>
                </c:pt>
                <c:pt idx="703">
                  <c:v>14.619156107344599</c:v>
                </c:pt>
                <c:pt idx="704">
                  <c:v>14.62697869644599</c:v>
                </c:pt>
                <c:pt idx="705">
                  <c:v>14.634799681064914</c:v>
                </c:pt>
                <c:pt idx="706">
                  <c:v>14.642619072502002</c:v>
                </c:pt>
                <c:pt idx="707">
                  <c:v>14.650436882032377</c:v>
                </c:pt>
                <c:pt idx="708">
                  <c:v>14.658253120905805</c:v>
                </c:pt>
                <c:pt idx="709">
                  <c:v>14.666067800346854</c:v>
                </c:pt>
                <c:pt idx="710">
                  <c:v>14.673880931555049</c:v>
                </c:pt>
                <c:pt idx="711">
                  <c:v>14.681692525705024</c:v>
                </c:pt>
                <c:pt idx="712">
                  <c:v>14.689502593946678</c:v>
                </c:pt>
                <c:pt idx="713">
                  <c:v>14.697311147405321</c:v>
                </c:pt>
                <c:pt idx="714">
                  <c:v>14.705118197181836</c:v>
                </c:pt>
                <c:pt idx="715">
                  <c:v>14.712923754352818</c:v>
                </c:pt>
                <c:pt idx="716">
                  <c:v>14.720727829970736</c:v>
                </c:pt>
                <c:pt idx="717">
                  <c:v>14.728530435064069</c:v>
                </c:pt>
                <c:pt idx="718">
                  <c:v>14.736331580637465</c:v>
                </c:pt>
                <c:pt idx="719">
                  <c:v>14.744131277671883</c:v>
                </c:pt>
                <c:pt idx="720">
                  <c:v>14.751929537124743</c:v>
                </c:pt>
                <c:pt idx="721">
                  <c:v>14.759726369930071</c:v>
                </c:pt>
                <c:pt idx="722">
                  <c:v>14.767521786998641</c:v>
                </c:pt>
                <c:pt idx="723">
                  <c:v>14.775315799218122</c:v>
                </c:pt>
                <c:pt idx="724">
                  <c:v>14.783108417453226</c:v>
                </c:pt>
                <c:pt idx="725">
                  <c:v>14.790899652545843</c:v>
                </c:pt>
                <c:pt idx="726">
                  <c:v>14.798689515315189</c:v>
                </c:pt>
                <c:pt idx="727">
                  <c:v>14.806478016557945</c:v>
                </c:pt>
                <c:pt idx="728">
                  <c:v>14.814265167048399</c:v>
                </c:pt>
                <c:pt idx="729">
                  <c:v>14.822050977538586</c:v>
                </c:pt>
                <c:pt idx="730">
                  <c:v>14.829835458758426</c:v>
                </c:pt>
                <c:pt idx="731">
                  <c:v>14.837618621415864</c:v>
                </c:pt>
                <c:pt idx="732">
                  <c:v>14.845400476197009</c:v>
                </c:pt>
                <c:pt idx="733">
                  <c:v>14.853181033766269</c:v>
                </c:pt>
                <c:pt idx="734">
                  <c:v>14.860960304766488</c:v>
                </c:pt>
                <c:pt idx="735">
                  <c:v>14.868738299819084</c:v>
                </c:pt>
                <c:pt idx="736">
                  <c:v>14.886106897677235</c:v>
                </c:pt>
                <c:pt idx="737">
                  <c:v>14.90346926847894</c:v>
                </c:pt>
                <c:pt idx="738">
                  <c:v>14.920825529592612</c:v>
                </c:pt>
                <c:pt idx="739">
                  <c:v>14.93817579787213</c:v>
                </c:pt>
                <c:pt idx="740">
                  <c:v>14.955520189664123</c:v>
                </c:pt>
                <c:pt idx="741">
                  <c:v>14.972858820815173</c:v>
                </c:pt>
                <c:pt idx="742">
                  <c:v>14.990191806678954</c:v>
                </c:pt>
                <c:pt idx="743">
                  <c:v>15.007519262123276</c:v>
                </c:pt>
                <c:pt idx="744">
                  <c:v>15.024841301537066</c:v>
                </c:pt>
                <c:pt idx="745">
                  <c:v>15.042158038837263</c:v>
                </c:pt>
                <c:pt idx="746">
                  <c:v>15.059469587475656</c:v>
                </c:pt>
                <c:pt idx="747">
                  <c:v>15.076776060445633</c:v>
                </c:pt>
                <c:pt idx="748">
                  <c:v>15.094077570288869</c:v>
                </c:pt>
                <c:pt idx="749">
                  <c:v>15.111374229101946</c:v>
                </c:pt>
                <c:pt idx="750">
                  <c:v>15.128666148542894</c:v>
                </c:pt>
                <c:pt idx="751">
                  <c:v>15.145953439837678</c:v>
                </c:pt>
                <c:pt idx="752">
                  <c:v>15.163236213786611</c:v>
                </c:pt>
                <c:pt idx="753">
                  <c:v>15.180514580770703</c:v>
                </c:pt>
                <c:pt idx="754">
                  <c:v>15.197788650757948</c:v>
                </c:pt>
                <c:pt idx="755">
                  <c:v>15.215058533309547</c:v>
                </c:pt>
                <c:pt idx="756">
                  <c:v>15.232324337586071</c:v>
                </c:pt>
                <c:pt idx="757">
                  <c:v>15.249586172353562</c:v>
                </c:pt>
                <c:pt idx="758">
                  <c:v>15.266844145989571</c:v>
                </c:pt>
                <c:pt idx="759">
                  <c:v>15.28409836648915</c:v>
                </c:pt>
                <c:pt idx="760">
                  <c:v>15.301348941470771</c:v>
                </c:pt>
                <c:pt idx="761">
                  <c:v>15.318595978182193</c:v>
                </c:pt>
                <c:pt idx="762">
                  <c:v>15.335839583506287</c:v>
                </c:pt>
                <c:pt idx="763">
                  <c:v>15.353079863966784</c:v>
                </c:pt>
                <c:pt idx="764">
                  <c:v>15.370316925733986</c:v>
                </c:pt>
                <c:pt idx="765">
                  <c:v>15.387550874630419</c:v>
                </c:pt>
                <c:pt idx="766">
                  <c:v>15.404781816136429</c:v>
                </c:pt>
                <c:pt idx="767">
                  <c:v>15.422009855395745</c:v>
                </c:pt>
                <c:pt idx="768">
                  <c:v>15.439235097220962</c:v>
                </c:pt>
                <c:pt idx="769">
                  <c:v>15.456457646099006</c:v>
                </c:pt>
                <c:pt idx="770">
                  <c:v>15.473677606196532</c:v>
                </c:pt>
                <c:pt idx="771">
                  <c:v>15.490895081365277</c:v>
                </c:pt>
                <c:pt idx="772">
                  <c:v>15.508110175147378</c:v>
                </c:pt>
                <c:pt idx="773">
                  <c:v>15.525322990780623</c:v>
                </c:pt>
                <c:pt idx="774">
                  <c:v>15.542533631203678</c:v>
                </c:pt>
                <c:pt idx="775">
                  <c:v>15.559742199061258</c:v>
                </c:pt>
                <c:pt idx="776">
                  <c:v>15.576948796709258</c:v>
                </c:pt>
                <c:pt idx="777">
                  <c:v>15.594153526219843</c:v>
                </c:pt>
                <c:pt idx="778">
                  <c:v>15.611356489386491</c:v>
                </c:pt>
                <c:pt idx="779">
                  <c:v>15.628557787729003</c:v>
                </c:pt>
                <c:pt idx="780">
                  <c:v>15.64575752249846</c:v>
                </c:pt>
                <c:pt idx="781">
                  <c:v>15.662955794682158</c:v>
                </c:pt>
                <c:pt idx="782">
                  <c:v>15.68015270500849</c:v>
                </c:pt>
                <c:pt idx="783">
                  <c:v>15.69734835395179</c:v>
                </c:pt>
                <c:pt idx="784">
                  <c:v>15.714542841737153</c:v>
                </c:pt>
                <c:pt idx="785">
                  <c:v>15.731736268345198</c:v>
                </c:pt>
                <c:pt idx="786">
                  <c:v>15.748928733516816</c:v>
                </c:pt>
                <c:pt idx="787">
                  <c:v>15.766120336757869</c:v>
                </c:pt>
                <c:pt idx="788">
                  <c:v>15.783311177343851</c:v>
                </c:pt>
                <c:pt idx="789">
                  <c:v>15.800501354324531</c:v>
                </c:pt>
                <c:pt idx="790">
                  <c:v>15.81769096652855</c:v>
                </c:pt>
                <c:pt idx="791">
                  <c:v>15.834880112567987</c:v>
                </c:pt>
                <c:pt idx="792">
                  <c:v>15.85206889084289</c:v>
                </c:pt>
                <c:pt idx="793">
                  <c:v>15.86925739954579</c:v>
                </c:pt>
                <c:pt idx="794">
                  <c:v>15.886445736666159</c:v>
                </c:pt>
                <c:pt idx="795">
                  <c:v>15.903633999994868</c:v>
                </c:pt>
                <c:pt idx="796">
                  <c:v>15.920822287128585</c:v>
                </c:pt>
                <c:pt idx="797">
                  <c:v>15.938010695474166</c:v>
                </c:pt>
                <c:pt idx="798">
                  <c:v>15.955199322253007</c:v>
                </c:pt>
                <c:pt idx="799">
                  <c:v>15.972388264505369</c:v>
                </c:pt>
                <c:pt idx="800">
                  <c:v>15.98957761909468</c:v>
                </c:pt>
                <c:pt idx="801">
                  <c:v>16.006767482711801</c:v>
                </c:pt>
                <c:pt idx="802">
                  <c:v>16.023957951879279</c:v>
                </c:pt>
                <c:pt idx="803">
                  <c:v>16.041149122955559</c:v>
                </c:pt>
                <c:pt idx="804">
                  <c:v>16.058341092139187</c:v>
                </c:pt>
                <c:pt idx="805">
                  <c:v>16.07553395547297</c:v>
                </c:pt>
                <c:pt idx="806">
                  <c:v>16.092727808848124</c:v>
                </c:pt>
                <c:pt idx="807">
                  <c:v>16.109922748008401</c:v>
                </c:pt>
                <c:pt idx="808">
                  <c:v>16.127118868554181</c:v>
                </c:pt>
                <c:pt idx="809">
                  <c:v>16.144316265946554</c:v>
                </c:pt>
                <c:pt idx="810">
                  <c:v>16.161515035511364</c:v>
                </c:pt>
                <c:pt idx="811">
                  <c:v>16.178715272443252</c:v>
                </c:pt>
                <c:pt idx="812">
                  <c:v>16.195917071809653</c:v>
                </c:pt>
                <c:pt idx="813">
                  <c:v>16.213120528554803</c:v>
                </c:pt>
                <c:pt idx="814">
                  <c:v>16.230325737503691</c:v>
                </c:pt>
                <c:pt idx="815">
                  <c:v>16.24753279336602</c:v>
                </c:pt>
                <c:pt idx="816">
                  <c:v>16.264741790740135</c:v>
                </c:pt>
                <c:pt idx="817">
                  <c:v>16.281952824116935</c:v>
                </c:pt>
                <c:pt idx="818">
                  <c:v>16.299165987883764</c:v>
                </c:pt>
                <c:pt idx="819">
                  <c:v>16.316381376328287</c:v>
                </c:pt>
                <c:pt idx="820">
                  <c:v>16.333599083642351</c:v>
                </c:pt>
                <c:pt idx="821">
                  <c:v>16.350819203925823</c:v>
                </c:pt>
                <c:pt idx="822">
                  <c:v>16.368041831190418</c:v>
                </c:pt>
                <c:pt idx="823">
                  <c:v>16.3852670593635</c:v>
                </c:pt>
                <c:pt idx="824">
                  <c:v>16.402494982291884</c:v>
                </c:pt>
                <c:pt idx="825">
                  <c:v>16.419725693745605</c:v>
                </c:pt>
                <c:pt idx="826">
                  <c:v>16.43695928742169</c:v>
                </c:pt>
                <c:pt idx="827">
                  <c:v>16.454195856947898</c:v>
                </c:pt>
                <c:pt idx="828">
                  <c:v>16.471435495886453</c:v>
                </c:pt>
                <c:pt idx="829">
                  <c:v>16.488678297737778</c:v>
                </c:pt>
                <c:pt idx="830">
                  <c:v>16.505924355944185</c:v>
                </c:pt>
                <c:pt idx="831">
                  <c:v>16.523173763893585</c:v>
                </c:pt>
                <c:pt idx="832">
                  <c:v>16.54042661492316</c:v>
                </c:pt>
                <c:pt idx="833">
                  <c:v>16.557683002323035</c:v>
                </c:pt>
                <c:pt idx="834">
                  <c:v>16.574943019339948</c:v>
                </c:pt>
                <c:pt idx="835">
                  <c:v>16.592206759180883</c:v>
                </c:pt>
                <c:pt idx="836">
                  <c:v>16.609474315016712</c:v>
                </c:pt>
                <c:pt idx="837">
                  <c:v>16.626745779985832</c:v>
                </c:pt>
                <c:pt idx="838">
                  <c:v>16.64402124719777</c:v>
                </c:pt>
                <c:pt idx="839">
                  <c:v>16.661300809736794</c:v>
                </c:pt>
                <c:pt idx="840">
                  <c:v>16.678584560665513</c:v>
                </c:pt>
                <c:pt idx="841">
                  <c:v>16.695872593028469</c:v>
                </c:pt>
                <c:pt idx="842">
                  <c:v>16.713164999855707</c:v>
                </c:pt>
                <c:pt idx="843">
                  <c:v>16.730461874166359</c:v>
                </c:pt>
                <c:pt idx="844">
                  <c:v>16.747763308972214</c:v>
                </c:pt>
                <c:pt idx="845">
                  <c:v>16.765069397281259</c:v>
                </c:pt>
                <c:pt idx="846">
                  <c:v>16.782380232101243</c:v>
                </c:pt>
                <c:pt idx="847">
                  <c:v>16.799695906443223</c:v>
                </c:pt>
                <c:pt idx="848">
                  <c:v>16.817016513325093</c:v>
                </c:pt>
                <c:pt idx="849">
                  <c:v>16.834342145775128</c:v>
                </c:pt>
                <c:pt idx="850">
                  <c:v>16.851672896835506</c:v>
                </c:pt>
                <c:pt idx="851">
                  <c:v>16.869008859565824</c:v>
                </c:pt>
                <c:pt idx="852">
                  <c:v>16.886350127046626</c:v>
                </c:pt>
                <c:pt idx="853">
                  <c:v>16.903696792382917</c:v>
                </c:pt>
                <c:pt idx="854">
                  <c:v>16.921048948707661</c:v>
                </c:pt>
                <c:pt idx="855">
                  <c:v>16.9384066891853</c:v>
                </c:pt>
                <c:pt idx="856">
                  <c:v>16.955770107015244</c:v>
                </c:pt>
                <c:pt idx="857">
                  <c:v>16.973139295435381</c:v>
                </c:pt>
                <c:pt idx="858">
                  <c:v>16.990514347725565</c:v>
                </c:pt>
                <c:pt idx="859">
                  <c:v>17.007895357211122</c:v>
                </c:pt>
                <c:pt idx="860">
                  <c:v>17.025282417266332</c:v>
                </c:pt>
                <c:pt idx="861">
                  <c:v>17.042675621317922</c:v>
                </c:pt>
                <c:pt idx="862">
                  <c:v>17.060075062848561</c:v>
                </c:pt>
                <c:pt idx="863">
                  <c:v>17.077480835400351</c:v>
                </c:pt>
                <c:pt idx="864">
                  <c:v>17.094893032578305</c:v>
                </c:pt>
                <c:pt idx="865">
                  <c:v>17.112311748053845</c:v>
                </c:pt>
                <c:pt idx="866">
                  <c:v>17.12973707556829</c:v>
                </c:pt>
                <c:pt idx="867">
                  <c:v>17.147169108936339</c:v>
                </c:pt>
                <c:pt idx="868">
                  <c:v>17.164607942049571</c:v>
                </c:pt>
                <c:pt idx="869">
                  <c:v>17.182053668879931</c:v>
                </c:pt>
                <c:pt idx="870">
                  <c:v>17.199506383483222</c:v>
                </c:pt>
                <c:pt idx="871">
                  <c:v>17.216966180002604</c:v>
                </c:pt>
                <c:pt idx="872">
                  <c:v>17.234433152672086</c:v>
                </c:pt>
                <c:pt idx="873">
                  <c:v>17.251907395820034</c:v>
                </c:pt>
                <c:pt idx="874">
                  <c:v>17.269389003872664</c:v>
                </c:pt>
                <c:pt idx="875">
                  <c:v>17.28687807135756</c:v>
                </c:pt>
                <c:pt idx="876">
                  <c:v>17.304374692907167</c:v>
                </c:pt>
                <c:pt idx="877">
                  <c:v>17.321878963262328</c:v>
                </c:pt>
                <c:pt idx="878">
                  <c:v>17.33939097727578</c:v>
                </c:pt>
                <c:pt idx="879">
                  <c:v>17.356910829915691</c:v>
                </c:pt>
                <c:pt idx="880">
                  <c:v>17.374438616269181</c:v>
                </c:pt>
                <c:pt idx="881">
                  <c:v>17.391974431545858</c:v>
                </c:pt>
                <c:pt idx="882">
                  <c:v>17.409518371081358</c:v>
                </c:pt>
                <c:pt idx="883">
                  <c:v>17.427070530340885</c:v>
                </c:pt>
                <c:pt idx="884">
                  <c:v>17.434933172186348</c:v>
                </c:pt>
                <c:pt idx="885">
                  <c:v>17.442797495173362</c:v>
                </c:pt>
                <c:pt idx="886">
                  <c:v>17.450663507904309</c:v>
                </c:pt>
                <c:pt idx="887">
                  <c:v>17.45853121898725</c:v>
                </c:pt>
                <c:pt idx="888">
                  <c:v>17.466400637035992</c:v>
                </c:pt>
                <c:pt idx="889">
                  <c:v>17.47427177067015</c:v>
                </c:pt>
                <c:pt idx="890">
                  <c:v>17.482144628515211</c:v>
                </c:pt>
                <c:pt idx="891">
                  <c:v>17.490019219202605</c:v>
                </c:pt>
                <c:pt idx="892">
                  <c:v>17.497895551369758</c:v>
                </c:pt>
                <c:pt idx="893">
                  <c:v>17.505773633660166</c:v>
                </c:pt>
                <c:pt idx="894">
                  <c:v>17.513653474723455</c:v>
                </c:pt>
                <c:pt idx="895">
                  <c:v>17.521535083215451</c:v>
                </c:pt>
                <c:pt idx="896">
                  <c:v>17.529418467798241</c:v>
                </c:pt>
                <c:pt idx="897">
                  <c:v>17.537303637140237</c:v>
                </c:pt>
                <c:pt idx="898">
                  <c:v>17.545190599916243</c:v>
                </c:pt>
                <c:pt idx="899">
                  <c:v>17.55307936480752</c:v>
                </c:pt>
                <c:pt idx="900">
                  <c:v>17.560969940501849</c:v>
                </c:pt>
                <c:pt idx="901">
                  <c:v>17.568862335693598</c:v>
                </c:pt>
                <c:pt idx="902">
                  <c:v>17.576756559083794</c:v>
                </c:pt>
                <c:pt idx="903">
                  <c:v>17.584652619380172</c:v>
                </c:pt>
                <c:pt idx="904">
                  <c:v>17.592550525297256</c:v>
                </c:pt>
                <c:pt idx="905">
                  <c:v>17.600450285556416</c:v>
                </c:pt>
                <c:pt idx="906">
                  <c:v>17.60835190888594</c:v>
                </c:pt>
                <c:pt idx="907">
                  <c:v>17.616255404021093</c:v>
                </c:pt>
                <c:pt idx="908">
                  <c:v>17.624160779704184</c:v>
                </c:pt>
                <c:pt idx="909">
                  <c:v>17.63206804468464</c:v>
                </c:pt>
                <c:pt idx="910">
                  <c:v>17.639977207719063</c:v>
                </c:pt>
                <c:pt idx="911">
                  <c:v>17.647888277571298</c:v>
                </c:pt>
                <c:pt idx="912">
                  <c:v>17.655801263012499</c:v>
                </c:pt>
                <c:pt idx="913">
                  <c:v>17.6637161728212</c:v>
                </c:pt>
                <c:pt idx="914">
                  <c:v>17.671633015783375</c:v>
                </c:pt>
                <c:pt idx="915">
                  <c:v>17.679551800692504</c:v>
                </c:pt>
                <c:pt idx="916">
                  <c:v>17.687472536349652</c:v>
                </c:pt>
                <c:pt idx="917">
                  <c:v>17.69539523156352</c:v>
                </c:pt>
                <c:pt idx="918">
                  <c:v>17.703319895150521</c:v>
                </c:pt>
                <c:pt idx="919">
                  <c:v>17.711246535934841</c:v>
                </c:pt>
                <c:pt idx="920">
                  <c:v>17.71917516274851</c:v>
                </c:pt>
                <c:pt idx="921">
                  <c:v>17.727105784431469</c:v>
                </c:pt>
                <c:pt idx="922">
                  <c:v>17.735038409831635</c:v>
                </c:pt>
                <c:pt idx="923">
                  <c:v>17.74297304780497</c:v>
                </c:pt>
                <c:pt idx="924">
                  <c:v>17.750909707215552</c:v>
                </c:pt>
                <c:pt idx="925">
                  <c:v>17.75884839693563</c:v>
                </c:pt>
                <c:pt idx="926">
                  <c:v>17.766789125845705</c:v>
                </c:pt>
                <c:pt idx="927">
                  <c:v>17.774731902834592</c:v>
                </c:pt>
                <c:pt idx="928">
                  <c:v>17.782676736799491</c:v>
                </c:pt>
                <c:pt idx="929">
                  <c:v>17.79062363664605</c:v>
                </c:pt>
                <c:pt idx="930">
                  <c:v>17.798572611288431</c:v>
                </c:pt>
                <c:pt idx="931">
                  <c:v>17.80652366964939</c:v>
                </c:pt>
                <c:pt idx="932">
                  <c:v>17.814476820660335</c:v>
                </c:pt>
                <c:pt idx="933">
                  <c:v>17.822432073261396</c:v>
                </c:pt>
                <c:pt idx="934">
                  <c:v>17.830389436401497</c:v>
                </c:pt>
                <c:pt idx="935">
                  <c:v>17.83834891903842</c:v>
                </c:pt>
                <c:pt idx="936">
                  <c:v>17.846310530138879</c:v>
                </c:pt>
                <c:pt idx="937">
                  <c:v>17.854274278678584</c:v>
                </c:pt>
                <c:pt idx="938">
                  <c:v>17.862240173642313</c:v>
                </c:pt>
                <c:pt idx="939">
                  <c:v>17.87020822402398</c:v>
                </c:pt>
                <c:pt idx="940">
                  <c:v>17.878178438826705</c:v>
                </c:pt>
                <c:pt idx="941">
                  <c:v>17.886150827062885</c:v>
                </c:pt>
                <c:pt idx="942">
                  <c:v>17.894125397754255</c:v>
                </c:pt>
                <c:pt idx="943">
                  <c:v>17.902102159931971</c:v>
                </c:pt>
                <c:pt idx="944">
                  <c:v>17.910081122636669</c:v>
                </c:pt>
                <c:pt idx="945">
                  <c:v>17.918062294918542</c:v>
                </c:pt>
                <c:pt idx="946">
                  <c:v>17.926045685837405</c:v>
                </c:pt>
                <c:pt idx="947">
                  <c:v>17.934031304462764</c:v>
                </c:pt>
                <c:pt idx="948">
                  <c:v>17.942019159873897</c:v>
                </c:pt>
                <c:pt idx="949">
                  <c:v>17.950009261159913</c:v>
                </c:pt>
                <c:pt idx="950">
                  <c:v>17.958001617419825</c:v>
                </c:pt>
                <c:pt idx="951">
                  <c:v>17.965996237762624</c:v>
                </c:pt>
                <c:pt idx="952">
                  <c:v>17.973993131307353</c:v>
                </c:pt>
                <c:pt idx="953">
                  <c:v>17.981992307183166</c:v>
                </c:pt>
                <c:pt idx="954">
                  <c:v>17.98999377452941</c:v>
                </c:pt>
                <c:pt idx="955">
                  <c:v>17.997997542495693</c:v>
                </c:pt>
                <c:pt idx="956">
                  <c:v>18.006003620241955</c:v>
                </c:pt>
                <c:pt idx="957">
                  <c:v>18.014012016938544</c:v>
                </c:pt>
                <c:pt idx="958">
                  <c:v>18.022022741766278</c:v>
                </c:pt>
                <c:pt idx="959">
                  <c:v>18.03003580391653</c:v>
                </c:pt>
                <c:pt idx="960">
                  <c:v>18.038051212591288</c:v>
                </c:pt>
                <c:pt idx="961">
                  <c:v>18.046068977003234</c:v>
                </c:pt>
                <c:pt idx="962">
                  <c:v>18.054089106375816</c:v>
                </c:pt>
                <c:pt idx="963">
                  <c:v>18.062111609943319</c:v>
                </c:pt>
                <c:pt idx="964">
                  <c:v>18.070136496950941</c:v>
                </c:pt>
                <c:pt idx="965">
                  <c:v>18.078163776654858</c:v>
                </c:pt>
                <c:pt idx="966">
                  <c:v>18.086193458322306</c:v>
                </c:pt>
                <c:pt idx="967">
                  <c:v>18.094225551231652</c:v>
                </c:pt>
                <c:pt idx="968">
                  <c:v>18.102260064672464</c:v>
                </c:pt>
                <c:pt idx="969">
                  <c:v>18.11029700794559</c:v>
                </c:pt>
                <c:pt idx="970">
                  <c:v>18.118336390363226</c:v>
                </c:pt>
                <c:pt idx="971">
                  <c:v>18.126378221248991</c:v>
                </c:pt>
                <c:pt idx="972">
                  <c:v>18.134422509938009</c:v>
                </c:pt>
                <c:pt idx="973">
                  <c:v>18.142469265776974</c:v>
                </c:pt>
                <c:pt idx="974">
                  <c:v>18.150518498124224</c:v>
                </c:pt>
                <c:pt idx="975">
                  <c:v>18.15857021634983</c:v>
                </c:pt>
                <c:pt idx="976">
                  <c:v>18.166624429835647</c:v>
                </c:pt>
                <c:pt idx="977">
                  <c:v>18.174681147975413</c:v>
                </c:pt>
                <c:pt idx="978">
                  <c:v>18.182740380174806</c:v>
                </c:pt>
                <c:pt idx="979">
                  <c:v>18.190802135851534</c:v>
                </c:pt>
                <c:pt idx="980">
                  <c:v>18.198866424435398</c:v>
                </c:pt>
                <c:pt idx="981">
                  <c:v>18.206933255368376</c:v>
                </c:pt>
                <c:pt idx="982">
                  <c:v>18.2150026381047</c:v>
                </c:pt>
                <c:pt idx="983">
                  <c:v>18.223074582110922</c:v>
                </c:pt>
                <c:pt idx="984">
                  <c:v>18.231149096866002</c:v>
                </c:pt>
                <c:pt idx="985">
                  <c:v>18.239226191861377</c:v>
                </c:pt>
                <c:pt idx="986">
                  <c:v>18.247305876601043</c:v>
                </c:pt>
                <c:pt idx="987">
                  <c:v>18.255388160601626</c:v>
                </c:pt>
                <c:pt idx="988">
                  <c:v>18.263473053392467</c:v>
                </c:pt>
                <c:pt idx="989">
                  <c:v>18.271560564515692</c:v>
                </c:pt>
                <c:pt idx="990">
                  <c:v>18.27965070352629</c:v>
                </c:pt>
                <c:pt idx="991">
                  <c:v>18.287743479992198</c:v>
                </c:pt>
                <c:pt idx="992">
                  <c:v>18.295838903494374</c:v>
                </c:pt>
                <c:pt idx="993">
                  <c:v>18.303936983626876</c:v>
                </c:pt>
                <c:pt idx="994">
                  <c:v>18.312037729996938</c:v>
                </c:pt>
                <c:pt idx="995">
                  <c:v>18.320141152225048</c:v>
                </c:pt>
                <c:pt idx="996">
                  <c:v>18.328247259945034</c:v>
                </c:pt>
                <c:pt idx="997">
                  <c:v>18.336356062804139</c:v>
                </c:pt>
                <c:pt idx="998">
                  <c:v>18.344467570463095</c:v>
                </c:pt>
                <c:pt idx="999">
                  <c:v>18.352581792596215</c:v>
                </c:pt>
                <c:pt idx="1000">
                  <c:v>18.360698738891458</c:v>
                </c:pt>
                <c:pt idx="1001">
                  <c:v>18.368818419050516</c:v>
                </c:pt>
                <c:pt idx="1002">
                  <c:v>18.376940842788901</c:v>
                </c:pt>
                <c:pt idx="1003">
                  <c:v>18.38506601983601</c:v>
                </c:pt>
                <c:pt idx="1004">
                  <c:v>18.393193959935221</c:v>
                </c:pt>
                <c:pt idx="1005">
                  <c:v>18.401324672843966</c:v>
                </c:pt>
                <c:pt idx="1006">
                  <c:v>18.40945816833381</c:v>
                </c:pt>
                <c:pt idx="1007">
                  <c:v>18.417594456190535</c:v>
                </c:pt>
                <c:pt idx="1008">
                  <c:v>18.425733546214225</c:v>
                </c:pt>
                <c:pt idx="1009">
                  <c:v>18.433875448219347</c:v>
                </c:pt>
                <c:pt idx="1010">
                  <c:v>18.442020172034823</c:v>
                </c:pt>
                <c:pt idx="1011">
                  <c:v>18.450167727504127</c:v>
                </c:pt>
                <c:pt idx="1012">
                  <c:v>18.458318124485359</c:v>
                </c:pt>
                <c:pt idx="1013">
                  <c:v>18.466471372851327</c:v>
                </c:pt>
                <c:pt idx="1014">
                  <c:v>18.474627482489637</c:v>
                </c:pt>
                <c:pt idx="1015">
                  <c:v>18.482786463302766</c:v>
                </c:pt>
                <c:pt idx="1016">
                  <c:v>18.490948325208155</c:v>
                </c:pt>
                <c:pt idx="1017">
                  <c:v>18.499113078138286</c:v>
                </c:pt>
                <c:pt idx="1018">
                  <c:v>18.507280732040773</c:v>
                </c:pt>
                <c:pt idx="1019">
                  <c:v>18.515451296878435</c:v>
                </c:pt>
                <c:pt idx="1020">
                  <c:v>18.523624782629398</c:v>
                </c:pt>
                <c:pt idx="1021">
                  <c:v>18.531801199287159</c:v>
                </c:pt>
                <c:pt idx="1022">
                  <c:v>18.539980556860687</c:v>
                </c:pt>
                <c:pt idx="1023">
                  <c:v>18.548162865374501</c:v>
                </c:pt>
                <c:pt idx="1024">
                  <c:v>18.55634813486876</c:v>
                </c:pt>
                <c:pt idx="1025">
                  <c:v>18.564536375399342</c:v>
                </c:pt>
                <c:pt idx="1026">
                  <c:v>18.57272759703794</c:v>
                </c:pt>
                <c:pt idx="1027">
                  <c:v>18.580921809872134</c:v>
                </c:pt>
                <c:pt idx="1028">
                  <c:v>18.589119024005495</c:v>
                </c:pt>
                <c:pt idx="1029">
                  <c:v>18.597319249557657</c:v>
                </c:pt>
                <c:pt idx="1030">
                  <c:v>18.605522496664413</c:v>
                </c:pt>
                <c:pt idx="1031">
                  <c:v>18.613728775477803</c:v>
                </c:pt>
                <c:pt idx="1032">
                  <c:v>18.62193809616619</c:v>
                </c:pt>
                <c:pt idx="1033">
                  <c:v>18.630150468914366</c:v>
                </c:pt>
                <c:pt idx="1034">
                  <c:v>18.648498874004495</c:v>
                </c:pt>
                <c:pt idx="1035">
                  <c:v>18.6668626328733</c:v>
                </c:pt>
                <c:pt idx="1036">
                  <c:v>18.685241859693299</c:v>
                </c:pt>
                <c:pt idx="1037">
                  <c:v>18.703636669057655</c:v>
                </c:pt>
                <c:pt idx="1038">
                  <c:v>18.722047175985182</c:v>
                </c:pt>
                <c:pt idx="1039">
                  <c:v>18.740473495925379</c:v>
                </c:pt>
                <c:pt idx="1040">
                  <c:v>18.758915744763517</c:v>
                </c:pt>
                <c:pt idx="1041">
                  <c:v>18.777374038825744</c:v>
                </c:pt>
                <c:pt idx="1042">
                  <c:v>18.795848494884254</c:v>
                </c:pt>
                <c:pt idx="1043">
                  <c:v>18.814339230162471</c:v>
                </c:pt>
                <c:pt idx="1044">
                  <c:v>18.832846362340284</c:v>
                </c:pt>
                <c:pt idx="1045">
                  <c:v>18.851370009559325</c:v>
                </c:pt>
                <c:pt idx="1046">
                  <c:v>18.869910290428294</c:v>
                </c:pt>
                <c:pt idx="1047">
                  <c:v>18.888467324028305</c:v>
                </c:pt>
                <c:pt idx="1048">
                  <c:v>18.907041229918292</c:v>
                </c:pt>
                <c:pt idx="1049">
                  <c:v>18.925632128140464</c:v>
                </c:pt>
                <c:pt idx="1050">
                  <c:v>18.94424013922578</c:v>
                </c:pt>
                <c:pt idx="1051">
                  <c:v>18.962865384199496</c:v>
                </c:pt>
                <c:pt idx="1052">
                  <c:v>18.981507984586738</c:v>
                </c:pt>
                <c:pt idx="1053">
                  <c:v>19.000168062418123</c:v>
                </c:pt>
                <c:pt idx="1054">
                  <c:v>19.018845740235445</c:v>
                </c:pt>
                <c:pt idx="1055">
                  <c:v>19.037541141097382</c:v>
                </c:pt>
                <c:pt idx="1056">
                  <c:v>19.05625438858527</c:v>
                </c:pt>
                <c:pt idx="1057">
                  <c:v>19.074985606808923</c:v>
                </c:pt>
                <c:pt idx="1058">
                  <c:v>19.093734920412494</c:v>
                </c:pt>
                <c:pt idx="1059">
                  <c:v>19.112502454580394</c:v>
                </c:pt>
                <c:pt idx="1060">
                  <c:v>19.131288335043262</c:v>
                </c:pt>
                <c:pt idx="1061">
                  <c:v>19.150092688083983</c:v>
                </c:pt>
                <c:pt idx="1062">
                  <c:v>19.168915640543762</c:v>
                </c:pt>
                <c:pt idx="1063">
                  <c:v>19.187757319828254</c:v>
                </c:pt>
                <c:pt idx="1064">
                  <c:v>19.206617853913734</c:v>
                </c:pt>
                <c:pt idx="1065">
                  <c:v>19.225497371353345</c:v>
                </c:pt>
                <c:pt idx="1066">
                  <c:v>19.244396001283384</c:v>
                </c:pt>
                <c:pt idx="1067">
                  <c:v>19.263313873429649</c:v>
                </c:pt>
                <c:pt idx="1068">
                  <c:v>19.282251118113848</c:v>
                </c:pt>
                <c:pt idx="1069">
                  <c:v>19.301207866260057</c:v>
                </c:pt>
                <c:pt idx="1070">
                  <c:v>19.320184249401255</c:v>
                </c:pt>
                <c:pt idx="1071">
                  <c:v>19.33918039968589</c:v>
                </c:pt>
                <c:pt idx="1072">
                  <c:v>19.358196449884542</c:v>
                </c:pt>
                <c:pt idx="1073">
                  <c:v>19.377232533396615</c:v>
                </c:pt>
                <c:pt idx="1074">
                  <c:v>19.39628878425712</c:v>
                </c:pt>
                <c:pt idx="1075">
                  <c:v>19.415365337143491</c:v>
                </c:pt>
                <c:pt idx="1076">
                  <c:v>19.434462327382501</c:v>
                </c:pt>
                <c:pt idx="1077">
                  <c:v>19.453579890957208</c:v>
                </c:pt>
                <c:pt idx="1078">
                  <c:v>19.472718164513996</c:v>
                </c:pt>
                <c:pt idx="1079">
                  <c:v>19.491877285369664</c:v>
                </c:pt>
                <c:pt idx="1080">
                  <c:v>19.511057391518605</c:v>
                </c:pt>
                <c:pt idx="1081">
                  <c:v>19.530258621640026</c:v>
                </c:pt>
                <c:pt idx="1082">
                  <c:v>19.549481115105266</c:v>
                </c:pt>
                <c:pt idx="1083">
                  <c:v>19.568725011985165</c:v>
                </c:pt>
                <c:pt idx="1084">
                  <c:v>19.587990453057518</c:v>
                </c:pt>
                <c:pt idx="1085">
                  <c:v>19.6072775798146</c:v>
                </c:pt>
                <c:pt idx="1086">
                  <c:v>19.626586534470757</c:v>
                </c:pt>
                <c:pt idx="1087">
                  <c:v>19.645917459970097</c:v>
                </c:pt>
                <c:pt idx="1088">
                  <c:v>19.665270499994225</c:v>
                </c:pt>
                <c:pt idx="1089">
                  <c:v>19.684645798970081</c:v>
                </c:pt>
                <c:pt idx="1090">
                  <c:v>19.704043502077845</c:v>
                </c:pt>
                <c:pt idx="1091">
                  <c:v>19.72346375525893</c:v>
                </c:pt>
                <c:pt idx="1092">
                  <c:v>19.742906705224055</c:v>
                </c:pt>
                <c:pt idx="1093">
                  <c:v>19.762372499461392</c:v>
                </c:pt>
                <c:pt idx="1094">
                  <c:v>19.781861286244812</c:v>
                </c:pt>
                <c:pt idx="1095">
                  <c:v>19.801373214642204</c:v>
                </c:pt>
                <c:pt idx="1096">
                  <c:v>19.820908434523883</c:v>
                </c:pt>
                <c:pt idx="1097">
                  <c:v>19.840467096571089</c:v>
                </c:pt>
                <c:pt idx="1098">
                  <c:v>19.860049352284584</c:v>
                </c:pt>
                <c:pt idx="1099">
                  <c:v>19.879655353993314</c:v>
                </c:pt>
                <c:pt idx="1100">
                  <c:v>19.899285254863187</c:v>
                </c:pt>
                <c:pt idx="1101">
                  <c:v>19.918939208905936</c:v>
                </c:pt>
                <c:pt idx="1102">
                  <c:v>19.938617370988069</c:v>
                </c:pt>
                <c:pt idx="1103">
                  <c:v>19.958319896839935</c:v>
                </c:pt>
                <c:pt idx="1104">
                  <c:v>19.978046943064864</c:v>
                </c:pt>
                <c:pt idx="1105">
                  <c:v>19.997798667148416</c:v>
                </c:pt>
                <c:pt idx="1106">
                  <c:v>20.017575227467738</c:v>
                </c:pt>
                <c:pt idx="1107">
                  <c:v>20.037376783301006</c:v>
                </c:pt>
                <c:pt idx="1108">
                  <c:v>20.05720349483699</c:v>
                </c:pt>
                <c:pt idx="1109">
                  <c:v>20.077055523184704</c:v>
                </c:pt>
                <c:pt idx="1110">
                  <c:v>20.09693303038318</c:v>
                </c:pt>
                <c:pt idx="1111">
                  <c:v>20.116836179411344</c:v>
                </c:pt>
                <c:pt idx="1112">
                  <c:v>20.136765134197983</c:v>
                </c:pt>
                <c:pt idx="1113">
                  <c:v>20.156720059631862</c:v>
                </c:pt>
                <c:pt idx="1114">
                  <c:v>20.17670112157192</c:v>
                </c:pt>
                <c:pt idx="1115">
                  <c:v>20.196708486857592</c:v>
                </c:pt>
                <c:pt idx="1116">
                  <c:v>20.216742323319256</c:v>
                </c:pt>
                <c:pt idx="1117">
                  <c:v>20.236802799788787</c:v>
                </c:pt>
                <c:pt idx="1118">
                  <c:v>20.256890086110232</c:v>
                </c:pt>
                <c:pt idx="1119">
                  <c:v>20.277004353150616</c:v>
                </c:pt>
                <c:pt idx="1120">
                  <c:v>20.297145772810854</c:v>
                </c:pt>
                <c:pt idx="1121">
                  <c:v>20.317314518036813</c:v>
                </c:pt>
                <c:pt idx="1122">
                  <c:v>20.337510762830483</c:v>
                </c:pt>
                <c:pt idx="1123">
                  <c:v>20.357734682261274</c:v>
                </c:pt>
                <c:pt idx="1124">
                  <c:v>20.377986452477469</c:v>
                </c:pt>
                <c:pt idx="1125">
                  <c:v>20.398266250717786</c:v>
                </c:pt>
                <c:pt idx="1126">
                  <c:v>20.41857425532308</c:v>
                </c:pt>
                <c:pt idx="1127">
                  <c:v>20.438910645748198</c:v>
                </c:pt>
                <c:pt idx="1128">
                  <c:v>20.45927560257395</c:v>
                </c:pt>
                <c:pt idx="1129">
                  <c:v>20.479669307519242</c:v>
                </c:pt>
                <c:pt idx="1130">
                  <c:v>20.500091943453342</c:v>
                </c:pt>
                <c:pt idx="1131">
                  <c:v>20.5205436944083</c:v>
                </c:pt>
                <c:pt idx="1132">
                  <c:v>20.54102474559151</c:v>
                </c:pt>
                <c:pt idx="1133">
                  <c:v>20.56153528339842</c:v>
                </c:pt>
                <c:pt idx="1134">
                  <c:v>20.582075495425403</c:v>
                </c:pt>
                <c:pt idx="1135">
                  <c:v>20.602645570482789</c:v>
                </c:pt>
                <c:pt idx="1136">
                  <c:v>20.623245698608031</c:v>
                </c:pt>
                <c:pt idx="1137">
                  <c:v>20.643876071079063</c:v>
                </c:pt>
                <c:pt idx="1138">
                  <c:v>20.6645368804278</c:v>
                </c:pt>
                <c:pt idx="1139">
                  <c:v>20.685228320453806</c:v>
                </c:pt>
                <c:pt idx="1140">
                  <c:v>20.705950586238131</c:v>
                </c:pt>
                <c:pt idx="1141">
                  <c:v>20.726703874157334</c:v>
                </c:pt>
                <c:pt idx="1142">
                  <c:v>20.747488381897657</c:v>
                </c:pt>
                <c:pt idx="1143">
                  <c:v>20.768304308469382</c:v>
                </c:pt>
                <c:pt idx="1144">
                  <c:v>20.789151854221384</c:v>
                </c:pt>
                <c:pt idx="1145">
                  <c:v>20.810031220855841</c:v>
                </c:pt>
                <c:pt idx="1146">
                  <c:v>20.830942611443142</c:v>
                </c:pt>
                <c:pt idx="1147">
                  <c:v>20.851886230436989</c:v>
                </c:pt>
                <c:pt idx="1148">
                  <c:v>20.872862283689674</c:v>
                </c:pt>
                <c:pt idx="1149">
                  <c:v>20.893870978467564</c:v>
                </c:pt>
                <c:pt idx="1150">
                  <c:v>20.914912523466779</c:v>
                </c:pt>
                <c:pt idx="1151">
                  <c:v>20.935987128829058</c:v>
                </c:pt>
                <c:pt idx="1152">
                  <c:v>20.957095006157857</c:v>
                </c:pt>
                <c:pt idx="1153">
                  <c:v>20.97823636853462</c:v>
                </c:pt>
                <c:pt idx="1154">
                  <c:v>20.999411430535293</c:v>
                </c:pt>
                <c:pt idx="1155">
                  <c:v>21.020620408247016</c:v>
                </c:pt>
                <c:pt idx="1156">
                  <c:v>21.041863519285076</c:v>
                </c:pt>
                <c:pt idx="1157">
                  <c:v>21.063140982810037</c:v>
                </c:pt>
                <c:pt idx="1158">
                  <c:v>21.084453019545123</c:v>
                </c:pt>
                <c:pt idx="1159">
                  <c:v>21.105799851793819</c:v>
                </c:pt>
                <c:pt idx="1160">
                  <c:v>21.127181703457705</c:v>
                </c:pt>
                <c:pt idx="1161">
                  <c:v>21.148598800054529</c:v>
                </c:pt>
                <c:pt idx="1162">
                  <c:v>21.170051368736509</c:v>
                </c:pt>
                <c:pt idx="1163">
                  <c:v>21.191539638308896</c:v>
                </c:pt>
                <c:pt idx="1164">
                  <c:v>21.213063839248772</c:v>
                </c:pt>
                <c:pt idx="1165">
                  <c:v>21.234624203724096</c:v>
                </c:pt>
                <c:pt idx="1166">
                  <c:v>21.256220965613021</c:v>
                </c:pt>
                <c:pt idx="1167">
                  <c:v>21.277854360523467</c:v>
                </c:pt>
                <c:pt idx="1168">
                  <c:v>21.299524625812943</c:v>
                </c:pt>
                <c:pt idx="1169">
                  <c:v>21.32123200060866</c:v>
                </c:pt>
                <c:pt idx="1170">
                  <c:v>21.342976725827906</c:v>
                </c:pt>
                <c:pt idx="1171">
                  <c:v>21.36475904419871</c:v>
                </c:pt>
                <c:pt idx="1172">
                  <c:v>21.386579200280764</c:v>
                </c:pt>
                <c:pt idx="1173">
                  <c:v>21.408437440486665</c:v>
                </c:pt>
                <c:pt idx="1174">
                  <c:v>21.430334013103433</c:v>
                </c:pt>
                <c:pt idx="1175">
                  <c:v>21.452269168314327</c:v>
                </c:pt>
                <c:pt idx="1176">
                  <c:v>21.474243158220972</c:v>
                </c:pt>
                <c:pt idx="1177">
                  <c:v>21.496256236865779</c:v>
                </c:pt>
                <c:pt idx="1178">
                  <c:v>21.518308660254704</c:v>
                </c:pt>
                <c:pt idx="1179">
                  <c:v>21.540400686380295</c:v>
                </c:pt>
                <c:pt idx="1180">
                  <c:v>21.5625325752451</c:v>
                </c:pt>
                <c:pt idx="1181">
                  <c:v>21.584704588885373</c:v>
                </c:pt>
                <c:pt idx="1182">
                  <c:v>21.606916991395131</c:v>
                </c:pt>
                <c:pt idx="1183">
                  <c:v>21.616880721060234</c:v>
                </c:pt>
                <c:pt idx="1184">
                  <c:v>21.626852644153072</c:v>
                </c:pt>
                <c:pt idx="1185">
                  <c:v>21.63683278487413</c:v>
                </c:pt>
                <c:pt idx="1186">
                  <c:v>21.646821167509987</c:v>
                </c:pt>
                <c:pt idx="1187">
                  <c:v>21.656817816433769</c:v>
                </c:pt>
                <c:pt idx="1188">
                  <c:v>21.666822756105606</c:v>
                </c:pt>
                <c:pt idx="1189">
                  <c:v>21.67683601107311</c:v>
                </c:pt>
                <c:pt idx="1190">
                  <c:v>21.686857605971834</c:v>
                </c:pt>
                <c:pt idx="1191">
                  <c:v>21.696887565525749</c:v>
                </c:pt>
                <c:pt idx="1192">
                  <c:v>21.70692591454771</c:v>
                </c:pt>
                <c:pt idx="1193">
                  <c:v>21.71697267793995</c:v>
                </c:pt>
                <c:pt idx="1194">
                  <c:v>21.727027880694536</c:v>
                </c:pt>
                <c:pt idx="1195">
                  <c:v>21.737091547893872</c:v>
                </c:pt>
                <c:pt idx="1196">
                  <c:v>21.747163704711184</c:v>
                </c:pt>
                <c:pt idx="1197">
                  <c:v>21.757244376410998</c:v>
                </c:pt>
                <c:pt idx="1198">
                  <c:v>21.767333588349643</c:v>
                </c:pt>
                <c:pt idx="1199">
                  <c:v>21.777431365975747</c:v>
                </c:pt>
                <c:pt idx="1200">
                  <c:v>21.787537734830735</c:v>
                </c:pt>
                <c:pt idx="1201">
                  <c:v>21.79765272054933</c:v>
                </c:pt>
                <c:pt idx="1202">
                  <c:v>21.807776348860056</c:v>
                </c:pt>
                <c:pt idx="1203">
                  <c:v>21.81790864558576</c:v>
                </c:pt>
                <c:pt idx="1204">
                  <c:v>21.828049636644113</c:v>
                </c:pt>
                <c:pt idx="1205">
                  <c:v>21.838199348048132</c:v>
                </c:pt>
                <c:pt idx="1206">
                  <c:v>21.848357805906694</c:v>
                </c:pt>
                <c:pt idx="1207">
                  <c:v>21.858525036425068</c:v>
                </c:pt>
                <c:pt idx="1208">
                  <c:v>21.868701065905434</c:v>
                </c:pt>
                <c:pt idx="1209">
                  <c:v>21.878885920747415</c:v>
                </c:pt>
                <c:pt idx="1210">
                  <c:v>21.889079627448613</c:v>
                </c:pt>
                <c:pt idx="1211">
                  <c:v>21.89928221260514</c:v>
                </c:pt>
                <c:pt idx="1212">
                  <c:v>21.909493702912169</c:v>
                </c:pt>
                <c:pt idx="1213">
                  <c:v>21.919714125164468</c:v>
                </c:pt>
                <c:pt idx="1214">
                  <c:v>21.929943506256954</c:v>
                </c:pt>
                <c:pt idx="1215">
                  <c:v>21.940181873185242</c:v>
                </c:pt>
                <c:pt idx="1216">
                  <c:v>21.950429253046202</c:v>
                </c:pt>
                <c:pt idx="1217">
                  <c:v>21.960685673038519</c:v>
                </c:pt>
                <c:pt idx="1218">
                  <c:v>21.970951160463247</c:v>
                </c:pt>
                <c:pt idx="1219">
                  <c:v>21.981225742724391</c:v>
                </c:pt>
                <c:pt idx="1220">
                  <c:v>21.991509447329467</c:v>
                </c:pt>
                <c:pt idx="1221">
                  <c:v>22.001802301890077</c:v>
                </c:pt>
                <c:pt idx="1222">
                  <c:v>22.012104334122487</c:v>
                </c:pt>
                <c:pt idx="1223">
                  <c:v>22.022415571848217</c:v>
                </c:pt>
                <c:pt idx="1224">
                  <c:v>22.032736042994614</c:v>
                </c:pt>
                <c:pt idx="1225">
                  <c:v>22.043065775595455</c:v>
                </c:pt>
                <c:pt idx="1226">
                  <c:v>22.053404797791529</c:v>
                </c:pt>
                <c:pt idx="1227">
                  <c:v>22.063753137831245</c:v>
                </c:pt>
                <c:pt idx="1228">
                  <c:v>22.07411082407123</c:v>
                </c:pt>
                <c:pt idx="1229">
                  <c:v>22.084477884976938</c:v>
                </c:pt>
                <c:pt idx="1230">
                  <c:v>22.094854349123253</c:v>
                </c:pt>
                <c:pt idx="1231">
                  <c:v>22.105240245195112</c:v>
                </c:pt>
                <c:pt idx="1232">
                  <c:v>22.115635601988121</c:v>
                </c:pt>
                <c:pt idx="1233">
                  <c:v>22.126040448409174</c:v>
                </c:pt>
                <c:pt idx="1234">
                  <c:v>22.136454813477094</c:v>
                </c:pt>
                <c:pt idx="1235">
                  <c:v>22.146878726323248</c:v>
                </c:pt>
                <c:pt idx="1236">
                  <c:v>22.157312216192189</c:v>
                </c:pt>
                <c:pt idx="1237">
                  <c:v>22.167755312442303</c:v>
                </c:pt>
                <c:pt idx="1238">
                  <c:v>22.178208044546448</c:v>
                </c:pt>
                <c:pt idx="1239">
                  <c:v>22.188670442092601</c:v>
                </c:pt>
                <c:pt idx="1240">
                  <c:v>22.199142534784521</c:v>
                </c:pt>
                <c:pt idx="1241">
                  <c:v>22.2096243524424</c:v>
                </c:pt>
                <c:pt idx="1242">
                  <c:v>22.22011592500353</c:v>
                </c:pt>
                <c:pt idx="1243">
                  <c:v>22.230617282522964</c:v>
                </c:pt>
                <c:pt idx="1244">
                  <c:v>22.241128455174199</c:v>
                </c:pt>
                <c:pt idx="1245">
                  <c:v>22.251649473249849</c:v>
                </c:pt>
                <c:pt idx="1246">
                  <c:v>22.262180367162323</c:v>
                </c:pt>
                <c:pt idx="1247">
                  <c:v>22.272721167444512</c:v>
                </c:pt>
                <c:pt idx="1248">
                  <c:v>22.283271904750492</c:v>
                </c:pt>
                <c:pt idx="1249">
                  <c:v>22.293832609856207</c:v>
                </c:pt>
                <c:pt idx="1250">
                  <c:v>22.304403313660174</c:v>
                </c:pt>
                <c:pt idx="1251">
                  <c:v>22.314984047184197</c:v>
                </c:pt>
                <c:pt idx="1252">
                  <c:v>22.325574841574063</c:v>
                </c:pt>
                <c:pt idx="1253">
                  <c:v>22.33617572810028</c:v>
                </c:pt>
                <c:pt idx="1254">
                  <c:v>22.346786738158773</c:v>
                </c:pt>
                <c:pt idx="1255">
                  <c:v>22.357407903271636</c:v>
                </c:pt>
                <c:pt idx="1256">
                  <c:v>22.36803925508784</c:v>
                </c:pt>
                <c:pt idx="1257">
                  <c:v>22.378680825383995</c:v>
                </c:pt>
                <c:pt idx="1258">
                  <c:v>22.389332646065071</c:v>
                </c:pt>
                <c:pt idx="1259">
                  <c:v>22.39999474916516</c:v>
                </c:pt>
                <c:pt idx="1260">
                  <c:v>22.410667166848214</c:v>
                </c:pt>
                <c:pt idx="1261">
                  <c:v>22.421349931408823</c:v>
                </c:pt>
                <c:pt idx="1262">
                  <c:v>22.432043075272965</c:v>
                </c:pt>
                <c:pt idx="1263">
                  <c:v>22.44274663099878</c:v>
                </c:pt>
                <c:pt idx="1264">
                  <c:v>22.453460631277345</c:v>
                </c:pt>
                <c:pt idx="1265">
                  <c:v>22.464185108933449</c:v>
                </c:pt>
                <c:pt idx="1266">
                  <c:v>22.474920096926393</c:v>
                </c:pt>
                <c:pt idx="1267">
                  <c:v>22.48566562835077</c:v>
                </c:pt>
                <c:pt idx="1268">
                  <c:v>22.496421736437263</c:v>
                </c:pt>
                <c:pt idx="1269">
                  <c:v>22.507188454553454</c:v>
                </c:pt>
                <c:pt idx="1270">
                  <c:v>22.517965816204637</c:v>
                </c:pt>
                <c:pt idx="1271">
                  <c:v>22.528753855034619</c:v>
                </c:pt>
                <c:pt idx="1272">
                  <c:v>22.539552604826554</c:v>
                </c:pt>
                <c:pt idx="1273">
                  <c:v>22.550362099503769</c:v>
                </c:pt>
                <c:pt idx="1274">
                  <c:v>22.561182373130592</c:v>
                </c:pt>
                <c:pt idx="1275">
                  <c:v>22.572013459913197</c:v>
                </c:pt>
                <c:pt idx="1276">
                  <c:v>22.58285539420045</c:v>
                </c:pt>
                <c:pt idx="1277">
                  <c:v>22.593708210484753</c:v>
                </c:pt>
                <c:pt idx="1278">
                  <c:v>22.604571943402906</c:v>
                </c:pt>
                <c:pt idx="1279">
                  <c:v>22.615446627736983</c:v>
                </c:pt>
                <c:pt idx="1280">
                  <c:v>22.626332298415186</c:v>
                </c:pt>
                <c:pt idx="1281">
                  <c:v>22.637228990512732</c:v>
                </c:pt>
                <c:pt idx="1282">
                  <c:v>22.648136739252735</c:v>
                </c:pt>
                <c:pt idx="1283">
                  <c:v>22.659055580007099</c:v>
                </c:pt>
                <c:pt idx="1284">
                  <c:v>22.669985548297412</c:v>
                </c:pt>
                <c:pt idx="1285">
                  <c:v>22.680926679795853</c:v>
                </c:pt>
                <c:pt idx="1286">
                  <c:v>22.691879010326097</c:v>
                </c:pt>
                <c:pt idx="1287">
                  <c:v>22.702842575864242</c:v>
                </c:pt>
                <c:pt idx="1288">
                  <c:v>22.713817412539726</c:v>
                </c:pt>
                <c:pt idx="1289">
                  <c:v>22.72480355663626</c:v>
                </c:pt>
                <c:pt idx="1290">
                  <c:v>22.735801044592769</c:v>
                </c:pt>
                <c:pt idx="1291">
                  <c:v>22.746809913004334</c:v>
                </c:pt>
                <c:pt idx="1292">
                  <c:v>22.75783019862315</c:v>
                </c:pt>
                <c:pt idx="1293">
                  <c:v>22.768861938359478</c:v>
                </c:pt>
                <c:pt idx="1294">
                  <c:v>22.779905169282618</c:v>
                </c:pt>
                <c:pt idx="1295">
                  <c:v>22.790959928621884</c:v>
                </c:pt>
                <c:pt idx="1296">
                  <c:v>22.80202625376759</c:v>
                </c:pt>
                <c:pt idx="1297">
                  <c:v>22.813104182272021</c:v>
                </c:pt>
                <c:pt idx="1298">
                  <c:v>22.824193751850455</c:v>
                </c:pt>
                <c:pt idx="1299">
                  <c:v>22.835295000382146</c:v>
                </c:pt>
                <c:pt idx="1300">
                  <c:v>22.846407965911354</c:v>
                </c:pt>
                <c:pt idx="1301">
                  <c:v>22.857532686648355</c:v>
                </c:pt>
                <c:pt idx="1302">
                  <c:v>22.868669200970469</c:v>
                </c:pt>
                <c:pt idx="1303">
                  <c:v>22.879817547423098</c:v>
                </c:pt>
                <c:pt idx="1304">
                  <c:v>22.89097776472077</c:v>
                </c:pt>
                <c:pt idx="1305">
                  <c:v>22.902149891748195</c:v>
                </c:pt>
                <c:pt idx="1306">
                  <c:v>22.913333967561318</c:v>
                </c:pt>
                <c:pt idx="1307">
                  <c:v>22.92453003138839</c:v>
                </c:pt>
                <c:pt idx="1308">
                  <c:v>22.935738122631044</c:v>
                </c:pt>
                <c:pt idx="1309">
                  <c:v>22.946958280865381</c:v>
                </c:pt>
                <c:pt idx="1310">
                  <c:v>22.958190545843067</c:v>
                </c:pt>
                <c:pt idx="1311">
                  <c:v>22.969434957492425</c:v>
                </c:pt>
                <c:pt idx="1312">
                  <c:v>22.980691555919559</c:v>
                </c:pt>
                <c:pt idx="1313">
                  <c:v>22.991960381409459</c:v>
                </c:pt>
                <c:pt idx="1314">
                  <c:v>23.003241474427142</c:v>
                </c:pt>
                <c:pt idx="1315">
                  <c:v>23.014534875618779</c:v>
                </c:pt>
                <c:pt idx="1316">
                  <c:v>23.025840625812847</c:v>
                </c:pt>
                <c:pt idx="1317">
                  <c:v>23.037158766021282</c:v>
                </c:pt>
                <c:pt idx="1318">
                  <c:v>23.048489337440643</c:v>
                </c:pt>
                <c:pt idx="1319">
                  <c:v>23.05983238145328</c:v>
                </c:pt>
                <c:pt idx="1320">
                  <c:v>23.071187939628526</c:v>
                </c:pt>
                <c:pt idx="1321">
                  <c:v>23.082556053723888</c:v>
                </c:pt>
                <c:pt idx="1322">
                  <c:v>23.093936765686234</c:v>
                </c:pt>
                <c:pt idx="1323">
                  <c:v>23.105330117653025</c:v>
                </c:pt>
                <c:pt idx="1324">
                  <c:v>23.116736151953521</c:v>
                </c:pt>
                <c:pt idx="1325">
                  <c:v>23.128154911110013</c:v>
                </c:pt>
                <c:pt idx="1326">
                  <c:v>23.139586437839068</c:v>
                </c:pt>
                <c:pt idx="1327">
                  <c:v>23.151030775052778</c:v>
                </c:pt>
                <c:pt idx="1328">
                  <c:v>23.16248796586002</c:v>
                </c:pt>
                <c:pt idx="1329">
                  <c:v>23.17395805356772</c:v>
                </c:pt>
                <c:pt idx="1330">
                  <c:v>23.185441081682143</c:v>
                </c:pt>
                <c:pt idx="1331">
                  <c:v>23.196937093910179</c:v>
                </c:pt>
                <c:pt idx="1332">
                  <c:v>23.208446134160646</c:v>
                </c:pt>
                <c:pt idx="1333">
                  <c:v>23.219968246545598</c:v>
                </c:pt>
                <c:pt idx="1334">
                  <c:v>23.245731100399684</c:v>
                </c:pt>
                <c:pt idx="1335">
                  <c:v>23.271559693822827</c:v>
                </c:pt>
                <c:pt idx="1336">
                  <c:v>23.297454527055926</c:v>
                </c:pt>
                <c:pt idx="1337">
                  <c:v>23.323416105575056</c:v>
                </c:pt>
                <c:pt idx="1338">
                  <c:v>23.349444940168532</c:v>
                </c:pt>
                <c:pt idx="1339">
                  <c:v>23.375541547015381</c:v>
                </c:pt>
                <c:pt idx="1340">
                  <c:v>23.401706447765299</c:v>
                </c:pt>
                <c:pt idx="1341">
                  <c:v>23.427940169620058</c:v>
                </c:pt>
                <c:pt idx="1342">
                  <c:v>23.454243245416453</c:v>
                </c:pt>
                <c:pt idx="1343">
                  <c:v>23.480616213710803</c:v>
                </c:pt>
                <c:pt idx="1344">
                  <c:v>23.507059618865032</c:v>
                </c:pt>
                <c:pt idx="1345">
                  <c:v>23.53357401113438</c:v>
                </c:pt>
                <c:pt idx="1346">
                  <c:v>23.560159946756777</c:v>
                </c:pt>
                <c:pt idx="1347">
                  <c:v>23.586817988043919</c:v>
                </c:pt>
                <c:pt idx="1348">
                  <c:v>23.613548703474081</c:v>
                </c:pt>
                <c:pt idx="1349">
                  <c:v>23.640352667786715</c:v>
                </c:pt>
                <c:pt idx="1350">
                  <c:v>23.667230462078869</c:v>
                </c:pt>
                <c:pt idx="1351">
                  <c:v>23.694182673903477</c:v>
                </c:pt>
                <c:pt idx="1352">
                  <c:v>23.721209897369548</c:v>
                </c:pt>
                <c:pt idx="1353">
                  <c:v>23.748312733244312</c:v>
                </c:pt>
                <c:pt idx="1354">
                  <c:v>23.775491789057376</c:v>
                </c:pt>
                <c:pt idx="1355">
                  <c:v>23.802747679206927</c:v>
                </c:pt>
                <c:pt idx="1356">
                  <c:v>23.830081025068012</c:v>
                </c:pt>
                <c:pt idx="1357">
                  <c:v>23.857492455102999</c:v>
                </c:pt>
                <c:pt idx="1358">
                  <c:v>23.884982604974219</c:v>
                </c:pt>
                <c:pt idx="1359">
                  <c:v>23.912552117658851</c:v>
                </c:pt>
                <c:pt idx="1360">
                  <c:v>23.940201643566141</c:v>
                </c:pt>
                <c:pt idx="1361">
                  <c:v>23.967931840656966</c:v>
                </c:pt>
                <c:pt idx="1362">
                  <c:v>23.99574337456583</c:v>
                </c:pt>
                <c:pt idx="1363">
                  <c:v>24.023636918725334</c:v>
                </c:pt>
                <c:pt idx="1364">
                  <c:v>24.0516131544932</c:v>
                </c:pt>
                <c:pt idx="1365">
                  <c:v>24.079672771281896</c:v>
                </c:pt>
                <c:pt idx="1366">
                  <c:v>24.107816466690924</c:v>
                </c:pt>
                <c:pt idx="1367">
                  <c:v>24.136044946641867</c:v>
                </c:pt>
                <c:pt idx="1368">
                  <c:v>24.164358925516233</c:v>
                </c:pt>
                <c:pt idx="1369">
                  <c:v>24.192759126296167</c:v>
                </c:pt>
                <c:pt idx="1370">
                  <c:v>24.22124628070814</c:v>
                </c:pt>
                <c:pt idx="1371">
                  <c:v>24.249821129369643</c:v>
                </c:pt>
                <c:pt idx="1372">
                  <c:v>24.278484421938995</c:v>
                </c:pt>
                <c:pt idx="1373">
                  <c:v>24.307236917268337</c:v>
                </c:pt>
                <c:pt idx="1374">
                  <c:v>24.336079383559891</c:v>
                </c:pt>
                <c:pt idx="1375">
                  <c:v>24.365012598525567</c:v>
                </c:pt>
                <c:pt idx="1376">
                  <c:v>24.394037349550025</c:v>
                </c:pt>
                <c:pt idx="1377">
                  <c:v>24.423154433857249</c:v>
                </c:pt>
                <c:pt idx="1378">
                  <c:v>24.452364658680747</c:v>
                </c:pt>
                <c:pt idx="1379">
                  <c:v>24.481668841437475</c:v>
                </c:pt>
                <c:pt idx="1380">
                  <c:v>24.51106780990558</c:v>
                </c:pt>
                <c:pt idx="1381">
                  <c:v>24.540562402406053</c:v>
                </c:pt>
                <c:pt idx="1382">
                  <c:v>24.570153467988415</c:v>
                </c:pt>
                <c:pt idx="1383">
                  <c:v>24.59984186662053</c:v>
                </c:pt>
                <c:pt idx="1384">
                  <c:v>24.629628469382659</c:v>
                </c:pt>
                <c:pt idx="1385">
                  <c:v>24.659514158665893</c:v>
                </c:pt>
                <c:pt idx="1386">
                  <c:v>24.689499828375038</c:v>
                </c:pt>
                <c:pt idx="1387">
                  <c:v>24.719586384136118</c:v>
                </c:pt>
                <c:pt idx="1388">
                  <c:v>24.749774743508613</c:v>
                </c:pt>
                <c:pt idx="1389">
                  <c:v>24.780065836202532</c:v>
                </c:pt>
                <c:pt idx="1390">
                  <c:v>24.810460604300513</c:v>
                </c:pt>
                <c:pt idx="1391">
                  <c:v>24.840960002485033</c:v>
                </c:pt>
                <c:pt idx="1392">
                  <c:v>24.871564998270912</c:v>
                </c:pt>
                <c:pt idx="1393">
                  <c:v>24.902276572243242</c:v>
                </c:pt>
                <c:pt idx="1394">
                  <c:v>24.933095718300894</c:v>
                </c:pt>
                <c:pt idx="1395">
                  <c:v>24.964023443905774</c:v>
                </c:pt>
                <c:pt idx="1396">
                  <c:v>24.995060770337979</c:v>
                </c:pt>
                <c:pt idx="1397">
                  <c:v>25.026208732957045</c:v>
                </c:pt>
                <c:pt idx="1398">
                  <c:v>25.057468381469434</c:v>
                </c:pt>
                <c:pt idx="1399">
                  <c:v>25.08884078020245</c:v>
                </c:pt>
                <c:pt idx="1400">
                  <c:v>25.120327008384805</c:v>
                </c:pt>
                <c:pt idx="1401">
                  <c:v>25.151928160433982</c:v>
                </c:pt>
                <c:pt idx="1402">
                  <c:v>25.183645346250625</c:v>
                </c:pt>
                <c:pt idx="1403">
                  <c:v>25.215479691520152</c:v>
                </c:pt>
                <c:pt idx="1404">
                  <c:v>25.247432338021827</c:v>
                </c:pt>
                <c:pt idx="1405">
                  <c:v>25.279504443945488</c:v>
                </c:pt>
                <c:pt idx="1406">
                  <c:v>25.311697184216175</c:v>
                </c:pt>
                <c:pt idx="1407">
                  <c:v>25.344011750826908</c:v>
                </c:pt>
                <c:pt idx="1408">
                  <c:v>25.37644935317984</c:v>
                </c:pt>
                <c:pt idx="1409">
                  <c:v>25.409011218436067</c:v>
                </c:pt>
                <c:pt idx="1410">
                  <c:v>25.441698591874339</c:v>
                </c:pt>
                <c:pt idx="1411">
                  <c:v>25.474512737258966</c:v>
                </c:pt>
                <c:pt idx="1412">
                  <c:v>25.507454937217197</c:v>
                </c:pt>
                <c:pt idx="1413">
                  <c:v>25.607454937217199</c:v>
                </c:pt>
                <c:pt idx="1414">
                  <c:v>25.7074549372172</c:v>
                </c:pt>
                <c:pt idx="1415">
                  <c:v>25.807454937217202</c:v>
                </c:pt>
                <c:pt idx="1416">
                  <c:v>25.907454937217203</c:v>
                </c:pt>
                <c:pt idx="1417">
                  <c:v>26.007454937217204</c:v>
                </c:pt>
                <c:pt idx="1418">
                  <c:v>26.107454937217206</c:v>
                </c:pt>
                <c:pt idx="1419">
                  <c:v>26.207454937217207</c:v>
                </c:pt>
                <c:pt idx="1420">
                  <c:v>26.307454937217209</c:v>
                </c:pt>
                <c:pt idx="1421">
                  <c:v>26.40745493721721</c:v>
                </c:pt>
                <c:pt idx="1422">
                  <c:v>26.507454937217211</c:v>
                </c:pt>
                <c:pt idx="1423">
                  <c:v>26.607454937217213</c:v>
                </c:pt>
                <c:pt idx="1424">
                  <c:v>26.707454937217214</c:v>
                </c:pt>
                <c:pt idx="1425">
                  <c:v>26.807454937217216</c:v>
                </c:pt>
                <c:pt idx="1426">
                  <c:v>26.907454937217217</c:v>
                </c:pt>
                <c:pt idx="1427">
                  <c:v>27.007454937217219</c:v>
                </c:pt>
                <c:pt idx="1428">
                  <c:v>27.10745493721722</c:v>
                </c:pt>
                <c:pt idx="1429">
                  <c:v>27.207454937217221</c:v>
                </c:pt>
                <c:pt idx="1430">
                  <c:v>27.307454937217223</c:v>
                </c:pt>
                <c:pt idx="1431">
                  <c:v>27.407454937217224</c:v>
                </c:pt>
                <c:pt idx="1432">
                  <c:v>27.507454937217226</c:v>
                </c:pt>
                <c:pt idx="1433">
                  <c:v>27.607454937217227</c:v>
                </c:pt>
                <c:pt idx="1434">
                  <c:v>27.707454937217229</c:v>
                </c:pt>
                <c:pt idx="1435">
                  <c:v>27.80745493721723</c:v>
                </c:pt>
                <c:pt idx="1436">
                  <c:v>27.907454937217231</c:v>
                </c:pt>
                <c:pt idx="1437">
                  <c:v>28.007454937217233</c:v>
                </c:pt>
                <c:pt idx="1438">
                  <c:v>28.107454937217234</c:v>
                </c:pt>
                <c:pt idx="1439">
                  <c:v>28.207454937217236</c:v>
                </c:pt>
                <c:pt idx="1440">
                  <c:v>28.307454937217237</c:v>
                </c:pt>
                <c:pt idx="1441">
                  <c:v>28.407454937217238</c:v>
                </c:pt>
                <c:pt idx="1442">
                  <c:v>28.50745493721724</c:v>
                </c:pt>
                <c:pt idx="1443">
                  <c:v>28.607454937217241</c:v>
                </c:pt>
                <c:pt idx="1444">
                  <c:v>28.707454937217243</c:v>
                </c:pt>
                <c:pt idx="1445">
                  <c:v>28.807454937217244</c:v>
                </c:pt>
                <c:pt idx="1446">
                  <c:v>28.907454937217246</c:v>
                </c:pt>
                <c:pt idx="1447">
                  <c:v>29.007454937217247</c:v>
                </c:pt>
                <c:pt idx="1448">
                  <c:v>29.107454937217248</c:v>
                </c:pt>
                <c:pt idx="1449">
                  <c:v>29.20745493721725</c:v>
                </c:pt>
                <c:pt idx="1450">
                  <c:v>29.307454937217251</c:v>
                </c:pt>
                <c:pt idx="1451">
                  <c:v>29.407454937217253</c:v>
                </c:pt>
                <c:pt idx="1452">
                  <c:v>29.507454937217254</c:v>
                </c:pt>
                <c:pt idx="1453">
                  <c:v>29.607454937217256</c:v>
                </c:pt>
                <c:pt idx="1454">
                  <c:v>29.707454937217257</c:v>
                </c:pt>
                <c:pt idx="1455">
                  <c:v>29.807454937217258</c:v>
                </c:pt>
                <c:pt idx="1456">
                  <c:v>29.90745493721726</c:v>
                </c:pt>
                <c:pt idx="1457">
                  <c:v>30.007454937217261</c:v>
                </c:pt>
                <c:pt idx="1458">
                  <c:v>30.107454937217263</c:v>
                </c:pt>
                <c:pt idx="1459">
                  <c:v>30.207454937217264</c:v>
                </c:pt>
                <c:pt idx="1460">
                  <c:v>30.307454937217265</c:v>
                </c:pt>
                <c:pt idx="1461">
                  <c:v>30.407454937217267</c:v>
                </c:pt>
                <c:pt idx="1462">
                  <c:v>30.507454937217268</c:v>
                </c:pt>
                <c:pt idx="1463">
                  <c:v>30.60745493721727</c:v>
                </c:pt>
                <c:pt idx="1464">
                  <c:v>30.707454937217271</c:v>
                </c:pt>
                <c:pt idx="1465">
                  <c:v>30.807454937217273</c:v>
                </c:pt>
                <c:pt idx="1466">
                  <c:v>30.907454937217274</c:v>
                </c:pt>
                <c:pt idx="1467">
                  <c:v>31.007454937217275</c:v>
                </c:pt>
                <c:pt idx="1468">
                  <c:v>31.107454937217277</c:v>
                </c:pt>
                <c:pt idx="1469">
                  <c:v>31.207454937217278</c:v>
                </c:pt>
                <c:pt idx="1470">
                  <c:v>31.30745493721728</c:v>
                </c:pt>
                <c:pt idx="1471">
                  <c:v>31.407454937217281</c:v>
                </c:pt>
                <c:pt idx="1472">
                  <c:v>31.507454937217283</c:v>
                </c:pt>
                <c:pt idx="1473">
                  <c:v>31.607454937217284</c:v>
                </c:pt>
                <c:pt idx="1474">
                  <c:v>31.707454937217285</c:v>
                </c:pt>
                <c:pt idx="1475">
                  <c:v>31.807454937217287</c:v>
                </c:pt>
                <c:pt idx="1476">
                  <c:v>31.907454937217288</c:v>
                </c:pt>
                <c:pt idx="1477">
                  <c:v>32.00745493721729</c:v>
                </c:pt>
                <c:pt idx="1478">
                  <c:v>32.107454937217291</c:v>
                </c:pt>
                <c:pt idx="1479">
                  <c:v>32.207454937217292</c:v>
                </c:pt>
                <c:pt idx="1480">
                  <c:v>32.307454937217294</c:v>
                </c:pt>
                <c:pt idx="1481">
                  <c:v>32.407454937217295</c:v>
                </c:pt>
                <c:pt idx="1482">
                  <c:v>32.507454937217297</c:v>
                </c:pt>
                <c:pt idx="1483">
                  <c:v>32.607454937217298</c:v>
                </c:pt>
                <c:pt idx="1484">
                  <c:v>32.7074549372173</c:v>
                </c:pt>
                <c:pt idx="1485">
                  <c:v>32.807454937217301</c:v>
                </c:pt>
                <c:pt idx="1486">
                  <c:v>32.907454937217302</c:v>
                </c:pt>
                <c:pt idx="1487">
                  <c:v>33.007454937217304</c:v>
                </c:pt>
                <c:pt idx="1488">
                  <c:v>33.107454937217305</c:v>
                </c:pt>
                <c:pt idx="1489">
                  <c:v>33.207454937217307</c:v>
                </c:pt>
                <c:pt idx="1490">
                  <c:v>33.307454937217308</c:v>
                </c:pt>
                <c:pt idx="1491">
                  <c:v>33.40745493721731</c:v>
                </c:pt>
                <c:pt idx="1492">
                  <c:v>33.507454937217311</c:v>
                </c:pt>
                <c:pt idx="1493">
                  <c:v>33.607454937217312</c:v>
                </c:pt>
                <c:pt idx="1494">
                  <c:v>33.707454937217314</c:v>
                </c:pt>
                <c:pt idx="1495">
                  <c:v>33.807454937217315</c:v>
                </c:pt>
                <c:pt idx="1496">
                  <c:v>33.907454937217317</c:v>
                </c:pt>
                <c:pt idx="1497">
                  <c:v>34.007454937217318</c:v>
                </c:pt>
                <c:pt idx="1498">
                  <c:v>34.107454937217319</c:v>
                </c:pt>
                <c:pt idx="1499">
                  <c:v>34.207454937217321</c:v>
                </c:pt>
                <c:pt idx="1500">
                  <c:v>34.307454937217322</c:v>
                </c:pt>
                <c:pt idx="1501">
                  <c:v>34.407454937217324</c:v>
                </c:pt>
                <c:pt idx="1502">
                  <c:v>34.507454937217325</c:v>
                </c:pt>
                <c:pt idx="1503">
                  <c:v>34.607454937217327</c:v>
                </c:pt>
                <c:pt idx="1504">
                  <c:v>34.707454937217328</c:v>
                </c:pt>
                <c:pt idx="1505">
                  <c:v>34.807454937217329</c:v>
                </c:pt>
                <c:pt idx="1506">
                  <c:v>34.907454937217331</c:v>
                </c:pt>
                <c:pt idx="1507">
                  <c:v>35.007454937217332</c:v>
                </c:pt>
                <c:pt idx="1508">
                  <c:v>35.107454937217334</c:v>
                </c:pt>
                <c:pt idx="1509">
                  <c:v>35.207454937217335</c:v>
                </c:pt>
                <c:pt idx="1510">
                  <c:v>35.307454937217337</c:v>
                </c:pt>
                <c:pt idx="1511">
                  <c:v>35.407454937217338</c:v>
                </c:pt>
                <c:pt idx="1512">
                  <c:v>35.507454937217339</c:v>
                </c:pt>
                <c:pt idx="1513">
                  <c:v>35.607454937217341</c:v>
                </c:pt>
                <c:pt idx="1514">
                  <c:v>35.707454937217342</c:v>
                </c:pt>
                <c:pt idx="1515">
                  <c:v>35.807454937217344</c:v>
                </c:pt>
                <c:pt idx="1516">
                  <c:v>35.907454937217345</c:v>
                </c:pt>
                <c:pt idx="1517">
                  <c:v>36.007454937217346</c:v>
                </c:pt>
                <c:pt idx="1518">
                  <c:v>36.107454937217348</c:v>
                </c:pt>
                <c:pt idx="1519">
                  <c:v>36.207454937217349</c:v>
                </c:pt>
                <c:pt idx="1520">
                  <c:v>36.307454937217351</c:v>
                </c:pt>
                <c:pt idx="1521">
                  <c:v>36.407454937217352</c:v>
                </c:pt>
                <c:pt idx="1522">
                  <c:v>36.507454937217354</c:v>
                </c:pt>
                <c:pt idx="1523">
                  <c:v>36.607454937217355</c:v>
                </c:pt>
                <c:pt idx="1524">
                  <c:v>36.707454937217356</c:v>
                </c:pt>
                <c:pt idx="1525">
                  <c:v>36.807454937217358</c:v>
                </c:pt>
                <c:pt idx="1526">
                  <c:v>36.907454937217359</c:v>
                </c:pt>
                <c:pt idx="1527">
                  <c:v>37.007454937217361</c:v>
                </c:pt>
                <c:pt idx="1528">
                  <c:v>37.107454937217362</c:v>
                </c:pt>
                <c:pt idx="1529">
                  <c:v>37.207454937217364</c:v>
                </c:pt>
                <c:pt idx="1530">
                  <c:v>37.307454937217365</c:v>
                </c:pt>
                <c:pt idx="1531">
                  <c:v>37.407454937217366</c:v>
                </c:pt>
                <c:pt idx="1532">
                  <c:v>37.507454937217368</c:v>
                </c:pt>
                <c:pt idx="1533">
                  <c:v>37.607454937217369</c:v>
                </c:pt>
                <c:pt idx="1534">
                  <c:v>37.707454937217371</c:v>
                </c:pt>
                <c:pt idx="1535">
                  <c:v>37.807454937217372</c:v>
                </c:pt>
                <c:pt idx="1536">
                  <c:v>37.907454937217373</c:v>
                </c:pt>
                <c:pt idx="1537">
                  <c:v>38.007454937217375</c:v>
                </c:pt>
                <c:pt idx="1538">
                  <c:v>38.107454937217376</c:v>
                </c:pt>
                <c:pt idx="1539">
                  <c:v>38.207454937217378</c:v>
                </c:pt>
                <c:pt idx="1540">
                  <c:v>38.307454937217379</c:v>
                </c:pt>
                <c:pt idx="1541">
                  <c:v>38.407454937217381</c:v>
                </c:pt>
                <c:pt idx="1542">
                  <c:v>38.507454937217382</c:v>
                </c:pt>
                <c:pt idx="1543">
                  <c:v>38.607454937217383</c:v>
                </c:pt>
                <c:pt idx="1544">
                  <c:v>38.707454937217385</c:v>
                </c:pt>
                <c:pt idx="1545">
                  <c:v>38.807454937217386</c:v>
                </c:pt>
                <c:pt idx="1546">
                  <c:v>38.907454937217388</c:v>
                </c:pt>
                <c:pt idx="1547">
                  <c:v>39.007454937217389</c:v>
                </c:pt>
                <c:pt idx="1548">
                  <c:v>39.107454937217391</c:v>
                </c:pt>
                <c:pt idx="1549">
                  <c:v>39.207454937217392</c:v>
                </c:pt>
                <c:pt idx="1550">
                  <c:v>39.307454937217393</c:v>
                </c:pt>
                <c:pt idx="1551">
                  <c:v>39.407454937217395</c:v>
                </c:pt>
                <c:pt idx="1552">
                  <c:v>39.507454937217396</c:v>
                </c:pt>
                <c:pt idx="1553">
                  <c:v>39.607454937217398</c:v>
                </c:pt>
                <c:pt idx="1554">
                  <c:v>39.707454937217399</c:v>
                </c:pt>
                <c:pt idx="1555">
                  <c:v>39.8074549372174</c:v>
                </c:pt>
                <c:pt idx="1556">
                  <c:v>39.907454937217402</c:v>
                </c:pt>
                <c:pt idx="1557">
                  <c:v>40.007454937217403</c:v>
                </c:pt>
                <c:pt idx="1558">
                  <c:v>40.107454937217405</c:v>
                </c:pt>
                <c:pt idx="1559">
                  <c:v>40.207454937217406</c:v>
                </c:pt>
                <c:pt idx="1560">
                  <c:v>40.307454937217408</c:v>
                </c:pt>
                <c:pt idx="1561">
                  <c:v>40.407454937217409</c:v>
                </c:pt>
                <c:pt idx="1562">
                  <c:v>40.50745493721741</c:v>
                </c:pt>
                <c:pt idx="1563">
                  <c:v>40.607454937217412</c:v>
                </c:pt>
                <c:pt idx="1564">
                  <c:v>40.707454937217413</c:v>
                </c:pt>
                <c:pt idx="1565">
                  <c:v>40.807454937217415</c:v>
                </c:pt>
                <c:pt idx="1566">
                  <c:v>40.907454937217416</c:v>
                </c:pt>
                <c:pt idx="1567">
                  <c:v>41.007454937217418</c:v>
                </c:pt>
                <c:pt idx="1568">
                  <c:v>41.107454937217419</c:v>
                </c:pt>
                <c:pt idx="1569">
                  <c:v>41.20745493721742</c:v>
                </c:pt>
                <c:pt idx="1570">
                  <c:v>41.307454937217422</c:v>
                </c:pt>
                <c:pt idx="1571">
                  <c:v>41.407454937217423</c:v>
                </c:pt>
                <c:pt idx="1572">
                  <c:v>41.507454937217425</c:v>
                </c:pt>
                <c:pt idx="1573">
                  <c:v>41.607454937217426</c:v>
                </c:pt>
                <c:pt idx="1574">
                  <c:v>41.707454937217427</c:v>
                </c:pt>
                <c:pt idx="1575">
                  <c:v>41.807454937217429</c:v>
                </c:pt>
                <c:pt idx="1576">
                  <c:v>41.90745493721743</c:v>
                </c:pt>
                <c:pt idx="1577">
                  <c:v>42.007454937217432</c:v>
                </c:pt>
                <c:pt idx="1578">
                  <c:v>42.107454937217433</c:v>
                </c:pt>
                <c:pt idx="1579">
                  <c:v>42.207454937217435</c:v>
                </c:pt>
                <c:pt idx="1580">
                  <c:v>42.307454937217436</c:v>
                </c:pt>
                <c:pt idx="1581">
                  <c:v>42.407454937217437</c:v>
                </c:pt>
                <c:pt idx="1582">
                  <c:v>42.507454937217439</c:v>
                </c:pt>
                <c:pt idx="1583">
                  <c:v>42.60745493721744</c:v>
                </c:pt>
                <c:pt idx="1584">
                  <c:v>42.707454937217442</c:v>
                </c:pt>
                <c:pt idx="1585">
                  <c:v>42.807454937217443</c:v>
                </c:pt>
                <c:pt idx="1586">
                  <c:v>42.907454937217445</c:v>
                </c:pt>
                <c:pt idx="1587">
                  <c:v>43.007454937217446</c:v>
                </c:pt>
                <c:pt idx="1588">
                  <c:v>43.107454937217447</c:v>
                </c:pt>
                <c:pt idx="1589">
                  <c:v>43.207454937217449</c:v>
                </c:pt>
                <c:pt idx="1590">
                  <c:v>43.30745493721745</c:v>
                </c:pt>
                <c:pt idx="1591">
                  <c:v>43.407454937217452</c:v>
                </c:pt>
                <c:pt idx="1592">
                  <c:v>43.507454937217453</c:v>
                </c:pt>
                <c:pt idx="1593">
                  <c:v>43.607454937217454</c:v>
                </c:pt>
                <c:pt idx="1594">
                  <c:v>43.707454937217456</c:v>
                </c:pt>
                <c:pt idx="1595">
                  <c:v>43.807454937217457</c:v>
                </c:pt>
                <c:pt idx="1596">
                  <c:v>43.907454937217459</c:v>
                </c:pt>
                <c:pt idx="1597">
                  <c:v>44.00745493721746</c:v>
                </c:pt>
                <c:pt idx="1598">
                  <c:v>44.107454937217462</c:v>
                </c:pt>
                <c:pt idx="1599">
                  <c:v>44.207454937217463</c:v>
                </c:pt>
                <c:pt idx="1600">
                  <c:v>44.307454937217464</c:v>
                </c:pt>
                <c:pt idx="1601">
                  <c:v>44.407454937217466</c:v>
                </c:pt>
                <c:pt idx="1602">
                  <c:v>44.507454937217467</c:v>
                </c:pt>
                <c:pt idx="1603">
                  <c:v>44.607454937217469</c:v>
                </c:pt>
                <c:pt idx="1604">
                  <c:v>44.70745493721747</c:v>
                </c:pt>
                <c:pt idx="1605">
                  <c:v>44.807454937217472</c:v>
                </c:pt>
                <c:pt idx="1606">
                  <c:v>44.907454937217473</c:v>
                </c:pt>
                <c:pt idx="1607">
                  <c:v>45.007454937217474</c:v>
                </c:pt>
                <c:pt idx="1608">
                  <c:v>45.107454937217476</c:v>
                </c:pt>
                <c:pt idx="1609">
                  <c:v>45.207454937217477</c:v>
                </c:pt>
                <c:pt idx="1610">
                  <c:v>45.307454937217479</c:v>
                </c:pt>
                <c:pt idx="1611">
                  <c:v>45.40745493721748</c:v>
                </c:pt>
                <c:pt idx="1612">
                  <c:v>45.507454937217481</c:v>
                </c:pt>
                <c:pt idx="1613">
                  <c:v>45.607454937217483</c:v>
                </c:pt>
                <c:pt idx="1614">
                  <c:v>45.707454937217484</c:v>
                </c:pt>
                <c:pt idx="1615">
                  <c:v>45.807454937217486</c:v>
                </c:pt>
                <c:pt idx="1616">
                  <c:v>45.907454937217487</c:v>
                </c:pt>
                <c:pt idx="1617">
                  <c:v>46.007454937217489</c:v>
                </c:pt>
                <c:pt idx="1618">
                  <c:v>46.10745493721749</c:v>
                </c:pt>
                <c:pt idx="1619">
                  <c:v>46.207454937217491</c:v>
                </c:pt>
                <c:pt idx="1620">
                  <c:v>46.307454937217493</c:v>
                </c:pt>
                <c:pt idx="1621">
                  <c:v>46.407454937217494</c:v>
                </c:pt>
                <c:pt idx="1622">
                  <c:v>46.507454937217496</c:v>
                </c:pt>
                <c:pt idx="1623">
                  <c:v>46.607454937217497</c:v>
                </c:pt>
                <c:pt idx="1624">
                  <c:v>46.707454937217499</c:v>
                </c:pt>
                <c:pt idx="1625">
                  <c:v>46.8074549372175</c:v>
                </c:pt>
                <c:pt idx="1626">
                  <c:v>46.907454937217501</c:v>
                </c:pt>
                <c:pt idx="1627">
                  <c:v>47.007454937217503</c:v>
                </c:pt>
                <c:pt idx="1628">
                  <c:v>47.107454937217504</c:v>
                </c:pt>
                <c:pt idx="1629">
                  <c:v>47.207454937217506</c:v>
                </c:pt>
                <c:pt idx="1630">
                  <c:v>47.307454937217507</c:v>
                </c:pt>
                <c:pt idx="1631">
                  <c:v>47.407454937217508</c:v>
                </c:pt>
                <c:pt idx="1632">
                  <c:v>47.50745493721751</c:v>
                </c:pt>
                <c:pt idx="1633">
                  <c:v>47.607454937217511</c:v>
                </c:pt>
                <c:pt idx="1634">
                  <c:v>47.707454937217513</c:v>
                </c:pt>
                <c:pt idx="1635">
                  <c:v>47.807454937217514</c:v>
                </c:pt>
                <c:pt idx="1636">
                  <c:v>47.907454937217516</c:v>
                </c:pt>
                <c:pt idx="1637">
                  <c:v>48.007454937217517</c:v>
                </c:pt>
                <c:pt idx="1638">
                  <c:v>48.107454937217518</c:v>
                </c:pt>
                <c:pt idx="1639">
                  <c:v>48.20745493721752</c:v>
                </c:pt>
                <c:pt idx="1640">
                  <c:v>48.307454937217521</c:v>
                </c:pt>
                <c:pt idx="1641">
                  <c:v>48.407454937217523</c:v>
                </c:pt>
                <c:pt idx="1642">
                  <c:v>48.507454937217524</c:v>
                </c:pt>
                <c:pt idx="1643">
                  <c:v>48.607454937217526</c:v>
                </c:pt>
                <c:pt idx="1644">
                  <c:v>48.707454937217527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data!$I$2</c:f>
              <c:strCache>
                <c:ptCount val="1"/>
                <c:pt idx="0">
                  <c:v>dh/dt</c:v>
                </c:pt>
              </c:strCache>
            </c:strRef>
          </c:tx>
          <c:marker>
            <c:symbol val="none"/>
          </c:marker>
          <c:xVal>
            <c:numRef>
              <c:f>data!$H$3:$H$4454</c:f>
              <c:numCache>
                <c:formatCode>0.00E+00</c:formatCode>
                <c:ptCount val="4452"/>
                <c:pt idx="0" formatCode="General">
                  <c:v>0</c:v>
                </c:pt>
                <c:pt idx="1">
                  <c:v>1E-4</c:v>
                </c:pt>
                <c:pt idx="2">
                  <c:v>1.1000000000000002E-4</c:v>
                </c:pt>
                <c:pt idx="3">
                  <c:v>1.2100000000000003E-4</c:v>
                </c:pt>
                <c:pt idx="4">
                  <c:v>1.3310000000000004E-4</c:v>
                </c:pt>
                <c:pt idx="5">
                  <c:v>1.4641000000000006E-4</c:v>
                </c:pt>
                <c:pt idx="6">
                  <c:v>1.6105100000000008E-4</c:v>
                </c:pt>
                <c:pt idx="7">
                  <c:v>1.771561000000001E-4</c:v>
                </c:pt>
                <c:pt idx="8">
                  <c:v>1.9487171000000012E-4</c:v>
                </c:pt>
                <c:pt idx="9">
                  <c:v>2.1435888100000014E-4</c:v>
                </c:pt>
                <c:pt idx="10">
                  <c:v>2.3579476910000016E-4</c:v>
                </c:pt>
                <c:pt idx="11">
                  <c:v>2.5937424601000017E-4</c:v>
                </c:pt>
                <c:pt idx="12">
                  <c:v>2.8531167061100022E-4</c:v>
                </c:pt>
                <c:pt idx="13">
                  <c:v>3.1384283767210024E-4</c:v>
                </c:pt>
                <c:pt idx="14">
                  <c:v>3.452271214393103E-4</c:v>
                </c:pt>
                <c:pt idx="15">
                  <c:v>3.7974983358324136E-4</c:v>
                </c:pt>
                <c:pt idx="16">
                  <c:v>4.1772481694156552E-4</c:v>
                </c:pt>
                <c:pt idx="17">
                  <c:v>4.5949729863572212E-4</c:v>
                </c:pt>
                <c:pt idx="18">
                  <c:v>5.0544702849929441E-4</c:v>
                </c:pt>
                <c:pt idx="19">
                  <c:v>5.5599173134922395E-4</c:v>
                </c:pt>
                <c:pt idx="20">
                  <c:v>6.115909044841464E-4</c:v>
                </c:pt>
                <c:pt idx="21">
                  <c:v>6.7274999493256108E-4</c:v>
                </c:pt>
                <c:pt idx="22">
                  <c:v>7.4002499442581723E-4</c:v>
                </c:pt>
                <c:pt idx="23">
                  <c:v>8.1402749386839902E-4</c:v>
                </c:pt>
                <c:pt idx="24">
                  <c:v>8.9543024325523899E-4</c:v>
                </c:pt>
                <c:pt idx="25">
                  <c:v>9.8497326758076298E-4</c:v>
                </c:pt>
                <c:pt idx="26">
                  <c:v>1.0834705943388394E-3</c:v>
                </c:pt>
                <c:pt idx="27">
                  <c:v>1.1918176537727234E-3</c:v>
                </c:pt>
                <c:pt idx="28">
                  <c:v>1.3109994191499959E-3</c:v>
                </c:pt>
                <c:pt idx="29">
                  <c:v>1.4420993610649957E-3</c:v>
                </c:pt>
                <c:pt idx="30">
                  <c:v>1.5863092971714955E-3</c:v>
                </c:pt>
                <c:pt idx="31">
                  <c:v>1.7449402268886452E-3</c:v>
                </c:pt>
                <c:pt idx="32">
                  <c:v>1.9194342495775099E-3</c:v>
                </c:pt>
                <c:pt idx="33">
                  <c:v>2.1113776745352612E-3</c:v>
                </c:pt>
                <c:pt idx="34">
                  <c:v>2.3225154419887874E-3</c:v>
                </c:pt>
                <c:pt idx="35">
                  <c:v>2.5547669861876662E-3</c:v>
                </c:pt>
                <c:pt idx="36">
                  <c:v>2.8102436848064329E-3</c:v>
                </c:pt>
                <c:pt idx="37">
                  <c:v>3.0912680532870765E-3</c:v>
                </c:pt>
                <c:pt idx="38">
                  <c:v>3.4003948586157845E-3</c:v>
                </c:pt>
                <c:pt idx="39">
                  <c:v>3.7404343444773632E-3</c:v>
                </c:pt>
                <c:pt idx="40">
                  <c:v>4.1144777789250998E-3</c:v>
                </c:pt>
                <c:pt idx="41">
                  <c:v>4.5259255568176103E-3</c:v>
                </c:pt>
                <c:pt idx="42">
                  <c:v>4.9785181124993722E-3</c:v>
                </c:pt>
                <c:pt idx="43">
                  <c:v>5.4763699237493097E-3</c:v>
                </c:pt>
                <c:pt idx="44">
                  <c:v>6.0240069161242409E-3</c:v>
                </c:pt>
                <c:pt idx="45">
                  <c:v>6.6264076077366656E-3</c:v>
                </c:pt>
                <c:pt idx="46">
                  <c:v>7.2890483685103327E-3</c:v>
                </c:pt>
                <c:pt idx="47">
                  <c:v>8.0179532053613663E-3</c:v>
                </c:pt>
                <c:pt idx="48">
                  <c:v>8.8197485258975031E-3</c:v>
                </c:pt>
                <c:pt idx="49">
                  <c:v>9.7017233784872543E-3</c:v>
                </c:pt>
                <c:pt idx="50">
                  <c:v>1.0671895716335981E-2</c:v>
                </c:pt>
                <c:pt idx="51">
                  <c:v>1.173908528796958E-2</c:v>
                </c:pt>
                <c:pt idx="52">
                  <c:v>1.2912993816766539E-2</c:v>
                </c:pt>
                <c:pt idx="53">
                  <c:v>1.4204293198443194E-2</c:v>
                </c:pt>
                <c:pt idx="54">
                  <c:v>1.5624722518287514E-2</c:v>
                </c:pt>
                <c:pt idx="55">
                  <c:v>1.7187194770116265E-2</c:v>
                </c:pt>
                <c:pt idx="56">
                  <c:v>1.8905914247127894E-2</c:v>
                </c:pt>
                <c:pt idx="57">
                  <c:v>2.0796505671840684E-2</c:v>
                </c:pt>
                <c:pt idx="58">
                  <c:v>2.2876156239024753E-2</c:v>
                </c:pt>
                <c:pt idx="59">
                  <c:v>2.5163771862927231E-2</c:v>
                </c:pt>
                <c:pt idx="60">
                  <c:v>2.7680149049219956E-2</c:v>
                </c:pt>
                <c:pt idx="61">
                  <c:v>3.0448163954141953E-2</c:v>
                </c:pt>
                <c:pt idx="62">
                  <c:v>3.3492980349556153E-2</c:v>
                </c:pt>
                <c:pt idx="63">
                  <c:v>3.6842278384511769E-2</c:v>
                </c:pt>
                <c:pt idx="64">
                  <c:v>4.0526506222962951E-2</c:v>
                </c:pt>
                <c:pt idx="65">
                  <c:v>4.4579156845259246E-2</c:v>
                </c:pt>
                <c:pt idx="66">
                  <c:v>4.9037072529785175E-2</c:v>
                </c:pt>
                <c:pt idx="67">
                  <c:v>5.3940779782763695E-2</c:v>
                </c:pt>
                <c:pt idx="68">
                  <c:v>5.9334857761040069E-2</c:v>
                </c:pt>
                <c:pt idx="69">
                  <c:v>6.5268343537144086E-2</c:v>
                </c:pt>
                <c:pt idx="70">
                  <c:v>7.17951778908585E-2</c:v>
                </c:pt>
                <c:pt idx="71">
                  <c:v>7.8974695679944362E-2</c:v>
                </c:pt>
                <c:pt idx="72">
                  <c:v>8.687216524793881E-2</c:v>
                </c:pt>
                <c:pt idx="73">
                  <c:v>9.5559381772732696E-2</c:v>
                </c:pt>
                <c:pt idx="74">
                  <c:v>0.10511531995000598</c:v>
                </c:pt>
                <c:pt idx="75">
                  <c:v>0.11562685194500658</c:v>
                </c:pt>
                <c:pt idx="76">
                  <c:v>0.12718953713950723</c:v>
                </c:pt>
                <c:pt idx="77">
                  <c:v>0.13990849085345797</c:v>
                </c:pt>
                <c:pt idx="78">
                  <c:v>0.15389933993880378</c:v>
                </c:pt>
                <c:pt idx="79">
                  <c:v>0.16928927393268417</c:v>
                </c:pt>
                <c:pt idx="80">
                  <c:v>0.1862182013259526</c:v>
                </c:pt>
                <c:pt idx="81">
                  <c:v>0.20484002145854788</c:v>
                </c:pt>
                <c:pt idx="82">
                  <c:v>0.22532402360440268</c:v>
                </c:pt>
                <c:pt idx="83">
                  <c:v>0.24785642596484297</c:v>
                </c:pt>
                <c:pt idx="84">
                  <c:v>0.27264206856132728</c:v>
                </c:pt>
                <c:pt idx="85">
                  <c:v>0.29990627541746001</c:v>
                </c:pt>
                <c:pt idx="86">
                  <c:v>0.32989690295920604</c:v>
                </c:pt>
                <c:pt idx="87">
                  <c:v>0.36288659325512668</c:v>
                </c:pt>
                <c:pt idx="88">
                  <c:v>0.39917525258063935</c:v>
                </c:pt>
                <c:pt idx="89">
                  <c:v>0.43909277783870332</c:v>
                </c:pt>
                <c:pt idx="90">
                  <c:v>0.4830020556225737</c:v>
                </c:pt>
                <c:pt idx="91">
                  <c:v>0.53130226118483115</c:v>
                </c:pt>
                <c:pt idx="92">
                  <c:v>0.58443248730331432</c:v>
                </c:pt>
                <c:pt idx="93">
                  <c:v>0.64287573603364578</c:v>
                </c:pt>
                <c:pt idx="94">
                  <c:v>0.70716330963701046</c:v>
                </c:pt>
                <c:pt idx="95">
                  <c:v>0.77787964060071157</c:v>
                </c:pt>
                <c:pt idx="96">
                  <c:v>0.85566760466078284</c:v>
                </c:pt>
                <c:pt idx="97">
                  <c:v>0.94123436512686121</c:v>
                </c:pt>
                <c:pt idx="98">
                  <c:v>1.0353578016395475</c:v>
                </c:pt>
                <c:pt idx="99">
                  <c:v>1.1388935818035024</c:v>
                </c:pt>
                <c:pt idx="100">
                  <c:v>1.2527829399838528</c:v>
                </c:pt>
                <c:pt idx="101">
                  <c:v>1.3780612339822382</c:v>
                </c:pt>
                <c:pt idx="102">
                  <c:v>1.5158673573804622</c:v>
                </c:pt>
                <c:pt idx="103">
                  <c:v>1.6674540931185085</c:v>
                </c:pt>
                <c:pt idx="104">
                  <c:v>1.8341995024303595</c:v>
                </c:pt>
                <c:pt idx="105">
                  <c:v>2.0176194526733955</c:v>
                </c:pt>
                <c:pt idx="106">
                  <c:v>2.2193813979407353</c:v>
                </c:pt>
                <c:pt idx="107">
                  <c:v>2.4413195377348091</c:v>
                </c:pt>
                <c:pt idx="108">
                  <c:v>2.6854514915082901</c:v>
                </c:pt>
                <c:pt idx="109">
                  <c:v>2.9539966406591192</c:v>
                </c:pt>
                <c:pt idx="110">
                  <c:v>3.2493963047250314</c:v>
                </c:pt>
                <c:pt idx="111">
                  <c:v>3.574335935197535</c:v>
                </c:pt>
                <c:pt idx="112">
                  <c:v>3.9317695287172887</c:v>
                </c:pt>
                <c:pt idx="113">
                  <c:v>4.3249464815890182</c:v>
                </c:pt>
                <c:pt idx="114">
                  <c:v>4.75744112974792</c:v>
                </c:pt>
                <c:pt idx="115">
                  <c:v>5.2331852427227128</c:v>
                </c:pt>
                <c:pt idx="116">
                  <c:v>5.7565037669949843</c:v>
                </c:pt>
                <c:pt idx="117">
                  <c:v>6.332154143694483</c:v>
                </c:pt>
                <c:pt idx="118">
                  <c:v>6.9653695580639319</c:v>
                </c:pt>
                <c:pt idx="119">
                  <c:v>7.661906513870326</c:v>
                </c:pt>
                <c:pt idx="120">
                  <c:v>8.4280971652573591</c:v>
                </c:pt>
                <c:pt idx="121">
                  <c:v>9.2709068817830964</c:v>
                </c:pt>
                <c:pt idx="122">
                  <c:v>10</c:v>
                </c:pt>
                <c:pt idx="123">
                  <c:v>11</c:v>
                </c:pt>
                <c:pt idx="124">
                  <c:v>12</c:v>
                </c:pt>
                <c:pt idx="125">
                  <c:v>13</c:v>
                </c:pt>
                <c:pt idx="126">
                  <c:v>14</c:v>
                </c:pt>
                <c:pt idx="127">
                  <c:v>15</c:v>
                </c:pt>
                <c:pt idx="128">
                  <c:v>16</c:v>
                </c:pt>
                <c:pt idx="129">
                  <c:v>17</c:v>
                </c:pt>
                <c:pt idx="130">
                  <c:v>18</c:v>
                </c:pt>
                <c:pt idx="131">
                  <c:v>19</c:v>
                </c:pt>
                <c:pt idx="132">
                  <c:v>20</c:v>
                </c:pt>
                <c:pt idx="133">
                  <c:v>21</c:v>
                </c:pt>
                <c:pt idx="134">
                  <c:v>22</c:v>
                </c:pt>
                <c:pt idx="135">
                  <c:v>23</c:v>
                </c:pt>
                <c:pt idx="136">
                  <c:v>24</c:v>
                </c:pt>
                <c:pt idx="137">
                  <c:v>25</c:v>
                </c:pt>
                <c:pt idx="138">
                  <c:v>26</c:v>
                </c:pt>
                <c:pt idx="139">
                  <c:v>27</c:v>
                </c:pt>
                <c:pt idx="140">
                  <c:v>28</c:v>
                </c:pt>
                <c:pt idx="141">
                  <c:v>29</c:v>
                </c:pt>
                <c:pt idx="142">
                  <c:v>30</c:v>
                </c:pt>
                <c:pt idx="143">
                  <c:v>31</c:v>
                </c:pt>
                <c:pt idx="144">
                  <c:v>32</c:v>
                </c:pt>
                <c:pt idx="145">
                  <c:v>33</c:v>
                </c:pt>
                <c:pt idx="146">
                  <c:v>34</c:v>
                </c:pt>
                <c:pt idx="147">
                  <c:v>35</c:v>
                </c:pt>
                <c:pt idx="148">
                  <c:v>36</c:v>
                </c:pt>
                <c:pt idx="149">
                  <c:v>37</c:v>
                </c:pt>
                <c:pt idx="150">
                  <c:v>38</c:v>
                </c:pt>
                <c:pt idx="151">
                  <c:v>39</c:v>
                </c:pt>
                <c:pt idx="152">
                  <c:v>40</c:v>
                </c:pt>
                <c:pt idx="153">
                  <c:v>41</c:v>
                </c:pt>
                <c:pt idx="154">
                  <c:v>42</c:v>
                </c:pt>
                <c:pt idx="155">
                  <c:v>43</c:v>
                </c:pt>
                <c:pt idx="156">
                  <c:v>44</c:v>
                </c:pt>
                <c:pt idx="157">
                  <c:v>45</c:v>
                </c:pt>
                <c:pt idx="158">
                  <c:v>46</c:v>
                </c:pt>
                <c:pt idx="159">
                  <c:v>47</c:v>
                </c:pt>
                <c:pt idx="160">
                  <c:v>48</c:v>
                </c:pt>
                <c:pt idx="161">
                  <c:v>49</c:v>
                </c:pt>
                <c:pt idx="162">
                  <c:v>50</c:v>
                </c:pt>
                <c:pt idx="163">
                  <c:v>51</c:v>
                </c:pt>
                <c:pt idx="164">
                  <c:v>52</c:v>
                </c:pt>
                <c:pt idx="165">
                  <c:v>53</c:v>
                </c:pt>
                <c:pt idx="166">
                  <c:v>54</c:v>
                </c:pt>
                <c:pt idx="167">
                  <c:v>55</c:v>
                </c:pt>
                <c:pt idx="168">
                  <c:v>56</c:v>
                </c:pt>
                <c:pt idx="169">
                  <c:v>57</c:v>
                </c:pt>
                <c:pt idx="170">
                  <c:v>58</c:v>
                </c:pt>
                <c:pt idx="171">
                  <c:v>59</c:v>
                </c:pt>
                <c:pt idx="172">
                  <c:v>60</c:v>
                </c:pt>
                <c:pt idx="173">
                  <c:v>61</c:v>
                </c:pt>
                <c:pt idx="174">
                  <c:v>62</c:v>
                </c:pt>
                <c:pt idx="175">
                  <c:v>63</c:v>
                </c:pt>
                <c:pt idx="176">
                  <c:v>64</c:v>
                </c:pt>
                <c:pt idx="177">
                  <c:v>65</c:v>
                </c:pt>
                <c:pt idx="178">
                  <c:v>66</c:v>
                </c:pt>
                <c:pt idx="179">
                  <c:v>67</c:v>
                </c:pt>
                <c:pt idx="180">
                  <c:v>68</c:v>
                </c:pt>
                <c:pt idx="181">
                  <c:v>69</c:v>
                </c:pt>
                <c:pt idx="182">
                  <c:v>70</c:v>
                </c:pt>
                <c:pt idx="183">
                  <c:v>71</c:v>
                </c:pt>
                <c:pt idx="184">
                  <c:v>72</c:v>
                </c:pt>
                <c:pt idx="185">
                  <c:v>73</c:v>
                </c:pt>
                <c:pt idx="186">
                  <c:v>74</c:v>
                </c:pt>
                <c:pt idx="187">
                  <c:v>75</c:v>
                </c:pt>
                <c:pt idx="188">
                  <c:v>76</c:v>
                </c:pt>
                <c:pt idx="189">
                  <c:v>77</c:v>
                </c:pt>
                <c:pt idx="190">
                  <c:v>78</c:v>
                </c:pt>
                <c:pt idx="191">
                  <c:v>79</c:v>
                </c:pt>
                <c:pt idx="192">
                  <c:v>80</c:v>
                </c:pt>
                <c:pt idx="193">
                  <c:v>81</c:v>
                </c:pt>
                <c:pt idx="194">
                  <c:v>82</c:v>
                </c:pt>
                <c:pt idx="195">
                  <c:v>83</c:v>
                </c:pt>
                <c:pt idx="196">
                  <c:v>84</c:v>
                </c:pt>
                <c:pt idx="197">
                  <c:v>85</c:v>
                </c:pt>
                <c:pt idx="198">
                  <c:v>86</c:v>
                </c:pt>
                <c:pt idx="199">
                  <c:v>87</c:v>
                </c:pt>
                <c:pt idx="200">
                  <c:v>88</c:v>
                </c:pt>
                <c:pt idx="201">
                  <c:v>89</c:v>
                </c:pt>
                <c:pt idx="202">
                  <c:v>90</c:v>
                </c:pt>
                <c:pt idx="203">
                  <c:v>91</c:v>
                </c:pt>
                <c:pt idx="204">
                  <c:v>92</c:v>
                </c:pt>
                <c:pt idx="205">
                  <c:v>93</c:v>
                </c:pt>
                <c:pt idx="206">
                  <c:v>94</c:v>
                </c:pt>
                <c:pt idx="207">
                  <c:v>95</c:v>
                </c:pt>
                <c:pt idx="208">
                  <c:v>96</c:v>
                </c:pt>
                <c:pt idx="209">
                  <c:v>97</c:v>
                </c:pt>
                <c:pt idx="210">
                  <c:v>98</c:v>
                </c:pt>
                <c:pt idx="211">
                  <c:v>99</c:v>
                </c:pt>
                <c:pt idx="212">
                  <c:v>100</c:v>
                </c:pt>
                <c:pt idx="213">
                  <c:v>101</c:v>
                </c:pt>
                <c:pt idx="214">
                  <c:v>102</c:v>
                </c:pt>
                <c:pt idx="215">
                  <c:v>103</c:v>
                </c:pt>
                <c:pt idx="216">
                  <c:v>104</c:v>
                </c:pt>
                <c:pt idx="217">
                  <c:v>105</c:v>
                </c:pt>
                <c:pt idx="218">
                  <c:v>106</c:v>
                </c:pt>
                <c:pt idx="219">
                  <c:v>107</c:v>
                </c:pt>
                <c:pt idx="220">
                  <c:v>108</c:v>
                </c:pt>
                <c:pt idx="221">
                  <c:v>109</c:v>
                </c:pt>
                <c:pt idx="222">
                  <c:v>110</c:v>
                </c:pt>
                <c:pt idx="223">
                  <c:v>111</c:v>
                </c:pt>
                <c:pt idx="224">
                  <c:v>112</c:v>
                </c:pt>
                <c:pt idx="225">
                  <c:v>113</c:v>
                </c:pt>
                <c:pt idx="226">
                  <c:v>114</c:v>
                </c:pt>
                <c:pt idx="227">
                  <c:v>115</c:v>
                </c:pt>
                <c:pt idx="228">
                  <c:v>116</c:v>
                </c:pt>
                <c:pt idx="229">
                  <c:v>117</c:v>
                </c:pt>
                <c:pt idx="230">
                  <c:v>118</c:v>
                </c:pt>
                <c:pt idx="231">
                  <c:v>119</c:v>
                </c:pt>
                <c:pt idx="232">
                  <c:v>120</c:v>
                </c:pt>
                <c:pt idx="233">
                  <c:v>121</c:v>
                </c:pt>
                <c:pt idx="234">
                  <c:v>122</c:v>
                </c:pt>
                <c:pt idx="235">
                  <c:v>123</c:v>
                </c:pt>
                <c:pt idx="236">
                  <c:v>124</c:v>
                </c:pt>
                <c:pt idx="237">
                  <c:v>125</c:v>
                </c:pt>
                <c:pt idx="238">
                  <c:v>126</c:v>
                </c:pt>
                <c:pt idx="239">
                  <c:v>127</c:v>
                </c:pt>
                <c:pt idx="240">
                  <c:v>128</c:v>
                </c:pt>
                <c:pt idx="241">
                  <c:v>129</c:v>
                </c:pt>
                <c:pt idx="242">
                  <c:v>130</c:v>
                </c:pt>
                <c:pt idx="243">
                  <c:v>131</c:v>
                </c:pt>
                <c:pt idx="244">
                  <c:v>132</c:v>
                </c:pt>
                <c:pt idx="245">
                  <c:v>133</c:v>
                </c:pt>
                <c:pt idx="246">
                  <c:v>134</c:v>
                </c:pt>
                <c:pt idx="247">
                  <c:v>135</c:v>
                </c:pt>
                <c:pt idx="248">
                  <c:v>136</c:v>
                </c:pt>
                <c:pt idx="249">
                  <c:v>137</c:v>
                </c:pt>
                <c:pt idx="250">
                  <c:v>138</c:v>
                </c:pt>
                <c:pt idx="251">
                  <c:v>139</c:v>
                </c:pt>
                <c:pt idx="252">
                  <c:v>140</c:v>
                </c:pt>
                <c:pt idx="253">
                  <c:v>141</c:v>
                </c:pt>
                <c:pt idx="254">
                  <c:v>142</c:v>
                </c:pt>
                <c:pt idx="255">
                  <c:v>143</c:v>
                </c:pt>
                <c:pt idx="256">
                  <c:v>144</c:v>
                </c:pt>
                <c:pt idx="257">
                  <c:v>145</c:v>
                </c:pt>
                <c:pt idx="258">
                  <c:v>146</c:v>
                </c:pt>
                <c:pt idx="259">
                  <c:v>147</c:v>
                </c:pt>
                <c:pt idx="260">
                  <c:v>148</c:v>
                </c:pt>
                <c:pt idx="261">
                  <c:v>149</c:v>
                </c:pt>
                <c:pt idx="262">
                  <c:v>150</c:v>
                </c:pt>
                <c:pt idx="263">
                  <c:v>151</c:v>
                </c:pt>
                <c:pt idx="264">
                  <c:v>152</c:v>
                </c:pt>
                <c:pt idx="265">
                  <c:v>153</c:v>
                </c:pt>
                <c:pt idx="266">
                  <c:v>154</c:v>
                </c:pt>
                <c:pt idx="267">
                  <c:v>155</c:v>
                </c:pt>
                <c:pt idx="268">
                  <c:v>156</c:v>
                </c:pt>
                <c:pt idx="269">
                  <c:v>157</c:v>
                </c:pt>
                <c:pt idx="270">
                  <c:v>158</c:v>
                </c:pt>
                <c:pt idx="271">
                  <c:v>159</c:v>
                </c:pt>
                <c:pt idx="272">
                  <c:v>160</c:v>
                </c:pt>
                <c:pt idx="273">
                  <c:v>161</c:v>
                </c:pt>
                <c:pt idx="274">
                  <c:v>162</c:v>
                </c:pt>
                <c:pt idx="275">
                  <c:v>163</c:v>
                </c:pt>
                <c:pt idx="276">
                  <c:v>164</c:v>
                </c:pt>
                <c:pt idx="277">
                  <c:v>165</c:v>
                </c:pt>
                <c:pt idx="278">
                  <c:v>166</c:v>
                </c:pt>
                <c:pt idx="279">
                  <c:v>167</c:v>
                </c:pt>
                <c:pt idx="280">
                  <c:v>168</c:v>
                </c:pt>
                <c:pt idx="281">
                  <c:v>169</c:v>
                </c:pt>
                <c:pt idx="282">
                  <c:v>170</c:v>
                </c:pt>
                <c:pt idx="283">
                  <c:v>171</c:v>
                </c:pt>
                <c:pt idx="284">
                  <c:v>172</c:v>
                </c:pt>
                <c:pt idx="285">
                  <c:v>173</c:v>
                </c:pt>
                <c:pt idx="286">
                  <c:v>174</c:v>
                </c:pt>
                <c:pt idx="287">
                  <c:v>175</c:v>
                </c:pt>
                <c:pt idx="288">
                  <c:v>176</c:v>
                </c:pt>
                <c:pt idx="289">
                  <c:v>177</c:v>
                </c:pt>
                <c:pt idx="290">
                  <c:v>178</c:v>
                </c:pt>
                <c:pt idx="291">
                  <c:v>179</c:v>
                </c:pt>
                <c:pt idx="292">
                  <c:v>180</c:v>
                </c:pt>
                <c:pt idx="293">
                  <c:v>181</c:v>
                </c:pt>
                <c:pt idx="294">
                  <c:v>182</c:v>
                </c:pt>
                <c:pt idx="295">
                  <c:v>183</c:v>
                </c:pt>
                <c:pt idx="296">
                  <c:v>184</c:v>
                </c:pt>
                <c:pt idx="297">
                  <c:v>185</c:v>
                </c:pt>
                <c:pt idx="298">
                  <c:v>186</c:v>
                </c:pt>
                <c:pt idx="299">
                  <c:v>187</c:v>
                </c:pt>
                <c:pt idx="300">
                  <c:v>188</c:v>
                </c:pt>
                <c:pt idx="301">
                  <c:v>189</c:v>
                </c:pt>
                <c:pt idx="302">
                  <c:v>190</c:v>
                </c:pt>
                <c:pt idx="303">
                  <c:v>191</c:v>
                </c:pt>
                <c:pt idx="304">
                  <c:v>192</c:v>
                </c:pt>
                <c:pt idx="305">
                  <c:v>193</c:v>
                </c:pt>
                <c:pt idx="306">
                  <c:v>194</c:v>
                </c:pt>
                <c:pt idx="307">
                  <c:v>195</c:v>
                </c:pt>
                <c:pt idx="308">
                  <c:v>196</c:v>
                </c:pt>
                <c:pt idx="309">
                  <c:v>197</c:v>
                </c:pt>
                <c:pt idx="310">
                  <c:v>198</c:v>
                </c:pt>
                <c:pt idx="311">
                  <c:v>199</c:v>
                </c:pt>
                <c:pt idx="312">
                  <c:v>200</c:v>
                </c:pt>
                <c:pt idx="313">
                  <c:v>201</c:v>
                </c:pt>
                <c:pt idx="314">
                  <c:v>202</c:v>
                </c:pt>
                <c:pt idx="315">
                  <c:v>203</c:v>
                </c:pt>
                <c:pt idx="316">
                  <c:v>204</c:v>
                </c:pt>
                <c:pt idx="317">
                  <c:v>205</c:v>
                </c:pt>
                <c:pt idx="318">
                  <c:v>206</c:v>
                </c:pt>
                <c:pt idx="319">
                  <c:v>207</c:v>
                </c:pt>
                <c:pt idx="320">
                  <c:v>208</c:v>
                </c:pt>
                <c:pt idx="321">
                  <c:v>209</c:v>
                </c:pt>
                <c:pt idx="322">
                  <c:v>210</c:v>
                </c:pt>
                <c:pt idx="323">
                  <c:v>211</c:v>
                </c:pt>
                <c:pt idx="324">
                  <c:v>212</c:v>
                </c:pt>
                <c:pt idx="325">
                  <c:v>213</c:v>
                </c:pt>
                <c:pt idx="326">
                  <c:v>214</c:v>
                </c:pt>
                <c:pt idx="327">
                  <c:v>215</c:v>
                </c:pt>
                <c:pt idx="328">
                  <c:v>216</c:v>
                </c:pt>
                <c:pt idx="329">
                  <c:v>217</c:v>
                </c:pt>
                <c:pt idx="330">
                  <c:v>218</c:v>
                </c:pt>
                <c:pt idx="331">
                  <c:v>219</c:v>
                </c:pt>
                <c:pt idx="332">
                  <c:v>220</c:v>
                </c:pt>
                <c:pt idx="333">
                  <c:v>221</c:v>
                </c:pt>
                <c:pt idx="334">
                  <c:v>222</c:v>
                </c:pt>
                <c:pt idx="335">
                  <c:v>223</c:v>
                </c:pt>
                <c:pt idx="336">
                  <c:v>224</c:v>
                </c:pt>
                <c:pt idx="337">
                  <c:v>225</c:v>
                </c:pt>
                <c:pt idx="338">
                  <c:v>226</c:v>
                </c:pt>
                <c:pt idx="339">
                  <c:v>227</c:v>
                </c:pt>
                <c:pt idx="340">
                  <c:v>228</c:v>
                </c:pt>
                <c:pt idx="341">
                  <c:v>229</c:v>
                </c:pt>
                <c:pt idx="342">
                  <c:v>230</c:v>
                </c:pt>
                <c:pt idx="343">
                  <c:v>231</c:v>
                </c:pt>
                <c:pt idx="344">
                  <c:v>232</c:v>
                </c:pt>
                <c:pt idx="345">
                  <c:v>233</c:v>
                </c:pt>
                <c:pt idx="346">
                  <c:v>234</c:v>
                </c:pt>
                <c:pt idx="347">
                  <c:v>235</c:v>
                </c:pt>
                <c:pt idx="348">
                  <c:v>236</c:v>
                </c:pt>
                <c:pt idx="349">
                  <c:v>237</c:v>
                </c:pt>
                <c:pt idx="350">
                  <c:v>238</c:v>
                </c:pt>
                <c:pt idx="351">
                  <c:v>239</c:v>
                </c:pt>
                <c:pt idx="352">
                  <c:v>240</c:v>
                </c:pt>
                <c:pt idx="353">
                  <c:v>241</c:v>
                </c:pt>
                <c:pt idx="354">
                  <c:v>242</c:v>
                </c:pt>
                <c:pt idx="355">
                  <c:v>243</c:v>
                </c:pt>
                <c:pt idx="356">
                  <c:v>244</c:v>
                </c:pt>
                <c:pt idx="357">
                  <c:v>245</c:v>
                </c:pt>
                <c:pt idx="358">
                  <c:v>246</c:v>
                </c:pt>
                <c:pt idx="359">
                  <c:v>247</c:v>
                </c:pt>
                <c:pt idx="360">
                  <c:v>248</c:v>
                </c:pt>
                <c:pt idx="361">
                  <c:v>249</c:v>
                </c:pt>
                <c:pt idx="362">
                  <c:v>250</c:v>
                </c:pt>
                <c:pt idx="363">
                  <c:v>251</c:v>
                </c:pt>
                <c:pt idx="364">
                  <c:v>252</c:v>
                </c:pt>
                <c:pt idx="365">
                  <c:v>253</c:v>
                </c:pt>
                <c:pt idx="366">
                  <c:v>254</c:v>
                </c:pt>
                <c:pt idx="367">
                  <c:v>255</c:v>
                </c:pt>
                <c:pt idx="368">
                  <c:v>256</c:v>
                </c:pt>
                <c:pt idx="369">
                  <c:v>257</c:v>
                </c:pt>
                <c:pt idx="370">
                  <c:v>258</c:v>
                </c:pt>
                <c:pt idx="371">
                  <c:v>259</c:v>
                </c:pt>
                <c:pt idx="372">
                  <c:v>260</c:v>
                </c:pt>
                <c:pt idx="373">
                  <c:v>261</c:v>
                </c:pt>
                <c:pt idx="374">
                  <c:v>262</c:v>
                </c:pt>
                <c:pt idx="375">
                  <c:v>263</c:v>
                </c:pt>
                <c:pt idx="376">
                  <c:v>264</c:v>
                </c:pt>
                <c:pt idx="377">
                  <c:v>265</c:v>
                </c:pt>
                <c:pt idx="378">
                  <c:v>266</c:v>
                </c:pt>
                <c:pt idx="379">
                  <c:v>267</c:v>
                </c:pt>
                <c:pt idx="380">
                  <c:v>268</c:v>
                </c:pt>
                <c:pt idx="381">
                  <c:v>269</c:v>
                </c:pt>
                <c:pt idx="382">
                  <c:v>270</c:v>
                </c:pt>
                <c:pt idx="383">
                  <c:v>271</c:v>
                </c:pt>
                <c:pt idx="384">
                  <c:v>272</c:v>
                </c:pt>
                <c:pt idx="385">
                  <c:v>273</c:v>
                </c:pt>
                <c:pt idx="386">
                  <c:v>274</c:v>
                </c:pt>
                <c:pt idx="387">
                  <c:v>275</c:v>
                </c:pt>
                <c:pt idx="388">
                  <c:v>276</c:v>
                </c:pt>
                <c:pt idx="389">
                  <c:v>277</c:v>
                </c:pt>
                <c:pt idx="390">
                  <c:v>278</c:v>
                </c:pt>
                <c:pt idx="391">
                  <c:v>279</c:v>
                </c:pt>
                <c:pt idx="392">
                  <c:v>280</c:v>
                </c:pt>
                <c:pt idx="393">
                  <c:v>281</c:v>
                </c:pt>
                <c:pt idx="394">
                  <c:v>282</c:v>
                </c:pt>
                <c:pt idx="395">
                  <c:v>283</c:v>
                </c:pt>
                <c:pt idx="396">
                  <c:v>284</c:v>
                </c:pt>
                <c:pt idx="397">
                  <c:v>285</c:v>
                </c:pt>
                <c:pt idx="398">
                  <c:v>286</c:v>
                </c:pt>
                <c:pt idx="399">
                  <c:v>287</c:v>
                </c:pt>
                <c:pt idx="400">
                  <c:v>288</c:v>
                </c:pt>
                <c:pt idx="401">
                  <c:v>289</c:v>
                </c:pt>
                <c:pt idx="402">
                  <c:v>290</c:v>
                </c:pt>
                <c:pt idx="403">
                  <c:v>291</c:v>
                </c:pt>
                <c:pt idx="404">
                  <c:v>292</c:v>
                </c:pt>
                <c:pt idx="405">
                  <c:v>293</c:v>
                </c:pt>
                <c:pt idx="406">
                  <c:v>294</c:v>
                </c:pt>
                <c:pt idx="407">
                  <c:v>295</c:v>
                </c:pt>
                <c:pt idx="408">
                  <c:v>296</c:v>
                </c:pt>
                <c:pt idx="409">
                  <c:v>297</c:v>
                </c:pt>
                <c:pt idx="410">
                  <c:v>298</c:v>
                </c:pt>
                <c:pt idx="411">
                  <c:v>299</c:v>
                </c:pt>
                <c:pt idx="412">
                  <c:v>300</c:v>
                </c:pt>
                <c:pt idx="413">
                  <c:v>301</c:v>
                </c:pt>
                <c:pt idx="414">
                  <c:v>302</c:v>
                </c:pt>
                <c:pt idx="415">
                  <c:v>303</c:v>
                </c:pt>
                <c:pt idx="416">
                  <c:v>304</c:v>
                </c:pt>
                <c:pt idx="417">
                  <c:v>305</c:v>
                </c:pt>
                <c:pt idx="418">
                  <c:v>306</c:v>
                </c:pt>
                <c:pt idx="419">
                  <c:v>307</c:v>
                </c:pt>
                <c:pt idx="420">
                  <c:v>308</c:v>
                </c:pt>
                <c:pt idx="421">
                  <c:v>309</c:v>
                </c:pt>
                <c:pt idx="422">
                  <c:v>310</c:v>
                </c:pt>
                <c:pt idx="423">
                  <c:v>311</c:v>
                </c:pt>
                <c:pt idx="424">
                  <c:v>312</c:v>
                </c:pt>
                <c:pt idx="425">
                  <c:v>313</c:v>
                </c:pt>
                <c:pt idx="426">
                  <c:v>314</c:v>
                </c:pt>
                <c:pt idx="427">
                  <c:v>315</c:v>
                </c:pt>
                <c:pt idx="428">
                  <c:v>316</c:v>
                </c:pt>
                <c:pt idx="429">
                  <c:v>317</c:v>
                </c:pt>
                <c:pt idx="430">
                  <c:v>318</c:v>
                </c:pt>
                <c:pt idx="431">
                  <c:v>319</c:v>
                </c:pt>
                <c:pt idx="432">
                  <c:v>320</c:v>
                </c:pt>
                <c:pt idx="433">
                  <c:v>321</c:v>
                </c:pt>
                <c:pt idx="434">
                  <c:v>322</c:v>
                </c:pt>
                <c:pt idx="435">
                  <c:v>323</c:v>
                </c:pt>
                <c:pt idx="436">
                  <c:v>324</c:v>
                </c:pt>
                <c:pt idx="437">
                  <c:v>325</c:v>
                </c:pt>
                <c:pt idx="438">
                  <c:v>326</c:v>
                </c:pt>
                <c:pt idx="439">
                  <c:v>327</c:v>
                </c:pt>
                <c:pt idx="440">
                  <c:v>328</c:v>
                </c:pt>
                <c:pt idx="441">
                  <c:v>329</c:v>
                </c:pt>
                <c:pt idx="442">
                  <c:v>330</c:v>
                </c:pt>
                <c:pt idx="443">
                  <c:v>331</c:v>
                </c:pt>
                <c:pt idx="444">
                  <c:v>332</c:v>
                </c:pt>
                <c:pt idx="445">
                  <c:v>333</c:v>
                </c:pt>
                <c:pt idx="446">
                  <c:v>334</c:v>
                </c:pt>
                <c:pt idx="447">
                  <c:v>335</c:v>
                </c:pt>
                <c:pt idx="448">
                  <c:v>336</c:v>
                </c:pt>
                <c:pt idx="449">
                  <c:v>337</c:v>
                </c:pt>
                <c:pt idx="450">
                  <c:v>338</c:v>
                </c:pt>
                <c:pt idx="451">
                  <c:v>339</c:v>
                </c:pt>
                <c:pt idx="452">
                  <c:v>340</c:v>
                </c:pt>
                <c:pt idx="453">
                  <c:v>341</c:v>
                </c:pt>
                <c:pt idx="454">
                  <c:v>342</c:v>
                </c:pt>
                <c:pt idx="455">
                  <c:v>343</c:v>
                </c:pt>
                <c:pt idx="456">
                  <c:v>344</c:v>
                </c:pt>
                <c:pt idx="457">
                  <c:v>345</c:v>
                </c:pt>
                <c:pt idx="458">
                  <c:v>346</c:v>
                </c:pt>
                <c:pt idx="459">
                  <c:v>347</c:v>
                </c:pt>
                <c:pt idx="460">
                  <c:v>348</c:v>
                </c:pt>
                <c:pt idx="461">
                  <c:v>349</c:v>
                </c:pt>
                <c:pt idx="462">
                  <c:v>350</c:v>
                </c:pt>
                <c:pt idx="463">
                  <c:v>351</c:v>
                </c:pt>
                <c:pt idx="464">
                  <c:v>352</c:v>
                </c:pt>
                <c:pt idx="465">
                  <c:v>353</c:v>
                </c:pt>
                <c:pt idx="466">
                  <c:v>354</c:v>
                </c:pt>
                <c:pt idx="467">
                  <c:v>355</c:v>
                </c:pt>
                <c:pt idx="468">
                  <c:v>356</c:v>
                </c:pt>
                <c:pt idx="469">
                  <c:v>357</c:v>
                </c:pt>
                <c:pt idx="470">
                  <c:v>358</c:v>
                </c:pt>
                <c:pt idx="471">
                  <c:v>359</c:v>
                </c:pt>
                <c:pt idx="472">
                  <c:v>360</c:v>
                </c:pt>
                <c:pt idx="473">
                  <c:v>361</c:v>
                </c:pt>
                <c:pt idx="474">
                  <c:v>362</c:v>
                </c:pt>
                <c:pt idx="475">
                  <c:v>363</c:v>
                </c:pt>
                <c:pt idx="476">
                  <c:v>364</c:v>
                </c:pt>
                <c:pt idx="477">
                  <c:v>365</c:v>
                </c:pt>
                <c:pt idx="478">
                  <c:v>366</c:v>
                </c:pt>
                <c:pt idx="479">
                  <c:v>367</c:v>
                </c:pt>
                <c:pt idx="480">
                  <c:v>368</c:v>
                </c:pt>
                <c:pt idx="481">
                  <c:v>369</c:v>
                </c:pt>
                <c:pt idx="482">
                  <c:v>370</c:v>
                </c:pt>
                <c:pt idx="483">
                  <c:v>371</c:v>
                </c:pt>
                <c:pt idx="484">
                  <c:v>372</c:v>
                </c:pt>
                <c:pt idx="485">
                  <c:v>373</c:v>
                </c:pt>
                <c:pt idx="486">
                  <c:v>374</c:v>
                </c:pt>
                <c:pt idx="487">
                  <c:v>375</c:v>
                </c:pt>
                <c:pt idx="488">
                  <c:v>376</c:v>
                </c:pt>
                <c:pt idx="489">
                  <c:v>377</c:v>
                </c:pt>
                <c:pt idx="490">
                  <c:v>378</c:v>
                </c:pt>
                <c:pt idx="491">
                  <c:v>379</c:v>
                </c:pt>
                <c:pt idx="492">
                  <c:v>380</c:v>
                </c:pt>
                <c:pt idx="493">
                  <c:v>381</c:v>
                </c:pt>
                <c:pt idx="494">
                  <c:v>382</c:v>
                </c:pt>
                <c:pt idx="495">
                  <c:v>383</c:v>
                </c:pt>
                <c:pt idx="496">
                  <c:v>384</c:v>
                </c:pt>
                <c:pt idx="497">
                  <c:v>385</c:v>
                </c:pt>
                <c:pt idx="498">
                  <c:v>386</c:v>
                </c:pt>
                <c:pt idx="499">
                  <c:v>387</c:v>
                </c:pt>
                <c:pt idx="500">
                  <c:v>388</c:v>
                </c:pt>
                <c:pt idx="501">
                  <c:v>389</c:v>
                </c:pt>
                <c:pt idx="502">
                  <c:v>390</c:v>
                </c:pt>
                <c:pt idx="503">
                  <c:v>391</c:v>
                </c:pt>
                <c:pt idx="504">
                  <c:v>392</c:v>
                </c:pt>
                <c:pt idx="505">
                  <c:v>393</c:v>
                </c:pt>
                <c:pt idx="506">
                  <c:v>394</c:v>
                </c:pt>
                <c:pt idx="507">
                  <c:v>395</c:v>
                </c:pt>
                <c:pt idx="508">
                  <c:v>396</c:v>
                </c:pt>
                <c:pt idx="509">
                  <c:v>397</c:v>
                </c:pt>
                <c:pt idx="510">
                  <c:v>398</c:v>
                </c:pt>
                <c:pt idx="511">
                  <c:v>399</c:v>
                </c:pt>
                <c:pt idx="512">
                  <c:v>400</c:v>
                </c:pt>
                <c:pt idx="513">
                  <c:v>401</c:v>
                </c:pt>
                <c:pt idx="514">
                  <c:v>402</c:v>
                </c:pt>
                <c:pt idx="515">
                  <c:v>403</c:v>
                </c:pt>
                <c:pt idx="516">
                  <c:v>404</c:v>
                </c:pt>
                <c:pt idx="517">
                  <c:v>405</c:v>
                </c:pt>
                <c:pt idx="518">
                  <c:v>406</c:v>
                </c:pt>
                <c:pt idx="519">
                  <c:v>407</c:v>
                </c:pt>
                <c:pt idx="520">
                  <c:v>408</c:v>
                </c:pt>
                <c:pt idx="521">
                  <c:v>409</c:v>
                </c:pt>
                <c:pt idx="522">
                  <c:v>410</c:v>
                </c:pt>
                <c:pt idx="523">
                  <c:v>411</c:v>
                </c:pt>
                <c:pt idx="524">
                  <c:v>412</c:v>
                </c:pt>
                <c:pt idx="525">
                  <c:v>413</c:v>
                </c:pt>
                <c:pt idx="526">
                  <c:v>414</c:v>
                </c:pt>
                <c:pt idx="527">
                  <c:v>415</c:v>
                </c:pt>
                <c:pt idx="528">
                  <c:v>416</c:v>
                </c:pt>
                <c:pt idx="529">
                  <c:v>417</c:v>
                </c:pt>
                <c:pt idx="530">
                  <c:v>418</c:v>
                </c:pt>
                <c:pt idx="531">
                  <c:v>419</c:v>
                </c:pt>
                <c:pt idx="532">
                  <c:v>420</c:v>
                </c:pt>
                <c:pt idx="533">
                  <c:v>421</c:v>
                </c:pt>
                <c:pt idx="534">
                  <c:v>422</c:v>
                </c:pt>
                <c:pt idx="535">
                  <c:v>423</c:v>
                </c:pt>
                <c:pt idx="536">
                  <c:v>424</c:v>
                </c:pt>
                <c:pt idx="537">
                  <c:v>425</c:v>
                </c:pt>
                <c:pt idx="538">
                  <c:v>426</c:v>
                </c:pt>
                <c:pt idx="539">
                  <c:v>427</c:v>
                </c:pt>
                <c:pt idx="540">
                  <c:v>428</c:v>
                </c:pt>
                <c:pt idx="541">
                  <c:v>429</c:v>
                </c:pt>
                <c:pt idx="542">
                  <c:v>430</c:v>
                </c:pt>
                <c:pt idx="543">
                  <c:v>431</c:v>
                </c:pt>
                <c:pt idx="544">
                  <c:v>432</c:v>
                </c:pt>
                <c:pt idx="545">
                  <c:v>433</c:v>
                </c:pt>
                <c:pt idx="546">
                  <c:v>434</c:v>
                </c:pt>
                <c:pt idx="547">
                  <c:v>435</c:v>
                </c:pt>
                <c:pt idx="548">
                  <c:v>436</c:v>
                </c:pt>
                <c:pt idx="549">
                  <c:v>437</c:v>
                </c:pt>
                <c:pt idx="550">
                  <c:v>438</c:v>
                </c:pt>
                <c:pt idx="551">
                  <c:v>439</c:v>
                </c:pt>
                <c:pt idx="552">
                  <c:v>440</c:v>
                </c:pt>
                <c:pt idx="553">
                  <c:v>441</c:v>
                </c:pt>
                <c:pt idx="554">
                  <c:v>442</c:v>
                </c:pt>
                <c:pt idx="555">
                  <c:v>443</c:v>
                </c:pt>
                <c:pt idx="556">
                  <c:v>444</c:v>
                </c:pt>
                <c:pt idx="557">
                  <c:v>445</c:v>
                </c:pt>
                <c:pt idx="558">
                  <c:v>446</c:v>
                </c:pt>
                <c:pt idx="559">
                  <c:v>447</c:v>
                </c:pt>
                <c:pt idx="560">
                  <c:v>448</c:v>
                </c:pt>
                <c:pt idx="561">
                  <c:v>449</c:v>
                </c:pt>
                <c:pt idx="562">
                  <c:v>450</c:v>
                </c:pt>
                <c:pt idx="563">
                  <c:v>451</c:v>
                </c:pt>
                <c:pt idx="564">
                  <c:v>452</c:v>
                </c:pt>
                <c:pt idx="565">
                  <c:v>453</c:v>
                </c:pt>
                <c:pt idx="566">
                  <c:v>454</c:v>
                </c:pt>
                <c:pt idx="567">
                  <c:v>455</c:v>
                </c:pt>
                <c:pt idx="568">
                  <c:v>456</c:v>
                </c:pt>
                <c:pt idx="569">
                  <c:v>457</c:v>
                </c:pt>
                <c:pt idx="570">
                  <c:v>458</c:v>
                </c:pt>
                <c:pt idx="571">
                  <c:v>459</c:v>
                </c:pt>
                <c:pt idx="572">
                  <c:v>460</c:v>
                </c:pt>
                <c:pt idx="573">
                  <c:v>461</c:v>
                </c:pt>
                <c:pt idx="574">
                  <c:v>462</c:v>
                </c:pt>
                <c:pt idx="575">
                  <c:v>463</c:v>
                </c:pt>
                <c:pt idx="576">
                  <c:v>464</c:v>
                </c:pt>
                <c:pt idx="577">
                  <c:v>465</c:v>
                </c:pt>
                <c:pt idx="578">
                  <c:v>466</c:v>
                </c:pt>
                <c:pt idx="579">
                  <c:v>467</c:v>
                </c:pt>
                <c:pt idx="580">
                  <c:v>468</c:v>
                </c:pt>
                <c:pt idx="581">
                  <c:v>469</c:v>
                </c:pt>
                <c:pt idx="582">
                  <c:v>470</c:v>
                </c:pt>
                <c:pt idx="583">
                  <c:v>471</c:v>
                </c:pt>
                <c:pt idx="584">
                  <c:v>472</c:v>
                </c:pt>
                <c:pt idx="585">
                  <c:v>473</c:v>
                </c:pt>
                <c:pt idx="586">
                  <c:v>474</c:v>
                </c:pt>
                <c:pt idx="587">
                  <c:v>475</c:v>
                </c:pt>
                <c:pt idx="588">
                  <c:v>476</c:v>
                </c:pt>
                <c:pt idx="589">
                  <c:v>477</c:v>
                </c:pt>
                <c:pt idx="590">
                  <c:v>478</c:v>
                </c:pt>
                <c:pt idx="591">
                  <c:v>479</c:v>
                </c:pt>
                <c:pt idx="592">
                  <c:v>480</c:v>
                </c:pt>
                <c:pt idx="593">
                  <c:v>481</c:v>
                </c:pt>
                <c:pt idx="594">
                  <c:v>482</c:v>
                </c:pt>
                <c:pt idx="595">
                  <c:v>483</c:v>
                </c:pt>
                <c:pt idx="596">
                  <c:v>484</c:v>
                </c:pt>
                <c:pt idx="597">
                  <c:v>485</c:v>
                </c:pt>
                <c:pt idx="598">
                  <c:v>486</c:v>
                </c:pt>
                <c:pt idx="599">
                  <c:v>487</c:v>
                </c:pt>
                <c:pt idx="600">
                  <c:v>488</c:v>
                </c:pt>
                <c:pt idx="601">
                  <c:v>489</c:v>
                </c:pt>
                <c:pt idx="602">
                  <c:v>490</c:v>
                </c:pt>
                <c:pt idx="603">
                  <c:v>491</c:v>
                </c:pt>
                <c:pt idx="604">
                  <c:v>492</c:v>
                </c:pt>
                <c:pt idx="605">
                  <c:v>493</c:v>
                </c:pt>
                <c:pt idx="606">
                  <c:v>494</c:v>
                </c:pt>
                <c:pt idx="607">
                  <c:v>495</c:v>
                </c:pt>
                <c:pt idx="608">
                  <c:v>496</c:v>
                </c:pt>
                <c:pt idx="609">
                  <c:v>497</c:v>
                </c:pt>
                <c:pt idx="610">
                  <c:v>498</c:v>
                </c:pt>
                <c:pt idx="611">
                  <c:v>499</c:v>
                </c:pt>
                <c:pt idx="612">
                  <c:v>500</c:v>
                </c:pt>
                <c:pt idx="613">
                  <c:v>501</c:v>
                </c:pt>
                <c:pt idx="614">
                  <c:v>502</c:v>
                </c:pt>
                <c:pt idx="615">
                  <c:v>503</c:v>
                </c:pt>
                <c:pt idx="616">
                  <c:v>504</c:v>
                </c:pt>
                <c:pt idx="617">
                  <c:v>505</c:v>
                </c:pt>
                <c:pt idx="618">
                  <c:v>506</c:v>
                </c:pt>
                <c:pt idx="619">
                  <c:v>507</c:v>
                </c:pt>
                <c:pt idx="620">
                  <c:v>508</c:v>
                </c:pt>
                <c:pt idx="621">
                  <c:v>509</c:v>
                </c:pt>
                <c:pt idx="622">
                  <c:v>510</c:v>
                </c:pt>
                <c:pt idx="623">
                  <c:v>511</c:v>
                </c:pt>
                <c:pt idx="624">
                  <c:v>512</c:v>
                </c:pt>
                <c:pt idx="625">
                  <c:v>513</c:v>
                </c:pt>
                <c:pt idx="626">
                  <c:v>514</c:v>
                </c:pt>
                <c:pt idx="627">
                  <c:v>515</c:v>
                </c:pt>
                <c:pt idx="628">
                  <c:v>516</c:v>
                </c:pt>
                <c:pt idx="629">
                  <c:v>517</c:v>
                </c:pt>
                <c:pt idx="630">
                  <c:v>518</c:v>
                </c:pt>
                <c:pt idx="631">
                  <c:v>519</c:v>
                </c:pt>
                <c:pt idx="632">
                  <c:v>520</c:v>
                </c:pt>
                <c:pt idx="633">
                  <c:v>521</c:v>
                </c:pt>
                <c:pt idx="634">
                  <c:v>522</c:v>
                </c:pt>
                <c:pt idx="635">
                  <c:v>523</c:v>
                </c:pt>
                <c:pt idx="636">
                  <c:v>524</c:v>
                </c:pt>
                <c:pt idx="637">
                  <c:v>525</c:v>
                </c:pt>
                <c:pt idx="638">
                  <c:v>526</c:v>
                </c:pt>
                <c:pt idx="639">
                  <c:v>527</c:v>
                </c:pt>
                <c:pt idx="640">
                  <c:v>528</c:v>
                </c:pt>
                <c:pt idx="641">
                  <c:v>529</c:v>
                </c:pt>
                <c:pt idx="642">
                  <c:v>530</c:v>
                </c:pt>
                <c:pt idx="643">
                  <c:v>531</c:v>
                </c:pt>
                <c:pt idx="644">
                  <c:v>532</c:v>
                </c:pt>
                <c:pt idx="645">
                  <c:v>533</c:v>
                </c:pt>
                <c:pt idx="646">
                  <c:v>534</c:v>
                </c:pt>
                <c:pt idx="647">
                  <c:v>535</c:v>
                </c:pt>
                <c:pt idx="648">
                  <c:v>536</c:v>
                </c:pt>
                <c:pt idx="649">
                  <c:v>537</c:v>
                </c:pt>
                <c:pt idx="650">
                  <c:v>538</c:v>
                </c:pt>
                <c:pt idx="651">
                  <c:v>539</c:v>
                </c:pt>
                <c:pt idx="652">
                  <c:v>540</c:v>
                </c:pt>
                <c:pt idx="653">
                  <c:v>541</c:v>
                </c:pt>
                <c:pt idx="654">
                  <c:v>542</c:v>
                </c:pt>
                <c:pt idx="655">
                  <c:v>543</c:v>
                </c:pt>
                <c:pt idx="656">
                  <c:v>544</c:v>
                </c:pt>
                <c:pt idx="657">
                  <c:v>545</c:v>
                </c:pt>
                <c:pt idx="658">
                  <c:v>546</c:v>
                </c:pt>
                <c:pt idx="659">
                  <c:v>547</c:v>
                </c:pt>
                <c:pt idx="660">
                  <c:v>548</c:v>
                </c:pt>
                <c:pt idx="661">
                  <c:v>549</c:v>
                </c:pt>
                <c:pt idx="662">
                  <c:v>550</c:v>
                </c:pt>
                <c:pt idx="663">
                  <c:v>551</c:v>
                </c:pt>
                <c:pt idx="664">
                  <c:v>552</c:v>
                </c:pt>
                <c:pt idx="665">
                  <c:v>553</c:v>
                </c:pt>
                <c:pt idx="666">
                  <c:v>554</c:v>
                </c:pt>
                <c:pt idx="667">
                  <c:v>555</c:v>
                </c:pt>
                <c:pt idx="668">
                  <c:v>556</c:v>
                </c:pt>
                <c:pt idx="669">
                  <c:v>557</c:v>
                </c:pt>
                <c:pt idx="670">
                  <c:v>558</c:v>
                </c:pt>
                <c:pt idx="671">
                  <c:v>559</c:v>
                </c:pt>
                <c:pt idx="672">
                  <c:v>560</c:v>
                </c:pt>
                <c:pt idx="673">
                  <c:v>561</c:v>
                </c:pt>
                <c:pt idx="674">
                  <c:v>562</c:v>
                </c:pt>
                <c:pt idx="675">
                  <c:v>563</c:v>
                </c:pt>
                <c:pt idx="676">
                  <c:v>564</c:v>
                </c:pt>
                <c:pt idx="677">
                  <c:v>565</c:v>
                </c:pt>
                <c:pt idx="678">
                  <c:v>566</c:v>
                </c:pt>
                <c:pt idx="679">
                  <c:v>567</c:v>
                </c:pt>
                <c:pt idx="680">
                  <c:v>568</c:v>
                </c:pt>
                <c:pt idx="681">
                  <c:v>569</c:v>
                </c:pt>
                <c:pt idx="682">
                  <c:v>570</c:v>
                </c:pt>
                <c:pt idx="683">
                  <c:v>571</c:v>
                </c:pt>
                <c:pt idx="684">
                  <c:v>572</c:v>
                </c:pt>
                <c:pt idx="685">
                  <c:v>573</c:v>
                </c:pt>
                <c:pt idx="686">
                  <c:v>574</c:v>
                </c:pt>
                <c:pt idx="687">
                  <c:v>575</c:v>
                </c:pt>
                <c:pt idx="688">
                  <c:v>576</c:v>
                </c:pt>
                <c:pt idx="689">
                  <c:v>577</c:v>
                </c:pt>
                <c:pt idx="690">
                  <c:v>578</c:v>
                </c:pt>
                <c:pt idx="691">
                  <c:v>579</c:v>
                </c:pt>
                <c:pt idx="692">
                  <c:v>580</c:v>
                </c:pt>
                <c:pt idx="693">
                  <c:v>581</c:v>
                </c:pt>
                <c:pt idx="694">
                  <c:v>582</c:v>
                </c:pt>
                <c:pt idx="695">
                  <c:v>583</c:v>
                </c:pt>
                <c:pt idx="696">
                  <c:v>584</c:v>
                </c:pt>
                <c:pt idx="697">
                  <c:v>585</c:v>
                </c:pt>
                <c:pt idx="698">
                  <c:v>586</c:v>
                </c:pt>
                <c:pt idx="699">
                  <c:v>587</c:v>
                </c:pt>
                <c:pt idx="700">
                  <c:v>588</c:v>
                </c:pt>
                <c:pt idx="701">
                  <c:v>589</c:v>
                </c:pt>
                <c:pt idx="702">
                  <c:v>590</c:v>
                </c:pt>
                <c:pt idx="703">
                  <c:v>591</c:v>
                </c:pt>
                <c:pt idx="704">
                  <c:v>592</c:v>
                </c:pt>
                <c:pt idx="705">
                  <c:v>593</c:v>
                </c:pt>
                <c:pt idx="706">
                  <c:v>594</c:v>
                </c:pt>
                <c:pt idx="707">
                  <c:v>595</c:v>
                </c:pt>
                <c:pt idx="708">
                  <c:v>596</c:v>
                </c:pt>
                <c:pt idx="709">
                  <c:v>597</c:v>
                </c:pt>
                <c:pt idx="710">
                  <c:v>598</c:v>
                </c:pt>
                <c:pt idx="711">
                  <c:v>599</c:v>
                </c:pt>
                <c:pt idx="712">
                  <c:v>600</c:v>
                </c:pt>
                <c:pt idx="713">
                  <c:v>601</c:v>
                </c:pt>
                <c:pt idx="714">
                  <c:v>602</c:v>
                </c:pt>
                <c:pt idx="715">
                  <c:v>603</c:v>
                </c:pt>
                <c:pt idx="716">
                  <c:v>604</c:v>
                </c:pt>
                <c:pt idx="717">
                  <c:v>605</c:v>
                </c:pt>
                <c:pt idx="718">
                  <c:v>606</c:v>
                </c:pt>
                <c:pt idx="719">
                  <c:v>607</c:v>
                </c:pt>
                <c:pt idx="720">
                  <c:v>608</c:v>
                </c:pt>
                <c:pt idx="721">
                  <c:v>609</c:v>
                </c:pt>
                <c:pt idx="722">
                  <c:v>610</c:v>
                </c:pt>
                <c:pt idx="723">
                  <c:v>611</c:v>
                </c:pt>
                <c:pt idx="724">
                  <c:v>612</c:v>
                </c:pt>
                <c:pt idx="725">
                  <c:v>613</c:v>
                </c:pt>
                <c:pt idx="726">
                  <c:v>614</c:v>
                </c:pt>
                <c:pt idx="727">
                  <c:v>615</c:v>
                </c:pt>
                <c:pt idx="728">
                  <c:v>616</c:v>
                </c:pt>
                <c:pt idx="729">
                  <c:v>617</c:v>
                </c:pt>
                <c:pt idx="730">
                  <c:v>618</c:v>
                </c:pt>
                <c:pt idx="731">
                  <c:v>619</c:v>
                </c:pt>
                <c:pt idx="732">
                  <c:v>620</c:v>
                </c:pt>
                <c:pt idx="733">
                  <c:v>621</c:v>
                </c:pt>
                <c:pt idx="734">
                  <c:v>622</c:v>
                </c:pt>
                <c:pt idx="735">
                  <c:v>623</c:v>
                </c:pt>
                <c:pt idx="736">
                  <c:v>624</c:v>
                </c:pt>
                <c:pt idx="737">
                  <c:v>625</c:v>
                </c:pt>
                <c:pt idx="738">
                  <c:v>626</c:v>
                </c:pt>
                <c:pt idx="739">
                  <c:v>627</c:v>
                </c:pt>
                <c:pt idx="740">
                  <c:v>628</c:v>
                </c:pt>
                <c:pt idx="741">
                  <c:v>629</c:v>
                </c:pt>
                <c:pt idx="742">
                  <c:v>630</c:v>
                </c:pt>
                <c:pt idx="743">
                  <c:v>631</c:v>
                </c:pt>
                <c:pt idx="744">
                  <c:v>632</c:v>
                </c:pt>
                <c:pt idx="745">
                  <c:v>633</c:v>
                </c:pt>
                <c:pt idx="746">
                  <c:v>634</c:v>
                </c:pt>
                <c:pt idx="747">
                  <c:v>635</c:v>
                </c:pt>
                <c:pt idx="748">
                  <c:v>636</c:v>
                </c:pt>
                <c:pt idx="749">
                  <c:v>637</c:v>
                </c:pt>
                <c:pt idx="750">
                  <c:v>638</c:v>
                </c:pt>
                <c:pt idx="751">
                  <c:v>639</c:v>
                </c:pt>
                <c:pt idx="752">
                  <c:v>640</c:v>
                </c:pt>
                <c:pt idx="753">
                  <c:v>641</c:v>
                </c:pt>
                <c:pt idx="754">
                  <c:v>642</c:v>
                </c:pt>
                <c:pt idx="755">
                  <c:v>643</c:v>
                </c:pt>
                <c:pt idx="756">
                  <c:v>644</c:v>
                </c:pt>
                <c:pt idx="757">
                  <c:v>645</c:v>
                </c:pt>
                <c:pt idx="758">
                  <c:v>646</c:v>
                </c:pt>
                <c:pt idx="759">
                  <c:v>647</c:v>
                </c:pt>
                <c:pt idx="760">
                  <c:v>648</c:v>
                </c:pt>
                <c:pt idx="761">
                  <c:v>649</c:v>
                </c:pt>
                <c:pt idx="762">
                  <c:v>650</c:v>
                </c:pt>
                <c:pt idx="763">
                  <c:v>651</c:v>
                </c:pt>
                <c:pt idx="764">
                  <c:v>652</c:v>
                </c:pt>
                <c:pt idx="765">
                  <c:v>653</c:v>
                </c:pt>
                <c:pt idx="766">
                  <c:v>654</c:v>
                </c:pt>
                <c:pt idx="767">
                  <c:v>655</c:v>
                </c:pt>
                <c:pt idx="768">
                  <c:v>656</c:v>
                </c:pt>
                <c:pt idx="769">
                  <c:v>657</c:v>
                </c:pt>
                <c:pt idx="770">
                  <c:v>658</c:v>
                </c:pt>
                <c:pt idx="771">
                  <c:v>659</c:v>
                </c:pt>
                <c:pt idx="772">
                  <c:v>660</c:v>
                </c:pt>
                <c:pt idx="773">
                  <c:v>661</c:v>
                </c:pt>
                <c:pt idx="774">
                  <c:v>662</c:v>
                </c:pt>
                <c:pt idx="775">
                  <c:v>663</c:v>
                </c:pt>
                <c:pt idx="776">
                  <c:v>664</c:v>
                </c:pt>
                <c:pt idx="777">
                  <c:v>665</c:v>
                </c:pt>
                <c:pt idx="778">
                  <c:v>666</c:v>
                </c:pt>
                <c:pt idx="779">
                  <c:v>667</c:v>
                </c:pt>
                <c:pt idx="780">
                  <c:v>668</c:v>
                </c:pt>
                <c:pt idx="781">
                  <c:v>669</c:v>
                </c:pt>
                <c:pt idx="782">
                  <c:v>670</c:v>
                </c:pt>
                <c:pt idx="783">
                  <c:v>671</c:v>
                </c:pt>
                <c:pt idx="784">
                  <c:v>672</c:v>
                </c:pt>
                <c:pt idx="785">
                  <c:v>673</c:v>
                </c:pt>
                <c:pt idx="786">
                  <c:v>674</c:v>
                </c:pt>
                <c:pt idx="787">
                  <c:v>675</c:v>
                </c:pt>
                <c:pt idx="788">
                  <c:v>676</c:v>
                </c:pt>
                <c:pt idx="789">
                  <c:v>677</c:v>
                </c:pt>
                <c:pt idx="790">
                  <c:v>678</c:v>
                </c:pt>
                <c:pt idx="791">
                  <c:v>679</c:v>
                </c:pt>
                <c:pt idx="792">
                  <c:v>680</c:v>
                </c:pt>
                <c:pt idx="793">
                  <c:v>681</c:v>
                </c:pt>
                <c:pt idx="794">
                  <c:v>682</c:v>
                </c:pt>
                <c:pt idx="795">
                  <c:v>683</c:v>
                </c:pt>
                <c:pt idx="796">
                  <c:v>684</c:v>
                </c:pt>
                <c:pt idx="797">
                  <c:v>685</c:v>
                </c:pt>
                <c:pt idx="798">
                  <c:v>686</c:v>
                </c:pt>
                <c:pt idx="799">
                  <c:v>687</c:v>
                </c:pt>
                <c:pt idx="800">
                  <c:v>688</c:v>
                </c:pt>
                <c:pt idx="801">
                  <c:v>689</c:v>
                </c:pt>
                <c:pt idx="802">
                  <c:v>690</c:v>
                </c:pt>
                <c:pt idx="803">
                  <c:v>691</c:v>
                </c:pt>
                <c:pt idx="804">
                  <c:v>692</c:v>
                </c:pt>
                <c:pt idx="805">
                  <c:v>693</c:v>
                </c:pt>
                <c:pt idx="806">
                  <c:v>694</c:v>
                </c:pt>
                <c:pt idx="807">
                  <c:v>695</c:v>
                </c:pt>
                <c:pt idx="808">
                  <c:v>696</c:v>
                </c:pt>
                <c:pt idx="809">
                  <c:v>697</c:v>
                </c:pt>
                <c:pt idx="810">
                  <c:v>698</c:v>
                </c:pt>
                <c:pt idx="811">
                  <c:v>699</c:v>
                </c:pt>
                <c:pt idx="812">
                  <c:v>700</c:v>
                </c:pt>
                <c:pt idx="813">
                  <c:v>701</c:v>
                </c:pt>
                <c:pt idx="814">
                  <c:v>702</c:v>
                </c:pt>
                <c:pt idx="815">
                  <c:v>703</c:v>
                </c:pt>
                <c:pt idx="816">
                  <c:v>704</c:v>
                </c:pt>
                <c:pt idx="817">
                  <c:v>705</c:v>
                </c:pt>
                <c:pt idx="818">
                  <c:v>706</c:v>
                </c:pt>
                <c:pt idx="819">
                  <c:v>707</c:v>
                </c:pt>
                <c:pt idx="820">
                  <c:v>708</c:v>
                </c:pt>
                <c:pt idx="821">
                  <c:v>709</c:v>
                </c:pt>
                <c:pt idx="822">
                  <c:v>710</c:v>
                </c:pt>
                <c:pt idx="823">
                  <c:v>711</c:v>
                </c:pt>
                <c:pt idx="824">
                  <c:v>712</c:v>
                </c:pt>
                <c:pt idx="825">
                  <c:v>713</c:v>
                </c:pt>
                <c:pt idx="826">
                  <c:v>714</c:v>
                </c:pt>
                <c:pt idx="827">
                  <c:v>715</c:v>
                </c:pt>
                <c:pt idx="828">
                  <c:v>716</c:v>
                </c:pt>
                <c:pt idx="829">
                  <c:v>717</c:v>
                </c:pt>
                <c:pt idx="830">
                  <c:v>718</c:v>
                </c:pt>
                <c:pt idx="831">
                  <c:v>719</c:v>
                </c:pt>
                <c:pt idx="832">
                  <c:v>720</c:v>
                </c:pt>
                <c:pt idx="833">
                  <c:v>721</c:v>
                </c:pt>
                <c:pt idx="834">
                  <c:v>722</c:v>
                </c:pt>
                <c:pt idx="835">
                  <c:v>723</c:v>
                </c:pt>
                <c:pt idx="836">
                  <c:v>724</c:v>
                </c:pt>
                <c:pt idx="837">
                  <c:v>725</c:v>
                </c:pt>
                <c:pt idx="838">
                  <c:v>726</c:v>
                </c:pt>
                <c:pt idx="839">
                  <c:v>727</c:v>
                </c:pt>
                <c:pt idx="840">
                  <c:v>728</c:v>
                </c:pt>
                <c:pt idx="841">
                  <c:v>729</c:v>
                </c:pt>
                <c:pt idx="842">
                  <c:v>730</c:v>
                </c:pt>
                <c:pt idx="843">
                  <c:v>731</c:v>
                </c:pt>
                <c:pt idx="844">
                  <c:v>732</c:v>
                </c:pt>
                <c:pt idx="845">
                  <c:v>733</c:v>
                </c:pt>
                <c:pt idx="846">
                  <c:v>734</c:v>
                </c:pt>
                <c:pt idx="847">
                  <c:v>735</c:v>
                </c:pt>
                <c:pt idx="848">
                  <c:v>736</c:v>
                </c:pt>
                <c:pt idx="849">
                  <c:v>737</c:v>
                </c:pt>
                <c:pt idx="850">
                  <c:v>738</c:v>
                </c:pt>
                <c:pt idx="851">
                  <c:v>739</c:v>
                </c:pt>
                <c:pt idx="852">
                  <c:v>740</c:v>
                </c:pt>
                <c:pt idx="853">
                  <c:v>741</c:v>
                </c:pt>
                <c:pt idx="854">
                  <c:v>742</c:v>
                </c:pt>
                <c:pt idx="855">
                  <c:v>743</c:v>
                </c:pt>
                <c:pt idx="856">
                  <c:v>744</c:v>
                </c:pt>
                <c:pt idx="857">
                  <c:v>745</c:v>
                </c:pt>
                <c:pt idx="858">
                  <c:v>746</c:v>
                </c:pt>
                <c:pt idx="859">
                  <c:v>747</c:v>
                </c:pt>
                <c:pt idx="860">
                  <c:v>748</c:v>
                </c:pt>
                <c:pt idx="861">
                  <c:v>749</c:v>
                </c:pt>
                <c:pt idx="862">
                  <c:v>750</c:v>
                </c:pt>
                <c:pt idx="863">
                  <c:v>751</c:v>
                </c:pt>
                <c:pt idx="864">
                  <c:v>752</c:v>
                </c:pt>
                <c:pt idx="865">
                  <c:v>753</c:v>
                </c:pt>
                <c:pt idx="866">
                  <c:v>754</c:v>
                </c:pt>
                <c:pt idx="867">
                  <c:v>755</c:v>
                </c:pt>
                <c:pt idx="868">
                  <c:v>756</c:v>
                </c:pt>
                <c:pt idx="869">
                  <c:v>757</c:v>
                </c:pt>
                <c:pt idx="870">
                  <c:v>758</c:v>
                </c:pt>
                <c:pt idx="871">
                  <c:v>759</c:v>
                </c:pt>
                <c:pt idx="872">
                  <c:v>760</c:v>
                </c:pt>
                <c:pt idx="873">
                  <c:v>761</c:v>
                </c:pt>
                <c:pt idx="874">
                  <c:v>762</c:v>
                </c:pt>
                <c:pt idx="875">
                  <c:v>763</c:v>
                </c:pt>
                <c:pt idx="876">
                  <c:v>764</c:v>
                </c:pt>
                <c:pt idx="877">
                  <c:v>765</c:v>
                </c:pt>
                <c:pt idx="878">
                  <c:v>766</c:v>
                </c:pt>
                <c:pt idx="879">
                  <c:v>767</c:v>
                </c:pt>
                <c:pt idx="880">
                  <c:v>768</c:v>
                </c:pt>
                <c:pt idx="881">
                  <c:v>769</c:v>
                </c:pt>
                <c:pt idx="882">
                  <c:v>770</c:v>
                </c:pt>
                <c:pt idx="883">
                  <c:v>771</c:v>
                </c:pt>
                <c:pt idx="884">
                  <c:v>772</c:v>
                </c:pt>
                <c:pt idx="885">
                  <c:v>773</c:v>
                </c:pt>
                <c:pt idx="886">
                  <c:v>774</c:v>
                </c:pt>
                <c:pt idx="887">
                  <c:v>775</c:v>
                </c:pt>
                <c:pt idx="888">
                  <c:v>776</c:v>
                </c:pt>
                <c:pt idx="889">
                  <c:v>777</c:v>
                </c:pt>
                <c:pt idx="890">
                  <c:v>778</c:v>
                </c:pt>
                <c:pt idx="891">
                  <c:v>779</c:v>
                </c:pt>
                <c:pt idx="892">
                  <c:v>780</c:v>
                </c:pt>
                <c:pt idx="893">
                  <c:v>781</c:v>
                </c:pt>
                <c:pt idx="894">
                  <c:v>782</c:v>
                </c:pt>
                <c:pt idx="895">
                  <c:v>783</c:v>
                </c:pt>
                <c:pt idx="896">
                  <c:v>784</c:v>
                </c:pt>
                <c:pt idx="897">
                  <c:v>785</c:v>
                </c:pt>
                <c:pt idx="898">
                  <c:v>786</c:v>
                </c:pt>
                <c:pt idx="899">
                  <c:v>787</c:v>
                </c:pt>
                <c:pt idx="900">
                  <c:v>788</c:v>
                </c:pt>
                <c:pt idx="901">
                  <c:v>789</c:v>
                </c:pt>
                <c:pt idx="902">
                  <c:v>790</c:v>
                </c:pt>
                <c:pt idx="903">
                  <c:v>791</c:v>
                </c:pt>
                <c:pt idx="904">
                  <c:v>792</c:v>
                </c:pt>
                <c:pt idx="905">
                  <c:v>793</c:v>
                </c:pt>
                <c:pt idx="906">
                  <c:v>794</c:v>
                </c:pt>
                <c:pt idx="907">
                  <c:v>795</c:v>
                </c:pt>
                <c:pt idx="908">
                  <c:v>796</c:v>
                </c:pt>
                <c:pt idx="909">
                  <c:v>797</c:v>
                </c:pt>
                <c:pt idx="910">
                  <c:v>798</c:v>
                </c:pt>
                <c:pt idx="911">
                  <c:v>799</c:v>
                </c:pt>
                <c:pt idx="912">
                  <c:v>800</c:v>
                </c:pt>
                <c:pt idx="913">
                  <c:v>801</c:v>
                </c:pt>
                <c:pt idx="914">
                  <c:v>802</c:v>
                </c:pt>
                <c:pt idx="915">
                  <c:v>803</c:v>
                </c:pt>
                <c:pt idx="916">
                  <c:v>804</c:v>
                </c:pt>
                <c:pt idx="917">
                  <c:v>805</c:v>
                </c:pt>
                <c:pt idx="918">
                  <c:v>806</c:v>
                </c:pt>
                <c:pt idx="919">
                  <c:v>807</c:v>
                </c:pt>
                <c:pt idx="920">
                  <c:v>808</c:v>
                </c:pt>
                <c:pt idx="921">
                  <c:v>809</c:v>
                </c:pt>
                <c:pt idx="922">
                  <c:v>810</c:v>
                </c:pt>
                <c:pt idx="923">
                  <c:v>811</c:v>
                </c:pt>
                <c:pt idx="924">
                  <c:v>812</c:v>
                </c:pt>
                <c:pt idx="925">
                  <c:v>813</c:v>
                </c:pt>
                <c:pt idx="926">
                  <c:v>814</c:v>
                </c:pt>
                <c:pt idx="927">
                  <c:v>815</c:v>
                </c:pt>
                <c:pt idx="928">
                  <c:v>816</c:v>
                </c:pt>
                <c:pt idx="929">
                  <c:v>817</c:v>
                </c:pt>
                <c:pt idx="930">
                  <c:v>818</c:v>
                </c:pt>
                <c:pt idx="931">
                  <c:v>819</c:v>
                </c:pt>
                <c:pt idx="932">
                  <c:v>820</c:v>
                </c:pt>
                <c:pt idx="933">
                  <c:v>821</c:v>
                </c:pt>
                <c:pt idx="934">
                  <c:v>822</c:v>
                </c:pt>
                <c:pt idx="935">
                  <c:v>823</c:v>
                </c:pt>
                <c:pt idx="936">
                  <c:v>824</c:v>
                </c:pt>
                <c:pt idx="937">
                  <c:v>825</c:v>
                </c:pt>
                <c:pt idx="938">
                  <c:v>826</c:v>
                </c:pt>
                <c:pt idx="939">
                  <c:v>827</c:v>
                </c:pt>
                <c:pt idx="940">
                  <c:v>828</c:v>
                </c:pt>
                <c:pt idx="941">
                  <c:v>829</c:v>
                </c:pt>
                <c:pt idx="942">
                  <c:v>830</c:v>
                </c:pt>
                <c:pt idx="943">
                  <c:v>831</c:v>
                </c:pt>
                <c:pt idx="944">
                  <c:v>832</c:v>
                </c:pt>
                <c:pt idx="945">
                  <c:v>833</c:v>
                </c:pt>
                <c:pt idx="946">
                  <c:v>834</c:v>
                </c:pt>
                <c:pt idx="947">
                  <c:v>835</c:v>
                </c:pt>
                <c:pt idx="948">
                  <c:v>836</c:v>
                </c:pt>
                <c:pt idx="949">
                  <c:v>837</c:v>
                </c:pt>
                <c:pt idx="950">
                  <c:v>838</c:v>
                </c:pt>
                <c:pt idx="951">
                  <c:v>839</c:v>
                </c:pt>
                <c:pt idx="952">
                  <c:v>840</c:v>
                </c:pt>
                <c:pt idx="953">
                  <c:v>841</c:v>
                </c:pt>
                <c:pt idx="954">
                  <c:v>842</c:v>
                </c:pt>
                <c:pt idx="955">
                  <c:v>843</c:v>
                </c:pt>
                <c:pt idx="956">
                  <c:v>844</c:v>
                </c:pt>
                <c:pt idx="957">
                  <c:v>845</c:v>
                </c:pt>
                <c:pt idx="958">
                  <c:v>846</c:v>
                </c:pt>
                <c:pt idx="959">
                  <c:v>847</c:v>
                </c:pt>
                <c:pt idx="960">
                  <c:v>848</c:v>
                </c:pt>
                <c:pt idx="961">
                  <c:v>849</c:v>
                </c:pt>
                <c:pt idx="962">
                  <c:v>850</c:v>
                </c:pt>
                <c:pt idx="963">
                  <c:v>851</c:v>
                </c:pt>
                <c:pt idx="964">
                  <c:v>852</c:v>
                </c:pt>
                <c:pt idx="965">
                  <c:v>853</c:v>
                </c:pt>
                <c:pt idx="966">
                  <c:v>854</c:v>
                </c:pt>
                <c:pt idx="967">
                  <c:v>855</c:v>
                </c:pt>
                <c:pt idx="968">
                  <c:v>856</c:v>
                </c:pt>
                <c:pt idx="969">
                  <c:v>857</c:v>
                </c:pt>
                <c:pt idx="970">
                  <c:v>858</c:v>
                </c:pt>
                <c:pt idx="971">
                  <c:v>859</c:v>
                </c:pt>
                <c:pt idx="972">
                  <c:v>860</c:v>
                </c:pt>
                <c:pt idx="973">
                  <c:v>861</c:v>
                </c:pt>
                <c:pt idx="974">
                  <c:v>862</c:v>
                </c:pt>
                <c:pt idx="975">
                  <c:v>863</c:v>
                </c:pt>
                <c:pt idx="976">
                  <c:v>864</c:v>
                </c:pt>
                <c:pt idx="977">
                  <c:v>865</c:v>
                </c:pt>
                <c:pt idx="978">
                  <c:v>866</c:v>
                </c:pt>
                <c:pt idx="979">
                  <c:v>867</c:v>
                </c:pt>
                <c:pt idx="980">
                  <c:v>868</c:v>
                </c:pt>
                <c:pt idx="981">
                  <c:v>869</c:v>
                </c:pt>
                <c:pt idx="982">
                  <c:v>870</c:v>
                </c:pt>
                <c:pt idx="983">
                  <c:v>871</c:v>
                </c:pt>
                <c:pt idx="984">
                  <c:v>872</c:v>
                </c:pt>
                <c:pt idx="985">
                  <c:v>873</c:v>
                </c:pt>
                <c:pt idx="986">
                  <c:v>874</c:v>
                </c:pt>
                <c:pt idx="987">
                  <c:v>875</c:v>
                </c:pt>
                <c:pt idx="988">
                  <c:v>876</c:v>
                </c:pt>
                <c:pt idx="989">
                  <c:v>877</c:v>
                </c:pt>
                <c:pt idx="990">
                  <c:v>878</c:v>
                </c:pt>
                <c:pt idx="991">
                  <c:v>879</c:v>
                </c:pt>
                <c:pt idx="992">
                  <c:v>880</c:v>
                </c:pt>
                <c:pt idx="993">
                  <c:v>881</c:v>
                </c:pt>
                <c:pt idx="994">
                  <c:v>882</c:v>
                </c:pt>
                <c:pt idx="995">
                  <c:v>883</c:v>
                </c:pt>
                <c:pt idx="996">
                  <c:v>884</c:v>
                </c:pt>
                <c:pt idx="997">
                  <c:v>885</c:v>
                </c:pt>
                <c:pt idx="998">
                  <c:v>886</c:v>
                </c:pt>
                <c:pt idx="999">
                  <c:v>887</c:v>
                </c:pt>
                <c:pt idx="1000">
                  <c:v>888</c:v>
                </c:pt>
                <c:pt idx="1001">
                  <c:v>889</c:v>
                </c:pt>
                <c:pt idx="1002">
                  <c:v>890</c:v>
                </c:pt>
                <c:pt idx="1003">
                  <c:v>891</c:v>
                </c:pt>
                <c:pt idx="1004">
                  <c:v>892</c:v>
                </c:pt>
                <c:pt idx="1005">
                  <c:v>893</c:v>
                </c:pt>
                <c:pt idx="1006">
                  <c:v>894</c:v>
                </c:pt>
                <c:pt idx="1007">
                  <c:v>895</c:v>
                </c:pt>
                <c:pt idx="1008">
                  <c:v>896</c:v>
                </c:pt>
                <c:pt idx="1009">
                  <c:v>897</c:v>
                </c:pt>
                <c:pt idx="1010">
                  <c:v>898</c:v>
                </c:pt>
                <c:pt idx="1011">
                  <c:v>899</c:v>
                </c:pt>
                <c:pt idx="1012">
                  <c:v>900</c:v>
                </c:pt>
                <c:pt idx="1013">
                  <c:v>901</c:v>
                </c:pt>
                <c:pt idx="1014">
                  <c:v>902</c:v>
                </c:pt>
                <c:pt idx="1015">
                  <c:v>903</c:v>
                </c:pt>
                <c:pt idx="1016">
                  <c:v>904</c:v>
                </c:pt>
                <c:pt idx="1017">
                  <c:v>905</c:v>
                </c:pt>
                <c:pt idx="1018">
                  <c:v>906</c:v>
                </c:pt>
                <c:pt idx="1019">
                  <c:v>907</c:v>
                </c:pt>
                <c:pt idx="1020">
                  <c:v>908</c:v>
                </c:pt>
                <c:pt idx="1021">
                  <c:v>909</c:v>
                </c:pt>
                <c:pt idx="1022">
                  <c:v>910</c:v>
                </c:pt>
                <c:pt idx="1023">
                  <c:v>911</c:v>
                </c:pt>
                <c:pt idx="1024">
                  <c:v>912</c:v>
                </c:pt>
                <c:pt idx="1025">
                  <c:v>913</c:v>
                </c:pt>
                <c:pt idx="1026">
                  <c:v>914</c:v>
                </c:pt>
                <c:pt idx="1027">
                  <c:v>915</c:v>
                </c:pt>
                <c:pt idx="1028">
                  <c:v>916</c:v>
                </c:pt>
                <c:pt idx="1029">
                  <c:v>917</c:v>
                </c:pt>
                <c:pt idx="1030">
                  <c:v>918</c:v>
                </c:pt>
                <c:pt idx="1031">
                  <c:v>919</c:v>
                </c:pt>
                <c:pt idx="1032">
                  <c:v>920</c:v>
                </c:pt>
                <c:pt idx="1033">
                  <c:v>921</c:v>
                </c:pt>
                <c:pt idx="1034">
                  <c:v>922</c:v>
                </c:pt>
                <c:pt idx="1035">
                  <c:v>923</c:v>
                </c:pt>
                <c:pt idx="1036">
                  <c:v>924</c:v>
                </c:pt>
                <c:pt idx="1037">
                  <c:v>925</c:v>
                </c:pt>
                <c:pt idx="1038">
                  <c:v>926</c:v>
                </c:pt>
                <c:pt idx="1039">
                  <c:v>927</c:v>
                </c:pt>
                <c:pt idx="1040">
                  <c:v>928</c:v>
                </c:pt>
                <c:pt idx="1041">
                  <c:v>929</c:v>
                </c:pt>
                <c:pt idx="1042">
                  <c:v>930</c:v>
                </c:pt>
                <c:pt idx="1043">
                  <c:v>931</c:v>
                </c:pt>
                <c:pt idx="1044">
                  <c:v>932</c:v>
                </c:pt>
                <c:pt idx="1045">
                  <c:v>933</c:v>
                </c:pt>
                <c:pt idx="1046">
                  <c:v>934</c:v>
                </c:pt>
                <c:pt idx="1047">
                  <c:v>935</c:v>
                </c:pt>
                <c:pt idx="1048">
                  <c:v>936</c:v>
                </c:pt>
                <c:pt idx="1049">
                  <c:v>937</c:v>
                </c:pt>
                <c:pt idx="1050">
                  <c:v>938</c:v>
                </c:pt>
                <c:pt idx="1051">
                  <c:v>939</c:v>
                </c:pt>
                <c:pt idx="1052">
                  <c:v>940</c:v>
                </c:pt>
                <c:pt idx="1053">
                  <c:v>941</c:v>
                </c:pt>
                <c:pt idx="1054">
                  <c:v>942</c:v>
                </c:pt>
                <c:pt idx="1055">
                  <c:v>943</c:v>
                </c:pt>
                <c:pt idx="1056">
                  <c:v>944</c:v>
                </c:pt>
                <c:pt idx="1057">
                  <c:v>945</c:v>
                </c:pt>
                <c:pt idx="1058">
                  <c:v>946</c:v>
                </c:pt>
                <c:pt idx="1059">
                  <c:v>947</c:v>
                </c:pt>
                <c:pt idx="1060">
                  <c:v>948</c:v>
                </c:pt>
                <c:pt idx="1061">
                  <c:v>949</c:v>
                </c:pt>
                <c:pt idx="1062">
                  <c:v>950</c:v>
                </c:pt>
                <c:pt idx="1063">
                  <c:v>951</c:v>
                </c:pt>
                <c:pt idx="1064">
                  <c:v>952</c:v>
                </c:pt>
                <c:pt idx="1065">
                  <c:v>953</c:v>
                </c:pt>
                <c:pt idx="1066">
                  <c:v>954</c:v>
                </c:pt>
                <c:pt idx="1067">
                  <c:v>955</c:v>
                </c:pt>
                <c:pt idx="1068">
                  <c:v>956</c:v>
                </c:pt>
                <c:pt idx="1069">
                  <c:v>957</c:v>
                </c:pt>
                <c:pt idx="1070">
                  <c:v>958</c:v>
                </c:pt>
                <c:pt idx="1071">
                  <c:v>959</c:v>
                </c:pt>
                <c:pt idx="1072">
                  <c:v>960</c:v>
                </c:pt>
                <c:pt idx="1073">
                  <c:v>961</c:v>
                </c:pt>
                <c:pt idx="1074">
                  <c:v>962</c:v>
                </c:pt>
                <c:pt idx="1075">
                  <c:v>963</c:v>
                </c:pt>
                <c:pt idx="1076">
                  <c:v>964</c:v>
                </c:pt>
                <c:pt idx="1077">
                  <c:v>965</c:v>
                </c:pt>
                <c:pt idx="1078">
                  <c:v>966</c:v>
                </c:pt>
                <c:pt idx="1079">
                  <c:v>967</c:v>
                </c:pt>
                <c:pt idx="1080">
                  <c:v>968</c:v>
                </c:pt>
                <c:pt idx="1081">
                  <c:v>969</c:v>
                </c:pt>
                <c:pt idx="1082">
                  <c:v>970</c:v>
                </c:pt>
                <c:pt idx="1083">
                  <c:v>971</c:v>
                </c:pt>
                <c:pt idx="1084">
                  <c:v>972</c:v>
                </c:pt>
                <c:pt idx="1085">
                  <c:v>973</c:v>
                </c:pt>
                <c:pt idx="1086">
                  <c:v>974</c:v>
                </c:pt>
                <c:pt idx="1087">
                  <c:v>975</c:v>
                </c:pt>
                <c:pt idx="1088">
                  <c:v>976</c:v>
                </c:pt>
                <c:pt idx="1089">
                  <c:v>977</c:v>
                </c:pt>
                <c:pt idx="1090">
                  <c:v>978</c:v>
                </c:pt>
                <c:pt idx="1091">
                  <c:v>979</c:v>
                </c:pt>
                <c:pt idx="1092">
                  <c:v>980</c:v>
                </c:pt>
                <c:pt idx="1093">
                  <c:v>981</c:v>
                </c:pt>
                <c:pt idx="1094">
                  <c:v>982</c:v>
                </c:pt>
                <c:pt idx="1095">
                  <c:v>983</c:v>
                </c:pt>
                <c:pt idx="1096">
                  <c:v>984</c:v>
                </c:pt>
                <c:pt idx="1097">
                  <c:v>985</c:v>
                </c:pt>
                <c:pt idx="1098">
                  <c:v>986</c:v>
                </c:pt>
                <c:pt idx="1099">
                  <c:v>987</c:v>
                </c:pt>
                <c:pt idx="1100">
                  <c:v>988</c:v>
                </c:pt>
                <c:pt idx="1101">
                  <c:v>989</c:v>
                </c:pt>
                <c:pt idx="1102">
                  <c:v>990</c:v>
                </c:pt>
                <c:pt idx="1103">
                  <c:v>991</c:v>
                </c:pt>
                <c:pt idx="1104">
                  <c:v>992</c:v>
                </c:pt>
                <c:pt idx="1105">
                  <c:v>993</c:v>
                </c:pt>
                <c:pt idx="1106">
                  <c:v>994</c:v>
                </c:pt>
                <c:pt idx="1107">
                  <c:v>995</c:v>
                </c:pt>
                <c:pt idx="1108">
                  <c:v>996</c:v>
                </c:pt>
                <c:pt idx="1109">
                  <c:v>997</c:v>
                </c:pt>
                <c:pt idx="1110">
                  <c:v>998</c:v>
                </c:pt>
                <c:pt idx="1111">
                  <c:v>999</c:v>
                </c:pt>
                <c:pt idx="1112">
                  <c:v>1000</c:v>
                </c:pt>
                <c:pt idx="1113">
                  <c:v>1001</c:v>
                </c:pt>
                <c:pt idx="1114">
                  <c:v>1002</c:v>
                </c:pt>
                <c:pt idx="1115">
                  <c:v>1003</c:v>
                </c:pt>
                <c:pt idx="1116">
                  <c:v>1004</c:v>
                </c:pt>
                <c:pt idx="1117">
                  <c:v>1005</c:v>
                </c:pt>
                <c:pt idx="1118">
                  <c:v>1006</c:v>
                </c:pt>
                <c:pt idx="1119">
                  <c:v>1007</c:v>
                </c:pt>
                <c:pt idx="1120">
                  <c:v>1008</c:v>
                </c:pt>
                <c:pt idx="1121">
                  <c:v>1009</c:v>
                </c:pt>
                <c:pt idx="1122">
                  <c:v>1010</c:v>
                </c:pt>
                <c:pt idx="1123">
                  <c:v>1011</c:v>
                </c:pt>
                <c:pt idx="1124">
                  <c:v>1012</c:v>
                </c:pt>
                <c:pt idx="1125">
                  <c:v>1013</c:v>
                </c:pt>
                <c:pt idx="1126">
                  <c:v>1014</c:v>
                </c:pt>
                <c:pt idx="1127">
                  <c:v>1015</c:v>
                </c:pt>
                <c:pt idx="1128">
                  <c:v>1016</c:v>
                </c:pt>
                <c:pt idx="1129">
                  <c:v>1017</c:v>
                </c:pt>
                <c:pt idx="1130">
                  <c:v>1018</c:v>
                </c:pt>
                <c:pt idx="1131">
                  <c:v>1019</c:v>
                </c:pt>
                <c:pt idx="1132">
                  <c:v>1020</c:v>
                </c:pt>
                <c:pt idx="1133">
                  <c:v>1021</c:v>
                </c:pt>
                <c:pt idx="1134">
                  <c:v>1022</c:v>
                </c:pt>
                <c:pt idx="1135">
                  <c:v>1023</c:v>
                </c:pt>
                <c:pt idx="1136">
                  <c:v>1024</c:v>
                </c:pt>
                <c:pt idx="1137">
                  <c:v>1025</c:v>
                </c:pt>
                <c:pt idx="1138">
                  <c:v>1026</c:v>
                </c:pt>
                <c:pt idx="1139">
                  <c:v>1027</c:v>
                </c:pt>
                <c:pt idx="1140">
                  <c:v>1028</c:v>
                </c:pt>
                <c:pt idx="1141">
                  <c:v>1029</c:v>
                </c:pt>
                <c:pt idx="1142">
                  <c:v>1030</c:v>
                </c:pt>
                <c:pt idx="1143">
                  <c:v>1031</c:v>
                </c:pt>
                <c:pt idx="1144">
                  <c:v>1032</c:v>
                </c:pt>
                <c:pt idx="1145">
                  <c:v>1033</c:v>
                </c:pt>
                <c:pt idx="1146">
                  <c:v>1034</c:v>
                </c:pt>
                <c:pt idx="1147">
                  <c:v>1035</c:v>
                </c:pt>
                <c:pt idx="1148">
                  <c:v>1036</c:v>
                </c:pt>
                <c:pt idx="1149">
                  <c:v>1037</c:v>
                </c:pt>
                <c:pt idx="1150">
                  <c:v>1038</c:v>
                </c:pt>
                <c:pt idx="1151">
                  <c:v>1039</c:v>
                </c:pt>
                <c:pt idx="1152">
                  <c:v>1040</c:v>
                </c:pt>
                <c:pt idx="1153">
                  <c:v>1041</c:v>
                </c:pt>
                <c:pt idx="1154">
                  <c:v>1042</c:v>
                </c:pt>
                <c:pt idx="1155">
                  <c:v>1043</c:v>
                </c:pt>
                <c:pt idx="1156">
                  <c:v>1044</c:v>
                </c:pt>
                <c:pt idx="1157">
                  <c:v>1045</c:v>
                </c:pt>
                <c:pt idx="1158">
                  <c:v>1046</c:v>
                </c:pt>
                <c:pt idx="1159">
                  <c:v>1047</c:v>
                </c:pt>
                <c:pt idx="1160">
                  <c:v>1048</c:v>
                </c:pt>
                <c:pt idx="1161">
                  <c:v>1049</c:v>
                </c:pt>
                <c:pt idx="1162">
                  <c:v>1050</c:v>
                </c:pt>
                <c:pt idx="1163">
                  <c:v>1051</c:v>
                </c:pt>
                <c:pt idx="1164">
                  <c:v>1052</c:v>
                </c:pt>
                <c:pt idx="1165">
                  <c:v>1053</c:v>
                </c:pt>
                <c:pt idx="1166">
                  <c:v>1054</c:v>
                </c:pt>
                <c:pt idx="1167">
                  <c:v>1055</c:v>
                </c:pt>
                <c:pt idx="1168">
                  <c:v>1056</c:v>
                </c:pt>
                <c:pt idx="1169">
                  <c:v>1057</c:v>
                </c:pt>
                <c:pt idx="1170">
                  <c:v>1058</c:v>
                </c:pt>
                <c:pt idx="1171">
                  <c:v>1059</c:v>
                </c:pt>
                <c:pt idx="1172">
                  <c:v>1060</c:v>
                </c:pt>
                <c:pt idx="1173">
                  <c:v>1061</c:v>
                </c:pt>
                <c:pt idx="1174">
                  <c:v>1062</c:v>
                </c:pt>
                <c:pt idx="1175">
                  <c:v>1063</c:v>
                </c:pt>
                <c:pt idx="1176">
                  <c:v>1064</c:v>
                </c:pt>
                <c:pt idx="1177">
                  <c:v>1065</c:v>
                </c:pt>
                <c:pt idx="1178">
                  <c:v>1066</c:v>
                </c:pt>
                <c:pt idx="1179">
                  <c:v>1067</c:v>
                </c:pt>
                <c:pt idx="1180">
                  <c:v>1068</c:v>
                </c:pt>
                <c:pt idx="1181">
                  <c:v>1069</c:v>
                </c:pt>
                <c:pt idx="1182">
                  <c:v>1070</c:v>
                </c:pt>
                <c:pt idx="1183">
                  <c:v>1071</c:v>
                </c:pt>
                <c:pt idx="1184">
                  <c:v>1072</c:v>
                </c:pt>
                <c:pt idx="1185">
                  <c:v>1073</c:v>
                </c:pt>
                <c:pt idx="1186">
                  <c:v>1074</c:v>
                </c:pt>
                <c:pt idx="1187">
                  <c:v>1075</c:v>
                </c:pt>
                <c:pt idx="1188">
                  <c:v>1076</c:v>
                </c:pt>
                <c:pt idx="1189">
                  <c:v>1077</c:v>
                </c:pt>
                <c:pt idx="1190">
                  <c:v>1078</c:v>
                </c:pt>
                <c:pt idx="1191">
                  <c:v>1079</c:v>
                </c:pt>
                <c:pt idx="1192">
                  <c:v>1080</c:v>
                </c:pt>
                <c:pt idx="1193">
                  <c:v>1081</c:v>
                </c:pt>
                <c:pt idx="1194">
                  <c:v>1082</c:v>
                </c:pt>
                <c:pt idx="1195">
                  <c:v>1083</c:v>
                </c:pt>
                <c:pt idx="1196">
                  <c:v>1084</c:v>
                </c:pt>
                <c:pt idx="1197">
                  <c:v>1085</c:v>
                </c:pt>
                <c:pt idx="1198">
                  <c:v>1086</c:v>
                </c:pt>
                <c:pt idx="1199">
                  <c:v>1087</c:v>
                </c:pt>
                <c:pt idx="1200">
                  <c:v>1088</c:v>
                </c:pt>
                <c:pt idx="1201">
                  <c:v>1089</c:v>
                </c:pt>
                <c:pt idx="1202">
                  <c:v>1090</c:v>
                </c:pt>
                <c:pt idx="1203">
                  <c:v>1091</c:v>
                </c:pt>
                <c:pt idx="1204">
                  <c:v>1092</c:v>
                </c:pt>
                <c:pt idx="1205">
                  <c:v>1093</c:v>
                </c:pt>
                <c:pt idx="1206">
                  <c:v>1094</c:v>
                </c:pt>
                <c:pt idx="1207">
                  <c:v>1095</c:v>
                </c:pt>
                <c:pt idx="1208">
                  <c:v>1096</c:v>
                </c:pt>
                <c:pt idx="1209">
                  <c:v>1097</c:v>
                </c:pt>
                <c:pt idx="1210">
                  <c:v>1098</c:v>
                </c:pt>
                <c:pt idx="1211">
                  <c:v>1099</c:v>
                </c:pt>
                <c:pt idx="1212">
                  <c:v>1100</c:v>
                </c:pt>
                <c:pt idx="1213">
                  <c:v>1101</c:v>
                </c:pt>
                <c:pt idx="1214">
                  <c:v>1102</c:v>
                </c:pt>
                <c:pt idx="1215">
                  <c:v>1103</c:v>
                </c:pt>
                <c:pt idx="1216">
                  <c:v>1104</c:v>
                </c:pt>
                <c:pt idx="1217">
                  <c:v>1105</c:v>
                </c:pt>
                <c:pt idx="1218">
                  <c:v>1106</c:v>
                </c:pt>
                <c:pt idx="1219">
                  <c:v>1107</c:v>
                </c:pt>
                <c:pt idx="1220">
                  <c:v>1108</c:v>
                </c:pt>
                <c:pt idx="1221">
                  <c:v>1109</c:v>
                </c:pt>
                <c:pt idx="1222">
                  <c:v>1110</c:v>
                </c:pt>
                <c:pt idx="1223">
                  <c:v>1111</c:v>
                </c:pt>
                <c:pt idx="1224">
                  <c:v>1112</c:v>
                </c:pt>
                <c:pt idx="1225">
                  <c:v>1113</c:v>
                </c:pt>
                <c:pt idx="1226">
                  <c:v>1114</c:v>
                </c:pt>
                <c:pt idx="1227">
                  <c:v>1115</c:v>
                </c:pt>
                <c:pt idx="1228">
                  <c:v>1116</c:v>
                </c:pt>
                <c:pt idx="1229">
                  <c:v>1117</c:v>
                </c:pt>
                <c:pt idx="1230">
                  <c:v>1118</c:v>
                </c:pt>
                <c:pt idx="1231">
                  <c:v>1119</c:v>
                </c:pt>
                <c:pt idx="1232">
                  <c:v>1120</c:v>
                </c:pt>
                <c:pt idx="1233">
                  <c:v>1121</c:v>
                </c:pt>
                <c:pt idx="1234">
                  <c:v>1122</c:v>
                </c:pt>
                <c:pt idx="1235">
                  <c:v>1123</c:v>
                </c:pt>
                <c:pt idx="1236">
                  <c:v>1124</c:v>
                </c:pt>
                <c:pt idx="1237">
                  <c:v>1125</c:v>
                </c:pt>
                <c:pt idx="1238">
                  <c:v>1126</c:v>
                </c:pt>
                <c:pt idx="1239">
                  <c:v>1127</c:v>
                </c:pt>
                <c:pt idx="1240">
                  <c:v>1128</c:v>
                </c:pt>
                <c:pt idx="1241">
                  <c:v>1129</c:v>
                </c:pt>
                <c:pt idx="1242">
                  <c:v>1130</c:v>
                </c:pt>
                <c:pt idx="1243">
                  <c:v>1131</c:v>
                </c:pt>
                <c:pt idx="1244">
                  <c:v>1132</c:v>
                </c:pt>
                <c:pt idx="1245">
                  <c:v>1133</c:v>
                </c:pt>
                <c:pt idx="1246">
                  <c:v>1134</c:v>
                </c:pt>
                <c:pt idx="1247">
                  <c:v>1135</c:v>
                </c:pt>
                <c:pt idx="1248">
                  <c:v>1136</c:v>
                </c:pt>
                <c:pt idx="1249">
                  <c:v>1137</c:v>
                </c:pt>
                <c:pt idx="1250">
                  <c:v>1138</c:v>
                </c:pt>
                <c:pt idx="1251">
                  <c:v>1139</c:v>
                </c:pt>
                <c:pt idx="1252">
                  <c:v>1140</c:v>
                </c:pt>
                <c:pt idx="1253">
                  <c:v>1141</c:v>
                </c:pt>
                <c:pt idx="1254">
                  <c:v>1142</c:v>
                </c:pt>
                <c:pt idx="1255">
                  <c:v>1143</c:v>
                </c:pt>
                <c:pt idx="1256">
                  <c:v>1144</c:v>
                </c:pt>
                <c:pt idx="1257">
                  <c:v>1145</c:v>
                </c:pt>
                <c:pt idx="1258">
                  <c:v>1146</c:v>
                </c:pt>
                <c:pt idx="1259">
                  <c:v>1147</c:v>
                </c:pt>
                <c:pt idx="1260">
                  <c:v>1148</c:v>
                </c:pt>
                <c:pt idx="1261">
                  <c:v>1149</c:v>
                </c:pt>
                <c:pt idx="1262">
                  <c:v>1150</c:v>
                </c:pt>
                <c:pt idx="1263">
                  <c:v>1151</c:v>
                </c:pt>
                <c:pt idx="1264">
                  <c:v>1152</c:v>
                </c:pt>
                <c:pt idx="1265">
                  <c:v>1153</c:v>
                </c:pt>
                <c:pt idx="1266">
                  <c:v>1154</c:v>
                </c:pt>
                <c:pt idx="1267">
                  <c:v>1155</c:v>
                </c:pt>
                <c:pt idx="1268">
                  <c:v>1156</c:v>
                </c:pt>
                <c:pt idx="1269">
                  <c:v>1157</c:v>
                </c:pt>
                <c:pt idx="1270">
                  <c:v>1158</c:v>
                </c:pt>
                <c:pt idx="1271">
                  <c:v>1159</c:v>
                </c:pt>
                <c:pt idx="1272">
                  <c:v>1160</c:v>
                </c:pt>
                <c:pt idx="1273">
                  <c:v>1161</c:v>
                </c:pt>
                <c:pt idx="1274">
                  <c:v>1162</c:v>
                </c:pt>
                <c:pt idx="1275">
                  <c:v>1163</c:v>
                </c:pt>
                <c:pt idx="1276">
                  <c:v>1164</c:v>
                </c:pt>
                <c:pt idx="1277">
                  <c:v>1165</c:v>
                </c:pt>
                <c:pt idx="1278">
                  <c:v>1166</c:v>
                </c:pt>
                <c:pt idx="1279">
                  <c:v>1167</c:v>
                </c:pt>
                <c:pt idx="1280">
                  <c:v>1168</c:v>
                </c:pt>
                <c:pt idx="1281">
                  <c:v>1169</c:v>
                </c:pt>
                <c:pt idx="1282">
                  <c:v>1170</c:v>
                </c:pt>
                <c:pt idx="1283">
                  <c:v>1171</c:v>
                </c:pt>
                <c:pt idx="1284">
                  <c:v>1172</c:v>
                </c:pt>
                <c:pt idx="1285">
                  <c:v>1173</c:v>
                </c:pt>
                <c:pt idx="1286">
                  <c:v>1174</c:v>
                </c:pt>
                <c:pt idx="1287">
                  <c:v>1175</c:v>
                </c:pt>
                <c:pt idx="1288">
                  <c:v>1176</c:v>
                </c:pt>
                <c:pt idx="1289">
                  <c:v>1177</c:v>
                </c:pt>
                <c:pt idx="1290">
                  <c:v>1178</c:v>
                </c:pt>
                <c:pt idx="1291">
                  <c:v>1179</c:v>
                </c:pt>
                <c:pt idx="1292">
                  <c:v>1180</c:v>
                </c:pt>
                <c:pt idx="1293">
                  <c:v>1181</c:v>
                </c:pt>
                <c:pt idx="1294">
                  <c:v>1182</c:v>
                </c:pt>
                <c:pt idx="1295">
                  <c:v>1183</c:v>
                </c:pt>
                <c:pt idx="1296">
                  <c:v>1184</c:v>
                </c:pt>
                <c:pt idx="1297">
                  <c:v>1185</c:v>
                </c:pt>
                <c:pt idx="1298">
                  <c:v>1186</c:v>
                </c:pt>
                <c:pt idx="1299">
                  <c:v>1187</c:v>
                </c:pt>
                <c:pt idx="1300">
                  <c:v>1188</c:v>
                </c:pt>
                <c:pt idx="1301">
                  <c:v>1189</c:v>
                </c:pt>
                <c:pt idx="1302">
                  <c:v>1190</c:v>
                </c:pt>
                <c:pt idx="1303">
                  <c:v>1191</c:v>
                </c:pt>
                <c:pt idx="1304">
                  <c:v>1192</c:v>
                </c:pt>
                <c:pt idx="1305">
                  <c:v>1193</c:v>
                </c:pt>
                <c:pt idx="1306">
                  <c:v>1194</c:v>
                </c:pt>
                <c:pt idx="1307">
                  <c:v>1195</c:v>
                </c:pt>
                <c:pt idx="1308">
                  <c:v>1196</c:v>
                </c:pt>
                <c:pt idx="1309">
                  <c:v>1197</c:v>
                </c:pt>
                <c:pt idx="1310">
                  <c:v>1198</c:v>
                </c:pt>
                <c:pt idx="1311">
                  <c:v>1199</c:v>
                </c:pt>
                <c:pt idx="1312">
                  <c:v>1200</c:v>
                </c:pt>
                <c:pt idx="1313">
                  <c:v>1201</c:v>
                </c:pt>
                <c:pt idx="1314">
                  <c:v>1202</c:v>
                </c:pt>
                <c:pt idx="1315">
                  <c:v>1203</c:v>
                </c:pt>
                <c:pt idx="1316">
                  <c:v>1204</c:v>
                </c:pt>
                <c:pt idx="1317">
                  <c:v>1205</c:v>
                </c:pt>
                <c:pt idx="1318">
                  <c:v>1206</c:v>
                </c:pt>
                <c:pt idx="1319">
                  <c:v>1207</c:v>
                </c:pt>
                <c:pt idx="1320">
                  <c:v>1208</c:v>
                </c:pt>
                <c:pt idx="1321">
                  <c:v>1209</c:v>
                </c:pt>
                <c:pt idx="1322">
                  <c:v>1210</c:v>
                </c:pt>
                <c:pt idx="1323">
                  <c:v>1211</c:v>
                </c:pt>
                <c:pt idx="1324">
                  <c:v>1212</c:v>
                </c:pt>
                <c:pt idx="1325">
                  <c:v>1213</c:v>
                </c:pt>
                <c:pt idx="1326">
                  <c:v>1214</c:v>
                </c:pt>
                <c:pt idx="1327">
                  <c:v>1215</c:v>
                </c:pt>
                <c:pt idx="1328">
                  <c:v>1216</c:v>
                </c:pt>
                <c:pt idx="1329">
                  <c:v>1217</c:v>
                </c:pt>
                <c:pt idx="1330">
                  <c:v>1218</c:v>
                </c:pt>
                <c:pt idx="1331">
                  <c:v>1219</c:v>
                </c:pt>
                <c:pt idx="1332">
                  <c:v>1220</c:v>
                </c:pt>
                <c:pt idx="1333">
                  <c:v>1221</c:v>
                </c:pt>
                <c:pt idx="1334">
                  <c:v>1222</c:v>
                </c:pt>
                <c:pt idx="1335">
                  <c:v>1223</c:v>
                </c:pt>
                <c:pt idx="1336">
                  <c:v>1224</c:v>
                </c:pt>
                <c:pt idx="1337">
                  <c:v>1225</c:v>
                </c:pt>
                <c:pt idx="1338">
                  <c:v>1226</c:v>
                </c:pt>
                <c:pt idx="1339">
                  <c:v>1227</c:v>
                </c:pt>
                <c:pt idx="1340">
                  <c:v>1228</c:v>
                </c:pt>
                <c:pt idx="1341">
                  <c:v>1229</c:v>
                </c:pt>
                <c:pt idx="1342">
                  <c:v>1230</c:v>
                </c:pt>
                <c:pt idx="1343">
                  <c:v>1231</c:v>
                </c:pt>
                <c:pt idx="1344">
                  <c:v>1232</c:v>
                </c:pt>
                <c:pt idx="1345">
                  <c:v>1233</c:v>
                </c:pt>
                <c:pt idx="1346">
                  <c:v>1234</c:v>
                </c:pt>
                <c:pt idx="1347">
                  <c:v>1235</c:v>
                </c:pt>
                <c:pt idx="1348">
                  <c:v>1236</c:v>
                </c:pt>
                <c:pt idx="1349">
                  <c:v>1237</c:v>
                </c:pt>
                <c:pt idx="1350">
                  <c:v>1238</c:v>
                </c:pt>
                <c:pt idx="1351">
                  <c:v>1239</c:v>
                </c:pt>
                <c:pt idx="1352">
                  <c:v>1240</c:v>
                </c:pt>
                <c:pt idx="1353">
                  <c:v>1241</c:v>
                </c:pt>
                <c:pt idx="1354">
                  <c:v>1242</c:v>
                </c:pt>
                <c:pt idx="1355">
                  <c:v>1243</c:v>
                </c:pt>
                <c:pt idx="1356">
                  <c:v>1244</c:v>
                </c:pt>
                <c:pt idx="1357">
                  <c:v>1245</c:v>
                </c:pt>
                <c:pt idx="1358">
                  <c:v>1246</c:v>
                </c:pt>
                <c:pt idx="1359">
                  <c:v>1247</c:v>
                </c:pt>
                <c:pt idx="1360">
                  <c:v>1248</c:v>
                </c:pt>
                <c:pt idx="1361">
                  <c:v>1249</c:v>
                </c:pt>
                <c:pt idx="1362">
                  <c:v>1250</c:v>
                </c:pt>
                <c:pt idx="1363">
                  <c:v>1251</c:v>
                </c:pt>
                <c:pt idx="1364">
                  <c:v>1252</c:v>
                </c:pt>
                <c:pt idx="1365">
                  <c:v>1253</c:v>
                </c:pt>
                <c:pt idx="1366">
                  <c:v>1254</c:v>
                </c:pt>
                <c:pt idx="1367">
                  <c:v>1255</c:v>
                </c:pt>
                <c:pt idx="1368">
                  <c:v>1256</c:v>
                </c:pt>
                <c:pt idx="1369">
                  <c:v>1257</c:v>
                </c:pt>
                <c:pt idx="1370">
                  <c:v>1258</c:v>
                </c:pt>
                <c:pt idx="1371">
                  <c:v>1259</c:v>
                </c:pt>
                <c:pt idx="1372">
                  <c:v>1260</c:v>
                </c:pt>
                <c:pt idx="1373">
                  <c:v>1261</c:v>
                </c:pt>
                <c:pt idx="1374">
                  <c:v>1262</c:v>
                </c:pt>
                <c:pt idx="1375">
                  <c:v>1263</c:v>
                </c:pt>
                <c:pt idx="1376">
                  <c:v>1264</c:v>
                </c:pt>
                <c:pt idx="1377">
                  <c:v>1265</c:v>
                </c:pt>
                <c:pt idx="1378">
                  <c:v>1266</c:v>
                </c:pt>
                <c:pt idx="1379">
                  <c:v>1267</c:v>
                </c:pt>
                <c:pt idx="1380">
                  <c:v>1268</c:v>
                </c:pt>
                <c:pt idx="1381">
                  <c:v>1269</c:v>
                </c:pt>
                <c:pt idx="1382">
                  <c:v>1270</c:v>
                </c:pt>
                <c:pt idx="1383">
                  <c:v>1271</c:v>
                </c:pt>
                <c:pt idx="1384">
                  <c:v>1272</c:v>
                </c:pt>
                <c:pt idx="1385">
                  <c:v>1273</c:v>
                </c:pt>
                <c:pt idx="1386">
                  <c:v>1274</c:v>
                </c:pt>
                <c:pt idx="1387">
                  <c:v>1275</c:v>
                </c:pt>
                <c:pt idx="1388">
                  <c:v>1276</c:v>
                </c:pt>
                <c:pt idx="1389">
                  <c:v>1277</c:v>
                </c:pt>
                <c:pt idx="1390">
                  <c:v>1278</c:v>
                </c:pt>
                <c:pt idx="1391">
                  <c:v>1279</c:v>
                </c:pt>
                <c:pt idx="1392">
                  <c:v>1280</c:v>
                </c:pt>
                <c:pt idx="1393">
                  <c:v>1281</c:v>
                </c:pt>
                <c:pt idx="1394">
                  <c:v>1282</c:v>
                </c:pt>
                <c:pt idx="1395">
                  <c:v>1283</c:v>
                </c:pt>
                <c:pt idx="1396">
                  <c:v>1284</c:v>
                </c:pt>
                <c:pt idx="1397">
                  <c:v>1285</c:v>
                </c:pt>
                <c:pt idx="1398">
                  <c:v>1286</c:v>
                </c:pt>
                <c:pt idx="1399">
                  <c:v>1287</c:v>
                </c:pt>
                <c:pt idx="1400">
                  <c:v>1288</c:v>
                </c:pt>
                <c:pt idx="1401">
                  <c:v>1289</c:v>
                </c:pt>
                <c:pt idx="1402">
                  <c:v>1290</c:v>
                </c:pt>
                <c:pt idx="1403">
                  <c:v>1291</c:v>
                </c:pt>
                <c:pt idx="1404">
                  <c:v>1292</c:v>
                </c:pt>
                <c:pt idx="1405">
                  <c:v>1293</c:v>
                </c:pt>
                <c:pt idx="1406">
                  <c:v>1294</c:v>
                </c:pt>
                <c:pt idx="1407">
                  <c:v>1295</c:v>
                </c:pt>
                <c:pt idx="1408">
                  <c:v>1296</c:v>
                </c:pt>
                <c:pt idx="1409">
                  <c:v>1297</c:v>
                </c:pt>
                <c:pt idx="1410">
                  <c:v>1298</c:v>
                </c:pt>
                <c:pt idx="1411">
                  <c:v>1299</c:v>
                </c:pt>
                <c:pt idx="1412">
                  <c:v>1300</c:v>
                </c:pt>
                <c:pt idx="1413">
                  <c:v>1301</c:v>
                </c:pt>
                <c:pt idx="1414">
                  <c:v>1302</c:v>
                </c:pt>
                <c:pt idx="1415">
                  <c:v>1303</c:v>
                </c:pt>
                <c:pt idx="1416">
                  <c:v>1304</c:v>
                </c:pt>
                <c:pt idx="1417">
                  <c:v>1305</c:v>
                </c:pt>
                <c:pt idx="1418">
                  <c:v>1306</c:v>
                </c:pt>
                <c:pt idx="1419">
                  <c:v>1307</c:v>
                </c:pt>
                <c:pt idx="1420">
                  <c:v>1308</c:v>
                </c:pt>
                <c:pt idx="1421">
                  <c:v>1309</c:v>
                </c:pt>
                <c:pt idx="1422">
                  <c:v>1310</c:v>
                </c:pt>
                <c:pt idx="1423">
                  <c:v>1311</c:v>
                </c:pt>
                <c:pt idx="1424">
                  <c:v>1312</c:v>
                </c:pt>
                <c:pt idx="1425">
                  <c:v>1313</c:v>
                </c:pt>
                <c:pt idx="1426">
                  <c:v>1314</c:v>
                </c:pt>
                <c:pt idx="1427">
                  <c:v>1315</c:v>
                </c:pt>
                <c:pt idx="1428">
                  <c:v>1316</c:v>
                </c:pt>
                <c:pt idx="1429">
                  <c:v>1317</c:v>
                </c:pt>
                <c:pt idx="1430">
                  <c:v>1318</c:v>
                </c:pt>
                <c:pt idx="1431">
                  <c:v>1319</c:v>
                </c:pt>
                <c:pt idx="1432">
                  <c:v>1320</c:v>
                </c:pt>
                <c:pt idx="1433">
                  <c:v>1321</c:v>
                </c:pt>
                <c:pt idx="1434">
                  <c:v>1322</c:v>
                </c:pt>
                <c:pt idx="1435">
                  <c:v>1323</c:v>
                </c:pt>
                <c:pt idx="1436">
                  <c:v>1324</c:v>
                </c:pt>
                <c:pt idx="1437">
                  <c:v>1325</c:v>
                </c:pt>
                <c:pt idx="1438">
                  <c:v>1326</c:v>
                </c:pt>
                <c:pt idx="1439">
                  <c:v>1327</c:v>
                </c:pt>
                <c:pt idx="1440">
                  <c:v>1328</c:v>
                </c:pt>
                <c:pt idx="1441">
                  <c:v>1329</c:v>
                </c:pt>
                <c:pt idx="1442">
                  <c:v>1330</c:v>
                </c:pt>
                <c:pt idx="1443">
                  <c:v>1331</c:v>
                </c:pt>
                <c:pt idx="1444">
                  <c:v>1332</c:v>
                </c:pt>
                <c:pt idx="1445">
                  <c:v>1333</c:v>
                </c:pt>
                <c:pt idx="1446">
                  <c:v>1334</c:v>
                </c:pt>
                <c:pt idx="1447">
                  <c:v>1335</c:v>
                </c:pt>
                <c:pt idx="1448">
                  <c:v>1336</c:v>
                </c:pt>
                <c:pt idx="1449">
                  <c:v>1337</c:v>
                </c:pt>
                <c:pt idx="1450">
                  <c:v>1338</c:v>
                </c:pt>
                <c:pt idx="1451">
                  <c:v>1339</c:v>
                </c:pt>
                <c:pt idx="1452">
                  <c:v>1340</c:v>
                </c:pt>
                <c:pt idx="1453">
                  <c:v>1341</c:v>
                </c:pt>
                <c:pt idx="1454">
                  <c:v>1342</c:v>
                </c:pt>
                <c:pt idx="1455">
                  <c:v>1343</c:v>
                </c:pt>
                <c:pt idx="1456">
                  <c:v>1344</c:v>
                </c:pt>
                <c:pt idx="1457">
                  <c:v>1345</c:v>
                </c:pt>
                <c:pt idx="1458">
                  <c:v>1346</c:v>
                </c:pt>
                <c:pt idx="1459">
                  <c:v>1347</c:v>
                </c:pt>
                <c:pt idx="1460">
                  <c:v>1348</c:v>
                </c:pt>
                <c:pt idx="1461">
                  <c:v>1349</c:v>
                </c:pt>
                <c:pt idx="1462">
                  <c:v>1350</c:v>
                </c:pt>
                <c:pt idx="1463">
                  <c:v>1351</c:v>
                </c:pt>
                <c:pt idx="1464">
                  <c:v>1352</c:v>
                </c:pt>
                <c:pt idx="1465">
                  <c:v>1353</c:v>
                </c:pt>
                <c:pt idx="1466">
                  <c:v>1354</c:v>
                </c:pt>
                <c:pt idx="1467">
                  <c:v>1355</c:v>
                </c:pt>
                <c:pt idx="1468">
                  <c:v>1356</c:v>
                </c:pt>
                <c:pt idx="1469">
                  <c:v>1357</c:v>
                </c:pt>
                <c:pt idx="1470">
                  <c:v>1358</c:v>
                </c:pt>
                <c:pt idx="1471">
                  <c:v>1359</c:v>
                </c:pt>
                <c:pt idx="1472">
                  <c:v>1360</c:v>
                </c:pt>
                <c:pt idx="1473">
                  <c:v>1361</c:v>
                </c:pt>
                <c:pt idx="1474">
                  <c:v>1362</c:v>
                </c:pt>
                <c:pt idx="1475">
                  <c:v>1363</c:v>
                </c:pt>
                <c:pt idx="1476">
                  <c:v>1364</c:v>
                </c:pt>
                <c:pt idx="1477">
                  <c:v>1365</c:v>
                </c:pt>
                <c:pt idx="1478">
                  <c:v>1366</c:v>
                </c:pt>
                <c:pt idx="1479">
                  <c:v>1367</c:v>
                </c:pt>
                <c:pt idx="1480">
                  <c:v>1368</c:v>
                </c:pt>
                <c:pt idx="1481">
                  <c:v>1369</c:v>
                </c:pt>
                <c:pt idx="1482">
                  <c:v>1370</c:v>
                </c:pt>
                <c:pt idx="1483">
                  <c:v>1371</c:v>
                </c:pt>
                <c:pt idx="1484">
                  <c:v>1372</c:v>
                </c:pt>
                <c:pt idx="1485">
                  <c:v>1373</c:v>
                </c:pt>
                <c:pt idx="1486">
                  <c:v>1374</c:v>
                </c:pt>
                <c:pt idx="1487">
                  <c:v>1375</c:v>
                </c:pt>
                <c:pt idx="1488">
                  <c:v>1376</c:v>
                </c:pt>
                <c:pt idx="1489">
                  <c:v>1377</c:v>
                </c:pt>
                <c:pt idx="1490">
                  <c:v>1378</c:v>
                </c:pt>
                <c:pt idx="1491">
                  <c:v>1379</c:v>
                </c:pt>
                <c:pt idx="1492">
                  <c:v>1380</c:v>
                </c:pt>
                <c:pt idx="1493">
                  <c:v>1381</c:v>
                </c:pt>
                <c:pt idx="1494">
                  <c:v>1382</c:v>
                </c:pt>
                <c:pt idx="1495">
                  <c:v>1383</c:v>
                </c:pt>
                <c:pt idx="1496">
                  <c:v>1384</c:v>
                </c:pt>
                <c:pt idx="1497">
                  <c:v>1385</c:v>
                </c:pt>
                <c:pt idx="1498">
                  <c:v>1386</c:v>
                </c:pt>
                <c:pt idx="1499">
                  <c:v>1387</c:v>
                </c:pt>
                <c:pt idx="1500">
                  <c:v>1388</c:v>
                </c:pt>
                <c:pt idx="1501">
                  <c:v>1389</c:v>
                </c:pt>
                <c:pt idx="1502">
                  <c:v>1390</c:v>
                </c:pt>
                <c:pt idx="1503">
                  <c:v>1391</c:v>
                </c:pt>
                <c:pt idx="1504">
                  <c:v>1392</c:v>
                </c:pt>
                <c:pt idx="1505">
                  <c:v>1393</c:v>
                </c:pt>
                <c:pt idx="1506">
                  <c:v>1394</c:v>
                </c:pt>
                <c:pt idx="1507">
                  <c:v>1395</c:v>
                </c:pt>
                <c:pt idx="1508">
                  <c:v>1396</c:v>
                </c:pt>
                <c:pt idx="1509">
                  <c:v>1397</c:v>
                </c:pt>
                <c:pt idx="1510">
                  <c:v>1398</c:v>
                </c:pt>
                <c:pt idx="1511">
                  <c:v>1399</c:v>
                </c:pt>
                <c:pt idx="1512">
                  <c:v>1400</c:v>
                </c:pt>
                <c:pt idx="1513">
                  <c:v>1401</c:v>
                </c:pt>
                <c:pt idx="1514">
                  <c:v>1402</c:v>
                </c:pt>
                <c:pt idx="1515">
                  <c:v>1403</c:v>
                </c:pt>
                <c:pt idx="1516">
                  <c:v>1404</c:v>
                </c:pt>
                <c:pt idx="1517">
                  <c:v>1405</c:v>
                </c:pt>
                <c:pt idx="1518">
                  <c:v>1406</c:v>
                </c:pt>
                <c:pt idx="1519">
                  <c:v>1407</c:v>
                </c:pt>
                <c:pt idx="1520">
                  <c:v>1408</c:v>
                </c:pt>
                <c:pt idx="1521">
                  <c:v>1409</c:v>
                </c:pt>
                <c:pt idx="1522">
                  <c:v>1410</c:v>
                </c:pt>
                <c:pt idx="1523">
                  <c:v>1411</c:v>
                </c:pt>
                <c:pt idx="1524">
                  <c:v>1412</c:v>
                </c:pt>
                <c:pt idx="1525">
                  <c:v>1413</c:v>
                </c:pt>
                <c:pt idx="1526">
                  <c:v>1414</c:v>
                </c:pt>
                <c:pt idx="1527">
                  <c:v>1415</c:v>
                </c:pt>
                <c:pt idx="1528">
                  <c:v>1416</c:v>
                </c:pt>
                <c:pt idx="1529">
                  <c:v>1417</c:v>
                </c:pt>
                <c:pt idx="1530">
                  <c:v>1418</c:v>
                </c:pt>
                <c:pt idx="1531">
                  <c:v>1419</c:v>
                </c:pt>
                <c:pt idx="1532">
                  <c:v>1420</c:v>
                </c:pt>
                <c:pt idx="1533">
                  <c:v>1421</c:v>
                </c:pt>
                <c:pt idx="1534">
                  <c:v>1422</c:v>
                </c:pt>
                <c:pt idx="1535">
                  <c:v>1423</c:v>
                </c:pt>
                <c:pt idx="1536">
                  <c:v>1424</c:v>
                </c:pt>
                <c:pt idx="1537">
                  <c:v>1425</c:v>
                </c:pt>
                <c:pt idx="1538">
                  <c:v>1426</c:v>
                </c:pt>
                <c:pt idx="1539">
                  <c:v>1427</c:v>
                </c:pt>
                <c:pt idx="1540">
                  <c:v>1428</c:v>
                </c:pt>
                <c:pt idx="1541">
                  <c:v>1429</c:v>
                </c:pt>
                <c:pt idx="1542">
                  <c:v>1430</c:v>
                </c:pt>
                <c:pt idx="1543">
                  <c:v>1431</c:v>
                </c:pt>
                <c:pt idx="1544">
                  <c:v>1432</c:v>
                </c:pt>
                <c:pt idx="1545">
                  <c:v>1433</c:v>
                </c:pt>
                <c:pt idx="1546">
                  <c:v>1434</c:v>
                </c:pt>
                <c:pt idx="1547">
                  <c:v>1435</c:v>
                </c:pt>
                <c:pt idx="1548">
                  <c:v>1436</c:v>
                </c:pt>
                <c:pt idx="1549">
                  <c:v>1437</c:v>
                </c:pt>
                <c:pt idx="1550">
                  <c:v>1438</c:v>
                </c:pt>
                <c:pt idx="1551">
                  <c:v>1439</c:v>
                </c:pt>
                <c:pt idx="1552">
                  <c:v>1440</c:v>
                </c:pt>
                <c:pt idx="1553">
                  <c:v>1441</c:v>
                </c:pt>
                <c:pt idx="1554">
                  <c:v>1442</c:v>
                </c:pt>
                <c:pt idx="1555">
                  <c:v>1443</c:v>
                </c:pt>
                <c:pt idx="1556">
                  <c:v>1444</c:v>
                </c:pt>
                <c:pt idx="1557">
                  <c:v>1445</c:v>
                </c:pt>
                <c:pt idx="1558">
                  <c:v>1446</c:v>
                </c:pt>
                <c:pt idx="1559">
                  <c:v>1447</c:v>
                </c:pt>
                <c:pt idx="1560">
                  <c:v>1448</c:v>
                </c:pt>
                <c:pt idx="1561">
                  <c:v>1449</c:v>
                </c:pt>
                <c:pt idx="1562">
                  <c:v>1450</c:v>
                </c:pt>
                <c:pt idx="1563">
                  <c:v>1451</c:v>
                </c:pt>
                <c:pt idx="1564">
                  <c:v>1452</c:v>
                </c:pt>
                <c:pt idx="1565">
                  <c:v>1453</c:v>
                </c:pt>
                <c:pt idx="1566">
                  <c:v>1454</c:v>
                </c:pt>
                <c:pt idx="1567">
                  <c:v>1455</c:v>
                </c:pt>
                <c:pt idx="1568">
                  <c:v>1456</c:v>
                </c:pt>
                <c:pt idx="1569">
                  <c:v>1457</c:v>
                </c:pt>
                <c:pt idx="1570">
                  <c:v>1458</c:v>
                </c:pt>
                <c:pt idx="1571">
                  <c:v>1459</c:v>
                </c:pt>
                <c:pt idx="1572">
                  <c:v>1460</c:v>
                </c:pt>
                <c:pt idx="1573">
                  <c:v>1461</c:v>
                </c:pt>
                <c:pt idx="1574">
                  <c:v>1462</c:v>
                </c:pt>
                <c:pt idx="1575">
                  <c:v>1463</c:v>
                </c:pt>
                <c:pt idx="1576">
                  <c:v>1464</c:v>
                </c:pt>
                <c:pt idx="1577">
                  <c:v>1465</c:v>
                </c:pt>
                <c:pt idx="1578">
                  <c:v>1466</c:v>
                </c:pt>
                <c:pt idx="1579">
                  <c:v>1467</c:v>
                </c:pt>
                <c:pt idx="1580">
                  <c:v>1468</c:v>
                </c:pt>
                <c:pt idx="1581">
                  <c:v>1469</c:v>
                </c:pt>
                <c:pt idx="1582">
                  <c:v>1470</c:v>
                </c:pt>
                <c:pt idx="1583">
                  <c:v>1471</c:v>
                </c:pt>
                <c:pt idx="1584">
                  <c:v>1472</c:v>
                </c:pt>
                <c:pt idx="1585">
                  <c:v>1473</c:v>
                </c:pt>
                <c:pt idx="1586">
                  <c:v>1474</c:v>
                </c:pt>
                <c:pt idx="1587">
                  <c:v>1475</c:v>
                </c:pt>
                <c:pt idx="1588">
                  <c:v>1476</c:v>
                </c:pt>
                <c:pt idx="1589">
                  <c:v>1477</c:v>
                </c:pt>
                <c:pt idx="1590">
                  <c:v>1478</c:v>
                </c:pt>
                <c:pt idx="1591">
                  <c:v>1479</c:v>
                </c:pt>
                <c:pt idx="1592">
                  <c:v>1480</c:v>
                </c:pt>
                <c:pt idx="1593">
                  <c:v>1481</c:v>
                </c:pt>
                <c:pt idx="1594">
                  <c:v>1482</c:v>
                </c:pt>
                <c:pt idx="1595">
                  <c:v>1483</c:v>
                </c:pt>
                <c:pt idx="1596">
                  <c:v>1484</c:v>
                </c:pt>
                <c:pt idx="1597">
                  <c:v>1485</c:v>
                </c:pt>
                <c:pt idx="1598">
                  <c:v>1486</c:v>
                </c:pt>
                <c:pt idx="1599">
                  <c:v>1487</c:v>
                </c:pt>
                <c:pt idx="1600">
                  <c:v>1488</c:v>
                </c:pt>
                <c:pt idx="1601">
                  <c:v>1489</c:v>
                </c:pt>
                <c:pt idx="1602">
                  <c:v>1490</c:v>
                </c:pt>
                <c:pt idx="1603">
                  <c:v>1491</c:v>
                </c:pt>
                <c:pt idx="1604">
                  <c:v>1492</c:v>
                </c:pt>
                <c:pt idx="1605">
                  <c:v>1493</c:v>
                </c:pt>
                <c:pt idx="1606">
                  <c:v>1494</c:v>
                </c:pt>
                <c:pt idx="1607">
                  <c:v>1495</c:v>
                </c:pt>
                <c:pt idx="1608">
                  <c:v>1496</c:v>
                </c:pt>
                <c:pt idx="1609">
                  <c:v>1497</c:v>
                </c:pt>
                <c:pt idx="1610">
                  <c:v>1498</c:v>
                </c:pt>
                <c:pt idx="1611">
                  <c:v>1499</c:v>
                </c:pt>
                <c:pt idx="1612">
                  <c:v>1500</c:v>
                </c:pt>
                <c:pt idx="1613">
                  <c:v>1501</c:v>
                </c:pt>
                <c:pt idx="1614">
                  <c:v>1502</c:v>
                </c:pt>
                <c:pt idx="1615">
                  <c:v>1503</c:v>
                </c:pt>
                <c:pt idx="1616">
                  <c:v>1504</c:v>
                </c:pt>
                <c:pt idx="1617">
                  <c:v>1505</c:v>
                </c:pt>
                <c:pt idx="1618">
                  <c:v>1506</c:v>
                </c:pt>
                <c:pt idx="1619">
                  <c:v>1507</c:v>
                </c:pt>
                <c:pt idx="1620">
                  <c:v>1508</c:v>
                </c:pt>
                <c:pt idx="1621">
                  <c:v>1509</c:v>
                </c:pt>
                <c:pt idx="1622">
                  <c:v>1510</c:v>
                </c:pt>
                <c:pt idx="1623">
                  <c:v>1511</c:v>
                </c:pt>
                <c:pt idx="1624">
                  <c:v>1512</c:v>
                </c:pt>
                <c:pt idx="1625">
                  <c:v>1513</c:v>
                </c:pt>
                <c:pt idx="1626">
                  <c:v>1514</c:v>
                </c:pt>
                <c:pt idx="1627">
                  <c:v>1515</c:v>
                </c:pt>
                <c:pt idx="1628">
                  <c:v>1516</c:v>
                </c:pt>
                <c:pt idx="1629">
                  <c:v>1517</c:v>
                </c:pt>
                <c:pt idx="1630">
                  <c:v>1518</c:v>
                </c:pt>
                <c:pt idx="1631">
                  <c:v>1519</c:v>
                </c:pt>
                <c:pt idx="1632">
                  <c:v>1520</c:v>
                </c:pt>
                <c:pt idx="1633">
                  <c:v>1521</c:v>
                </c:pt>
                <c:pt idx="1634">
                  <c:v>1522</c:v>
                </c:pt>
                <c:pt idx="1635">
                  <c:v>1523</c:v>
                </c:pt>
                <c:pt idx="1636">
                  <c:v>1524</c:v>
                </c:pt>
                <c:pt idx="1637">
                  <c:v>1525</c:v>
                </c:pt>
                <c:pt idx="1638">
                  <c:v>1526</c:v>
                </c:pt>
                <c:pt idx="1639">
                  <c:v>1527</c:v>
                </c:pt>
                <c:pt idx="1640">
                  <c:v>1528</c:v>
                </c:pt>
                <c:pt idx="1641">
                  <c:v>1529</c:v>
                </c:pt>
                <c:pt idx="1642">
                  <c:v>1530</c:v>
                </c:pt>
                <c:pt idx="1643">
                  <c:v>1531</c:v>
                </c:pt>
                <c:pt idx="1644">
                  <c:v>1532</c:v>
                </c:pt>
              </c:numCache>
            </c:numRef>
          </c:xVal>
          <c:yVal>
            <c:numRef>
              <c:f>data!$X$20:$X$4471</c:f>
              <c:numCache>
                <c:formatCode>General</c:formatCode>
                <c:ptCount val="4452"/>
                <c:pt idx="105">
                  <c:v>3.639265</c:v>
                </c:pt>
                <c:pt idx="106">
                  <c:v>3.7447269999999993</c:v>
                </c:pt>
                <c:pt idx="107">
                  <c:v>3.8453210000000002</c:v>
                </c:pt>
                <c:pt idx="108">
                  <c:v>3.9248239999999992</c:v>
                </c:pt>
                <c:pt idx="109">
                  <c:v>4.0091929999999998</c:v>
                </c:pt>
                <c:pt idx="110">
                  <c:v>4.0984309999999997</c:v>
                </c:pt>
                <c:pt idx="111">
                  <c:v>4.1649529999999988</c:v>
                </c:pt>
                <c:pt idx="112">
                  <c:v>4.2541899999999995</c:v>
                </c:pt>
                <c:pt idx="113">
                  <c:v>4.3158449999999995</c:v>
                </c:pt>
                <c:pt idx="114">
                  <c:v>4.3807449999999992</c:v>
                </c:pt>
                <c:pt idx="115">
                  <c:v>4.4553799999999999</c:v>
                </c:pt>
                <c:pt idx="116">
                  <c:v>4.5089220000000001</c:v>
                </c:pt>
                <c:pt idx="117">
                  <c:v>4.5673319999999986</c:v>
                </c:pt>
                <c:pt idx="118">
                  <c:v>4.6192510000000002</c:v>
                </c:pt>
                <c:pt idx="119">
                  <c:v>4.6776609999999987</c:v>
                </c:pt>
                <c:pt idx="120">
                  <c:v>4.7344479999999987</c:v>
                </c:pt>
                <c:pt idx="121">
                  <c:v>4.7863679999999995</c:v>
                </c:pt>
                <c:pt idx="122">
                  <c:v>4.8382879999999986</c:v>
                </c:pt>
                <c:pt idx="123">
                  <c:v>4.8950749999999985</c:v>
                </c:pt>
                <c:pt idx="124">
                  <c:v>4.9405049999999999</c:v>
                </c:pt>
                <c:pt idx="125">
                  <c:v>4.9972919999999998</c:v>
                </c:pt>
                <c:pt idx="126">
                  <c:v>5.0378549999999986</c:v>
                </c:pt>
                <c:pt idx="127">
                  <c:v>5.1059989999999988</c:v>
                </c:pt>
                <c:pt idx="128">
                  <c:v>5.1157339999999998</c:v>
                </c:pt>
                <c:pt idx="129">
                  <c:v>5.1790120000000002</c:v>
                </c:pt>
                <c:pt idx="130">
                  <c:v>5.2244409999999988</c:v>
                </c:pt>
                <c:pt idx="131">
                  <c:v>5.2698709999999984</c:v>
                </c:pt>
                <c:pt idx="132">
                  <c:v>5.307189000000001</c:v>
                </c:pt>
                <c:pt idx="133">
                  <c:v>5.3412609999999994</c:v>
                </c:pt>
                <c:pt idx="134">
                  <c:v>5.3980479999999993</c:v>
                </c:pt>
                <c:pt idx="135">
                  <c:v>5.4353659999999984</c:v>
                </c:pt>
                <c:pt idx="136">
                  <c:v>5.4597030000000011</c:v>
                </c:pt>
                <c:pt idx="137">
                  <c:v>5.5132449999999977</c:v>
                </c:pt>
                <c:pt idx="138">
                  <c:v>5.5489399999999982</c:v>
                </c:pt>
                <c:pt idx="139">
                  <c:v>5.5716549999999998</c:v>
                </c:pt>
                <c:pt idx="140">
                  <c:v>5.6154620000000008</c:v>
                </c:pt>
                <c:pt idx="141">
                  <c:v>5.6560249999999996</c:v>
                </c:pt>
                <c:pt idx="142">
                  <c:v>5.6982089999999985</c:v>
                </c:pt>
                <c:pt idx="143">
                  <c:v>5.7225469999999987</c:v>
                </c:pt>
                <c:pt idx="144">
                  <c:v>5.763109</c:v>
                </c:pt>
                <c:pt idx="145">
                  <c:v>5.805294</c:v>
                </c:pt>
                <c:pt idx="146">
                  <c:v>5.834499000000001</c:v>
                </c:pt>
                <c:pt idx="147">
                  <c:v>5.8620809999999999</c:v>
                </c:pt>
                <c:pt idx="148">
                  <c:v>5.8880409999999976</c:v>
                </c:pt>
                <c:pt idx="149">
                  <c:v>5.9253579999999992</c:v>
                </c:pt>
                <c:pt idx="150">
                  <c:v>5.9642979999999994</c:v>
                </c:pt>
                <c:pt idx="151">
                  <c:v>5.9918799999999983</c:v>
                </c:pt>
                <c:pt idx="152">
                  <c:v>6.0470450000000007</c:v>
                </c:pt>
                <c:pt idx="153">
                  <c:v>6.0616470000000007</c:v>
                </c:pt>
                <c:pt idx="154">
                  <c:v>6.0892300000000006</c:v>
                </c:pt>
                <c:pt idx="155">
                  <c:v>6.1184349999999981</c:v>
                </c:pt>
                <c:pt idx="156">
                  <c:v>6.1443949999999994</c:v>
                </c:pt>
                <c:pt idx="157">
                  <c:v>6.175221999999998</c:v>
                </c:pt>
                <c:pt idx="158">
                  <c:v>6.2109169999999985</c:v>
                </c:pt>
                <c:pt idx="159">
                  <c:v>6.2320089999999979</c:v>
                </c:pt>
                <c:pt idx="160">
                  <c:v>6.2531010000000009</c:v>
                </c:pt>
                <c:pt idx="161">
                  <c:v>6.2839290000000005</c:v>
                </c:pt>
                <c:pt idx="162">
                  <c:v>6.3180009999999989</c:v>
                </c:pt>
                <c:pt idx="163">
                  <c:v>6.3504509999999996</c:v>
                </c:pt>
                <c:pt idx="164">
                  <c:v>6.3780329999999985</c:v>
                </c:pt>
                <c:pt idx="165">
                  <c:v>6.4023709999999987</c:v>
                </c:pt>
                <c:pt idx="166">
                  <c:v>6.4234629999999981</c:v>
                </c:pt>
                <c:pt idx="167">
                  <c:v>6.4624029999999983</c:v>
                </c:pt>
                <c:pt idx="168">
                  <c:v>6.4770049999999983</c:v>
                </c:pt>
                <c:pt idx="169">
                  <c:v>6.522434999999998</c:v>
                </c:pt>
                <c:pt idx="170">
                  <c:v>6.5305469999999985</c:v>
                </c:pt>
                <c:pt idx="171">
                  <c:v>6.5694869999999987</c:v>
                </c:pt>
                <c:pt idx="172">
                  <c:v>6.5808450000000001</c:v>
                </c:pt>
                <c:pt idx="173">
                  <c:v>6.6132939999999998</c:v>
                </c:pt>
                <c:pt idx="174">
                  <c:v>6.6441219999999994</c:v>
                </c:pt>
                <c:pt idx="175">
                  <c:v>6.6830619999999996</c:v>
                </c:pt>
                <c:pt idx="176">
                  <c:v>6.6911740000000002</c:v>
                </c:pt>
                <c:pt idx="177">
                  <c:v>6.7284909999999982</c:v>
                </c:pt>
                <c:pt idx="178">
                  <c:v>6.7479610000000001</c:v>
                </c:pt>
                <c:pt idx="179">
                  <c:v>6.7739209999999979</c:v>
                </c:pt>
                <c:pt idx="180">
                  <c:v>6.790146</c:v>
                </c:pt>
                <c:pt idx="181">
                  <c:v>6.8209729999999986</c:v>
                </c:pt>
                <c:pt idx="182">
                  <c:v>6.8339530000000011</c:v>
                </c:pt>
                <c:pt idx="183">
                  <c:v>6.8599129999999988</c:v>
                </c:pt>
                <c:pt idx="184">
                  <c:v>6.8939850000000007</c:v>
                </c:pt>
                <c:pt idx="185">
                  <c:v>6.898852999999999</c:v>
                </c:pt>
                <c:pt idx="186">
                  <c:v>6.928058</c:v>
                </c:pt>
                <c:pt idx="187">
                  <c:v>6.9605069999999998</c:v>
                </c:pt>
                <c:pt idx="188">
                  <c:v>6.9767319999999984</c:v>
                </c:pt>
                <c:pt idx="189">
                  <c:v>7.0026919999999997</c:v>
                </c:pt>
                <c:pt idx="190">
                  <c:v>7.014050000000001</c:v>
                </c:pt>
                <c:pt idx="191">
                  <c:v>7.0237850000000002</c:v>
                </c:pt>
                <c:pt idx="192">
                  <c:v>7.0659689999999991</c:v>
                </c:pt>
                <c:pt idx="193">
                  <c:v>7.1032869999999981</c:v>
                </c:pt>
                <c:pt idx="194">
                  <c:v>7.1162659999999995</c:v>
                </c:pt>
                <c:pt idx="195">
                  <c:v>7.1357359999999979</c:v>
                </c:pt>
                <c:pt idx="196">
                  <c:v>7.1503389999999989</c:v>
                </c:pt>
                <c:pt idx="197">
                  <c:v>7.1698090000000008</c:v>
                </c:pt>
                <c:pt idx="198">
                  <c:v>7.2055030000000002</c:v>
                </c:pt>
                <c:pt idx="199">
                  <c:v>7.2136159999999983</c:v>
                </c:pt>
                <c:pt idx="200">
                  <c:v>7.2476880000000001</c:v>
                </c:pt>
                <c:pt idx="201">
                  <c:v>7.2558009999999982</c:v>
                </c:pt>
                <c:pt idx="202">
                  <c:v>7.2931179999999998</c:v>
                </c:pt>
                <c:pt idx="203">
                  <c:v>7.3012300000000003</c:v>
                </c:pt>
                <c:pt idx="204">
                  <c:v>7.3190780000000011</c:v>
                </c:pt>
                <c:pt idx="205">
                  <c:v>7.3482820000000011</c:v>
                </c:pt>
                <c:pt idx="206">
                  <c:v>7.3661299999999983</c:v>
                </c:pt>
                <c:pt idx="207">
                  <c:v>7.383976999999998</c:v>
                </c:pt>
                <c:pt idx="208">
                  <c:v>7.4164269999999988</c:v>
                </c:pt>
                <c:pt idx="209">
                  <c:v>7.4229169999999982</c:v>
                </c:pt>
                <c:pt idx="210">
                  <c:v>7.455366999999999</c:v>
                </c:pt>
                <c:pt idx="211">
                  <c:v>7.4667239999999993</c:v>
                </c:pt>
                <c:pt idx="212">
                  <c:v>7.4943069999999992</c:v>
                </c:pt>
                <c:pt idx="213">
                  <c:v>7.5121539999999989</c:v>
                </c:pt>
                <c:pt idx="214">
                  <c:v>7.5300009999999986</c:v>
                </c:pt>
                <c:pt idx="215">
                  <c:v>7.542981000000001</c:v>
                </c:pt>
                <c:pt idx="216">
                  <c:v>7.5608289999999982</c:v>
                </c:pt>
                <c:pt idx="217">
                  <c:v>7.5770529999999994</c:v>
                </c:pt>
                <c:pt idx="218">
                  <c:v>7.6030130000000007</c:v>
                </c:pt>
                <c:pt idx="219">
                  <c:v>7.6208609999999979</c:v>
                </c:pt>
                <c:pt idx="220">
                  <c:v>7.651688</c:v>
                </c:pt>
                <c:pt idx="221">
                  <c:v>7.6711579999999984</c:v>
                </c:pt>
                <c:pt idx="222">
                  <c:v>7.6825149999999987</c:v>
                </c:pt>
                <c:pt idx="223">
                  <c:v>7.6954950000000011</c:v>
                </c:pt>
                <c:pt idx="224">
                  <c:v>7.7198320000000002</c:v>
                </c:pt>
                <c:pt idx="225">
                  <c:v>7.737680000000001</c:v>
                </c:pt>
                <c:pt idx="226">
                  <c:v>7.7571499999999993</c:v>
                </c:pt>
                <c:pt idx="227">
                  <c:v>7.7652619999999999</c:v>
                </c:pt>
                <c:pt idx="228">
                  <c:v>7.7928439999999988</c:v>
                </c:pt>
                <c:pt idx="229">
                  <c:v>7.8090690000000009</c:v>
                </c:pt>
                <c:pt idx="230">
                  <c:v>7.8382739999999984</c:v>
                </c:pt>
                <c:pt idx="231">
                  <c:v>7.8431420000000003</c:v>
                </c:pt>
                <c:pt idx="232">
                  <c:v>7.8723460000000003</c:v>
                </c:pt>
                <c:pt idx="233">
                  <c:v>7.8853259999999992</c:v>
                </c:pt>
                <c:pt idx="234">
                  <c:v>7.8950609999999983</c:v>
                </c:pt>
                <c:pt idx="235">
                  <c:v>7.9096639999999994</c:v>
                </c:pt>
                <c:pt idx="236">
                  <c:v>7.9486029999999985</c:v>
                </c:pt>
                <c:pt idx="237">
                  <c:v>7.9486029999999985</c:v>
                </c:pt>
                <c:pt idx="238">
                  <c:v>7.9664509999999993</c:v>
                </c:pt>
                <c:pt idx="239">
                  <c:v>7.9810529999999993</c:v>
                </c:pt>
                <c:pt idx="240">
                  <c:v>8.0053899999999985</c:v>
                </c:pt>
                <c:pt idx="241">
                  <c:v>8.0232379999999992</c:v>
                </c:pt>
                <c:pt idx="242">
                  <c:v>8.0524430000000002</c:v>
                </c:pt>
                <c:pt idx="243">
                  <c:v>8.0491980000000005</c:v>
                </c:pt>
                <c:pt idx="244">
                  <c:v>8.0832699999999988</c:v>
                </c:pt>
                <c:pt idx="245">
                  <c:v>8.1011169999999986</c:v>
                </c:pt>
                <c:pt idx="246">
                  <c:v>8.1124749999999999</c:v>
                </c:pt>
                <c:pt idx="247">
                  <c:v>8.1205870000000004</c:v>
                </c:pt>
                <c:pt idx="248">
                  <c:v>8.1433019999999985</c:v>
                </c:pt>
                <c:pt idx="249">
                  <c:v>8.1546589999999988</c:v>
                </c:pt>
                <c:pt idx="250">
                  <c:v>8.1806190000000001</c:v>
                </c:pt>
                <c:pt idx="251">
                  <c:v>8.1984670000000008</c:v>
                </c:pt>
                <c:pt idx="252">
                  <c:v>8.2130690000000008</c:v>
                </c:pt>
                <c:pt idx="253">
                  <c:v>8.2390289999999986</c:v>
                </c:pt>
                <c:pt idx="254">
                  <c:v>8.266611000000001</c:v>
                </c:pt>
                <c:pt idx="255">
                  <c:v>8.2649889999999999</c:v>
                </c:pt>
                <c:pt idx="256">
                  <c:v>8.2828359999999996</c:v>
                </c:pt>
                <c:pt idx="257">
                  <c:v>8.3039279999999991</c:v>
                </c:pt>
                <c:pt idx="258">
                  <c:v>8.3201529999999977</c:v>
                </c:pt>
                <c:pt idx="259">
                  <c:v>8.3380009999999984</c:v>
                </c:pt>
                <c:pt idx="260">
                  <c:v>8.3542249999999996</c:v>
                </c:pt>
                <c:pt idx="261">
                  <c:v>8.360714999999999</c:v>
                </c:pt>
                <c:pt idx="262">
                  <c:v>8.3866750000000003</c:v>
                </c:pt>
                <c:pt idx="263">
                  <c:v>8.3931649999999998</c:v>
                </c:pt>
                <c:pt idx="264">
                  <c:v>8.4093899999999984</c:v>
                </c:pt>
                <c:pt idx="265">
                  <c:v>8.4402170000000005</c:v>
                </c:pt>
                <c:pt idx="266">
                  <c:v>8.4531969999999994</c:v>
                </c:pt>
                <c:pt idx="267">
                  <c:v>8.475912000000001</c:v>
                </c:pt>
                <c:pt idx="268">
                  <c:v>8.4953819999999993</c:v>
                </c:pt>
                <c:pt idx="269">
                  <c:v>8.5002490000000002</c:v>
                </c:pt>
                <c:pt idx="270">
                  <c:v>8.5099839999999993</c:v>
                </c:pt>
                <c:pt idx="271">
                  <c:v>8.5375669999999992</c:v>
                </c:pt>
                <c:pt idx="272">
                  <c:v>8.5456789999999998</c:v>
                </c:pt>
                <c:pt idx="273">
                  <c:v>8.5586589999999987</c:v>
                </c:pt>
                <c:pt idx="274">
                  <c:v>8.5829959999999978</c:v>
                </c:pt>
                <c:pt idx="275">
                  <c:v>8.6024659999999997</c:v>
                </c:pt>
                <c:pt idx="276">
                  <c:v>8.607333999999998</c:v>
                </c:pt>
                <c:pt idx="277">
                  <c:v>8.6332929999999983</c:v>
                </c:pt>
                <c:pt idx="278">
                  <c:v>8.6414059999999999</c:v>
                </c:pt>
                <c:pt idx="279">
                  <c:v>8.6657429999999991</c:v>
                </c:pt>
                <c:pt idx="280">
                  <c:v>8.6835899999999988</c:v>
                </c:pt>
                <c:pt idx="281">
                  <c:v>8.6965699999999977</c:v>
                </c:pt>
                <c:pt idx="282">
                  <c:v>8.693324999999998</c:v>
                </c:pt>
                <c:pt idx="283">
                  <c:v>8.7209079999999979</c:v>
                </c:pt>
                <c:pt idx="284">
                  <c:v>8.7306430000000006</c:v>
                </c:pt>
                <c:pt idx="285">
                  <c:v>8.7614699999999992</c:v>
                </c:pt>
                <c:pt idx="286">
                  <c:v>8.7647149999999989</c:v>
                </c:pt>
                <c:pt idx="287">
                  <c:v>8.7825619999999986</c:v>
                </c:pt>
                <c:pt idx="288">
                  <c:v>8.7955420000000011</c:v>
                </c:pt>
                <c:pt idx="289">
                  <c:v>8.8215019999999988</c:v>
                </c:pt>
                <c:pt idx="290">
                  <c:v>8.8328589999999991</c:v>
                </c:pt>
                <c:pt idx="291">
                  <c:v>8.8425939999999983</c:v>
                </c:pt>
                <c:pt idx="292">
                  <c:v>8.8653089999999999</c:v>
                </c:pt>
                <c:pt idx="293">
                  <c:v>8.8847789999999982</c:v>
                </c:pt>
                <c:pt idx="294">
                  <c:v>8.8847789999999982</c:v>
                </c:pt>
                <c:pt idx="295">
                  <c:v>8.9042490000000001</c:v>
                </c:pt>
                <c:pt idx="296">
                  <c:v>8.8977590000000006</c:v>
                </c:pt>
                <c:pt idx="297">
                  <c:v>8.9383209999999984</c:v>
                </c:pt>
                <c:pt idx="298">
                  <c:v>8.9431879999999992</c:v>
                </c:pt>
                <c:pt idx="299">
                  <c:v>8.9626580000000011</c:v>
                </c:pt>
                <c:pt idx="300">
                  <c:v>8.9853729999999992</c:v>
                </c:pt>
                <c:pt idx="301">
                  <c:v>8.9967299999999994</c:v>
                </c:pt>
                <c:pt idx="302">
                  <c:v>9.0032199999999989</c:v>
                </c:pt>
                <c:pt idx="303">
                  <c:v>9.0178229999999999</c:v>
                </c:pt>
                <c:pt idx="304">
                  <c:v>9.0324249999999999</c:v>
                </c:pt>
                <c:pt idx="305">
                  <c:v>9.0567619999999991</c:v>
                </c:pt>
                <c:pt idx="306">
                  <c:v>9.0713650000000001</c:v>
                </c:pt>
                <c:pt idx="307">
                  <c:v>9.076232000000001</c:v>
                </c:pt>
                <c:pt idx="308">
                  <c:v>9.0924569999999996</c:v>
                </c:pt>
                <c:pt idx="309">
                  <c:v>9.1005699999999976</c:v>
                </c:pt>
                <c:pt idx="310">
                  <c:v>9.142754</c:v>
                </c:pt>
                <c:pt idx="311">
                  <c:v>9.1313969999999998</c:v>
                </c:pt>
                <c:pt idx="312">
                  <c:v>9.1492439999999995</c:v>
                </c:pt>
                <c:pt idx="313">
                  <c:v>9.1670920000000002</c:v>
                </c:pt>
                <c:pt idx="314">
                  <c:v>9.1768259999999984</c:v>
                </c:pt>
                <c:pt idx="315">
                  <c:v>9.2027859999999997</c:v>
                </c:pt>
                <c:pt idx="316">
                  <c:v>9.2157659999999986</c:v>
                </c:pt>
                <c:pt idx="317">
                  <c:v>9.2255009999999977</c:v>
                </c:pt>
                <c:pt idx="318">
                  <c:v>9.2336129999999983</c:v>
                </c:pt>
                <c:pt idx="319">
                  <c:v>9.2579509999999985</c:v>
                </c:pt>
                <c:pt idx="320">
                  <c:v>9.2611959999999982</c:v>
                </c:pt>
                <c:pt idx="321">
                  <c:v>9.2741760000000006</c:v>
                </c:pt>
                <c:pt idx="322">
                  <c:v>9.2839109999999998</c:v>
                </c:pt>
                <c:pt idx="323">
                  <c:v>9.3066250000000004</c:v>
                </c:pt>
                <c:pt idx="324">
                  <c:v>9.322849999999999</c:v>
                </c:pt>
                <c:pt idx="325">
                  <c:v>9.3179829999999981</c:v>
                </c:pt>
                <c:pt idx="326">
                  <c:v>9.3471879999999992</c:v>
                </c:pt>
                <c:pt idx="327">
                  <c:v>9.3634120000000003</c:v>
                </c:pt>
                <c:pt idx="328">
                  <c:v>9.3763919999999992</c:v>
                </c:pt>
                <c:pt idx="329">
                  <c:v>9.4023520000000005</c:v>
                </c:pt>
                <c:pt idx="330">
                  <c:v>9.395862000000001</c:v>
                </c:pt>
                <c:pt idx="331">
                  <c:v>9.4169540000000005</c:v>
                </c:pt>
                <c:pt idx="332">
                  <c:v>9.4364239999999988</c:v>
                </c:pt>
                <c:pt idx="333">
                  <c:v>9.4396689999999985</c:v>
                </c:pt>
                <c:pt idx="334">
                  <c:v>9.4494039999999977</c:v>
                </c:pt>
                <c:pt idx="335">
                  <c:v>9.4623840000000001</c:v>
                </c:pt>
                <c:pt idx="336">
                  <c:v>9.4834759999999996</c:v>
                </c:pt>
                <c:pt idx="337">
                  <c:v>9.4997009999999982</c:v>
                </c:pt>
                <c:pt idx="338">
                  <c:v>9.5143039999999992</c:v>
                </c:pt>
                <c:pt idx="339">
                  <c:v>9.5321509999999989</c:v>
                </c:pt>
                <c:pt idx="340">
                  <c:v>9.5402629999999995</c:v>
                </c:pt>
                <c:pt idx="341">
                  <c:v>9.5548660000000005</c:v>
                </c:pt>
                <c:pt idx="342">
                  <c:v>9.5646009999999997</c:v>
                </c:pt>
                <c:pt idx="343">
                  <c:v>9.598672999999998</c:v>
                </c:pt>
                <c:pt idx="344">
                  <c:v>9.5873150000000003</c:v>
                </c:pt>
                <c:pt idx="345">
                  <c:v>9.6019179999999977</c:v>
                </c:pt>
                <c:pt idx="346">
                  <c:v>9.6165199999999977</c:v>
                </c:pt>
                <c:pt idx="347">
                  <c:v>9.6295000000000002</c:v>
                </c:pt>
                <c:pt idx="348">
                  <c:v>9.6441020000000002</c:v>
                </c:pt>
                <c:pt idx="349">
                  <c:v>9.6603269999999988</c:v>
                </c:pt>
                <c:pt idx="350">
                  <c:v>9.6651950000000006</c:v>
                </c:pt>
                <c:pt idx="351">
                  <c:v>9.6716850000000001</c:v>
                </c:pt>
                <c:pt idx="352">
                  <c:v>9.6927769999999995</c:v>
                </c:pt>
                <c:pt idx="353">
                  <c:v>9.7187370000000008</c:v>
                </c:pt>
                <c:pt idx="354">
                  <c:v>9.7219820000000006</c:v>
                </c:pt>
                <c:pt idx="355">
                  <c:v>9.7365840000000006</c:v>
                </c:pt>
                <c:pt idx="356">
                  <c:v>9.7414519999999989</c:v>
                </c:pt>
                <c:pt idx="357">
                  <c:v>9.7592989999999986</c:v>
                </c:pt>
                <c:pt idx="358">
                  <c:v>9.7820140000000002</c:v>
                </c:pt>
                <c:pt idx="359">
                  <c:v>9.7836359999999978</c:v>
                </c:pt>
                <c:pt idx="360">
                  <c:v>9.7998609999999999</c:v>
                </c:pt>
                <c:pt idx="361">
                  <c:v>9.8160859999999985</c:v>
                </c:pt>
                <c:pt idx="362">
                  <c:v>9.829066000000001</c:v>
                </c:pt>
                <c:pt idx="363">
                  <c:v>9.8420459999999999</c:v>
                </c:pt>
                <c:pt idx="364">
                  <c:v>9.8485359999999993</c:v>
                </c:pt>
                <c:pt idx="365">
                  <c:v>9.8598929999999996</c:v>
                </c:pt>
                <c:pt idx="366">
                  <c:v>9.8761179999999982</c:v>
                </c:pt>
                <c:pt idx="367">
                  <c:v>9.8988329999999998</c:v>
                </c:pt>
                <c:pt idx="368">
                  <c:v>9.8939649999999979</c:v>
                </c:pt>
                <c:pt idx="369">
                  <c:v>9.9085679999999989</c:v>
                </c:pt>
                <c:pt idx="370">
                  <c:v>9.9215470000000003</c:v>
                </c:pt>
                <c:pt idx="371">
                  <c:v>9.9393950000000011</c:v>
                </c:pt>
                <c:pt idx="372">
                  <c:v>9.9491300000000003</c:v>
                </c:pt>
                <c:pt idx="373">
                  <c:v>9.9734669999999994</c:v>
                </c:pt>
                <c:pt idx="374">
                  <c:v>9.981579</c:v>
                </c:pt>
                <c:pt idx="375">
                  <c:v>9.981579</c:v>
                </c:pt>
                <c:pt idx="376">
                  <c:v>10.004293999999998</c:v>
                </c:pt>
                <c:pt idx="377">
                  <c:v>10.033498999999999</c:v>
                </c:pt>
                <c:pt idx="378">
                  <c:v>10.020519</c:v>
                </c:pt>
                <c:pt idx="379">
                  <c:v>10.041611</c:v>
                </c:pt>
                <c:pt idx="380">
                  <c:v>10.062704</c:v>
                </c:pt>
                <c:pt idx="381">
                  <c:v>10.077306</c:v>
                </c:pt>
                <c:pt idx="382">
                  <c:v>10.083796</c:v>
                </c:pt>
                <c:pt idx="383">
                  <c:v>10.090285999999999</c:v>
                </c:pt>
                <c:pt idx="384">
                  <c:v>10.106511000000001</c:v>
                </c:pt>
                <c:pt idx="385">
                  <c:v>10.111377999999998</c:v>
                </c:pt>
                <c:pt idx="386">
                  <c:v>10.124358000000001</c:v>
                </c:pt>
                <c:pt idx="387">
                  <c:v>10.15194</c:v>
                </c:pt>
                <c:pt idx="388">
                  <c:v>10.171409999999998</c:v>
                </c:pt>
                <c:pt idx="389">
                  <c:v>10.156807999999998</c:v>
                </c:pt>
                <c:pt idx="390">
                  <c:v>10.179523</c:v>
                </c:pt>
                <c:pt idx="391">
                  <c:v>10.216839999999998</c:v>
                </c:pt>
                <c:pt idx="392">
                  <c:v>10.211971999999999</c:v>
                </c:pt>
                <c:pt idx="393">
                  <c:v>10.216839999999998</c:v>
                </c:pt>
                <c:pt idx="394">
                  <c:v>10.215216999999999</c:v>
                </c:pt>
                <c:pt idx="395">
                  <c:v>10.215216999999999</c:v>
                </c:pt>
                <c:pt idx="396">
                  <c:v>10.250912</c:v>
                </c:pt>
                <c:pt idx="397">
                  <c:v>10.255779</c:v>
                </c:pt>
                <c:pt idx="398">
                  <c:v>10.283362</c:v>
                </c:pt>
                <c:pt idx="399">
                  <c:v>10.286607</c:v>
                </c:pt>
                <c:pt idx="400">
                  <c:v>10.302830999999998</c:v>
                </c:pt>
                <c:pt idx="401">
                  <c:v>10.312566</c:v>
                </c:pt>
                <c:pt idx="402">
                  <c:v>10.328790999999999</c:v>
                </c:pt>
                <c:pt idx="403">
                  <c:v>10.328790999999999</c:v>
                </c:pt>
                <c:pt idx="404">
                  <c:v>10.341770999999998</c:v>
                </c:pt>
                <c:pt idx="405">
                  <c:v>10.367730999999999</c:v>
                </c:pt>
                <c:pt idx="406">
                  <c:v>10.366108000000001</c:v>
                </c:pt>
                <c:pt idx="407">
                  <c:v>10.388822999999999</c:v>
                </c:pt>
                <c:pt idx="408">
                  <c:v>10.398557999999998</c:v>
                </c:pt>
                <c:pt idx="409">
                  <c:v>10.401803000000001</c:v>
                </c:pt>
                <c:pt idx="410">
                  <c:v>10.413159999999998</c:v>
                </c:pt>
                <c:pt idx="411">
                  <c:v>10.43263</c:v>
                </c:pt>
                <c:pt idx="412">
                  <c:v>10.450478</c:v>
                </c:pt>
                <c:pt idx="413">
                  <c:v>10.447233000000001</c:v>
                </c:pt>
                <c:pt idx="414">
                  <c:v>10.458590000000001</c:v>
                </c:pt>
                <c:pt idx="415">
                  <c:v>10.492661999999999</c:v>
                </c:pt>
                <c:pt idx="416">
                  <c:v>10.505641999999998</c:v>
                </c:pt>
                <c:pt idx="417">
                  <c:v>10.539714</c:v>
                </c:pt>
                <c:pt idx="418">
                  <c:v>10.564050999999999</c:v>
                </c:pt>
                <c:pt idx="419">
                  <c:v>10.583521000000001</c:v>
                </c:pt>
                <c:pt idx="420">
                  <c:v>10.619215999999998</c:v>
                </c:pt>
                <c:pt idx="421">
                  <c:v>10.620837999999999</c:v>
                </c:pt>
                <c:pt idx="422">
                  <c:v>10.651665999999999</c:v>
                </c:pt>
                <c:pt idx="423">
                  <c:v>10.671135</c:v>
                </c:pt>
                <c:pt idx="424">
                  <c:v>10.705207999999999</c:v>
                </c:pt>
                <c:pt idx="425">
                  <c:v>10.70683</c:v>
                </c:pt>
                <c:pt idx="426">
                  <c:v>10.740901999999998</c:v>
                </c:pt>
                <c:pt idx="427">
                  <c:v>10.761994999999999</c:v>
                </c:pt>
                <c:pt idx="428">
                  <c:v>10.778219</c:v>
                </c:pt>
                <c:pt idx="429">
                  <c:v>10.804178999999998</c:v>
                </c:pt>
                <c:pt idx="430">
                  <c:v>10.822026000000001</c:v>
                </c:pt>
                <c:pt idx="431">
                  <c:v>10.859344</c:v>
                </c:pt>
                <c:pt idx="432">
                  <c:v>10.862589</c:v>
                </c:pt>
                <c:pt idx="433">
                  <c:v>10.888548</c:v>
                </c:pt>
                <c:pt idx="434">
                  <c:v>10.911262999999998</c:v>
                </c:pt>
                <c:pt idx="435">
                  <c:v>10.937222999999999</c:v>
                </c:pt>
                <c:pt idx="436">
                  <c:v>10.950202999999998</c:v>
                </c:pt>
                <c:pt idx="437">
                  <c:v>10.977785000000001</c:v>
                </c:pt>
                <c:pt idx="438">
                  <c:v>11.003744999999999</c:v>
                </c:pt>
                <c:pt idx="439">
                  <c:v>11.016724</c:v>
                </c:pt>
                <c:pt idx="440">
                  <c:v>11.034572000000001</c:v>
                </c:pt>
                <c:pt idx="441">
                  <c:v>11.075133999999998</c:v>
                </c:pt>
                <c:pt idx="442">
                  <c:v>11.088114000000001</c:v>
                </c:pt>
                <c:pt idx="443">
                  <c:v>11.112451</c:v>
                </c:pt>
                <c:pt idx="444">
                  <c:v>11.138410999999998</c:v>
                </c:pt>
                <c:pt idx="445">
                  <c:v>11.151391</c:v>
                </c:pt>
                <c:pt idx="446">
                  <c:v>11.167614999999998</c:v>
                </c:pt>
                <c:pt idx="447">
                  <c:v>11.198443000000001</c:v>
                </c:pt>
                <c:pt idx="448">
                  <c:v>11.206554999999998</c:v>
                </c:pt>
                <c:pt idx="449">
                  <c:v>11.242249999999999</c:v>
                </c:pt>
                <c:pt idx="450">
                  <c:v>11.260096999999998</c:v>
                </c:pt>
                <c:pt idx="451">
                  <c:v>11.271453999999999</c:v>
                </c:pt>
                <c:pt idx="452">
                  <c:v>11.282812</c:v>
                </c:pt>
                <c:pt idx="453">
                  <c:v>11.316883999999998</c:v>
                </c:pt>
                <c:pt idx="454">
                  <c:v>11.337975999999998</c:v>
                </c:pt>
                <c:pt idx="455">
                  <c:v>11.344466000000001</c:v>
                </c:pt>
                <c:pt idx="456">
                  <c:v>11.373670999999998</c:v>
                </c:pt>
                <c:pt idx="457">
                  <c:v>11.386651000000001</c:v>
                </c:pt>
                <c:pt idx="458">
                  <c:v>11.412610000000001</c:v>
                </c:pt>
                <c:pt idx="459">
                  <c:v>11.445059999999998</c:v>
                </c:pt>
                <c:pt idx="460">
                  <c:v>11.462906999999998</c:v>
                </c:pt>
                <c:pt idx="461">
                  <c:v>11.467775</c:v>
                </c:pt>
                <c:pt idx="462">
                  <c:v>11.498601999999998</c:v>
                </c:pt>
                <c:pt idx="463">
                  <c:v>11.509958999999998</c:v>
                </c:pt>
                <c:pt idx="464">
                  <c:v>11.537541999999998</c:v>
                </c:pt>
                <c:pt idx="465">
                  <c:v>11.557010999999999</c:v>
                </c:pt>
                <c:pt idx="466">
                  <c:v>11.579726000000001</c:v>
                </c:pt>
                <c:pt idx="467">
                  <c:v>11.594328999999998</c:v>
                </c:pt>
                <c:pt idx="468">
                  <c:v>11.618666000000001</c:v>
                </c:pt>
                <c:pt idx="469">
                  <c:v>11.626777999999998</c:v>
                </c:pt>
                <c:pt idx="470">
                  <c:v>11.66085</c:v>
                </c:pt>
                <c:pt idx="471">
                  <c:v>11.678698000000001</c:v>
                </c:pt>
                <c:pt idx="472">
                  <c:v>11.701411999999998</c:v>
                </c:pt>
                <c:pt idx="473">
                  <c:v>11.712769999999999</c:v>
                </c:pt>
                <c:pt idx="474">
                  <c:v>11.725749999999998</c:v>
                </c:pt>
                <c:pt idx="475">
                  <c:v>11.745218999999999</c:v>
                </c:pt>
                <c:pt idx="476">
                  <c:v>11.777668999999999</c:v>
                </c:pt>
                <c:pt idx="477">
                  <c:v>11.798760999999999</c:v>
                </c:pt>
                <c:pt idx="478">
                  <c:v>11.810119</c:v>
                </c:pt>
                <c:pt idx="479">
                  <c:v>11.829588000000001</c:v>
                </c:pt>
                <c:pt idx="480">
                  <c:v>11.849057999999999</c:v>
                </c:pt>
                <c:pt idx="481">
                  <c:v>11.870151</c:v>
                </c:pt>
                <c:pt idx="482">
                  <c:v>11.886375000000001</c:v>
                </c:pt>
                <c:pt idx="483">
                  <c:v>11.909089999999999</c:v>
                </c:pt>
                <c:pt idx="484">
                  <c:v>11.93505</c:v>
                </c:pt>
                <c:pt idx="485">
                  <c:v>11.936671999999998</c:v>
                </c:pt>
                <c:pt idx="486">
                  <c:v>11.964254</c:v>
                </c:pt>
                <c:pt idx="487">
                  <c:v>11.982102000000001</c:v>
                </c:pt>
                <c:pt idx="488">
                  <c:v>12.011306000000001</c:v>
                </c:pt>
                <c:pt idx="489">
                  <c:v>12.024286</c:v>
                </c:pt>
                <c:pt idx="490">
                  <c:v>12.037265999999999</c:v>
                </c:pt>
                <c:pt idx="491">
                  <c:v>12.066471</c:v>
                </c:pt>
                <c:pt idx="492">
                  <c:v>12.074583000000001</c:v>
                </c:pt>
                <c:pt idx="493">
                  <c:v>12.107032999999998</c:v>
                </c:pt>
                <c:pt idx="494">
                  <c:v>12.115144999999998</c:v>
                </c:pt>
                <c:pt idx="495">
                  <c:v>12.144349999999999</c:v>
                </c:pt>
                <c:pt idx="496">
                  <c:v>12.154084999999998</c:v>
                </c:pt>
                <c:pt idx="497">
                  <c:v>12.18329</c:v>
                </c:pt>
                <c:pt idx="498">
                  <c:v>12.194647</c:v>
                </c:pt>
                <c:pt idx="499">
                  <c:v>12.210871999999998</c:v>
                </c:pt>
                <c:pt idx="500">
                  <c:v>12.230342</c:v>
                </c:pt>
                <c:pt idx="501">
                  <c:v>12.246565999999998</c:v>
                </c:pt>
                <c:pt idx="502">
                  <c:v>12.256301000000001</c:v>
                </c:pt>
                <c:pt idx="503">
                  <c:v>12.290372999999999</c:v>
                </c:pt>
                <c:pt idx="504">
                  <c:v>12.311465999999999</c:v>
                </c:pt>
                <c:pt idx="505">
                  <c:v>12.317955999999999</c:v>
                </c:pt>
                <c:pt idx="506">
                  <c:v>12.348783000000001</c:v>
                </c:pt>
                <c:pt idx="507">
                  <c:v>12.353649999999998</c:v>
                </c:pt>
                <c:pt idx="508">
                  <c:v>12.374741999999998</c:v>
                </c:pt>
                <c:pt idx="509">
                  <c:v>12.399079999999998</c:v>
                </c:pt>
                <c:pt idx="510">
                  <c:v>12.416926999999998</c:v>
                </c:pt>
                <c:pt idx="511">
                  <c:v>12.446131999999999</c:v>
                </c:pt>
                <c:pt idx="512">
                  <c:v>12.467223999999998</c:v>
                </c:pt>
                <c:pt idx="513">
                  <c:v>12.481825999999998</c:v>
                </c:pt>
                <c:pt idx="514">
                  <c:v>12.494806000000001</c:v>
                </c:pt>
                <c:pt idx="515">
                  <c:v>12.512653</c:v>
                </c:pt>
                <c:pt idx="516">
                  <c:v>12.524010999999998</c:v>
                </c:pt>
                <c:pt idx="517">
                  <c:v>12.541857999999998</c:v>
                </c:pt>
                <c:pt idx="518">
                  <c:v>12.57593</c:v>
                </c:pt>
                <c:pt idx="519">
                  <c:v>12.584042999999998</c:v>
                </c:pt>
                <c:pt idx="520">
                  <c:v>12.610001999999998</c:v>
                </c:pt>
                <c:pt idx="521">
                  <c:v>12.626227</c:v>
                </c:pt>
                <c:pt idx="522">
                  <c:v>12.634339000000001</c:v>
                </c:pt>
                <c:pt idx="523">
                  <c:v>12.666788999999998</c:v>
                </c:pt>
                <c:pt idx="524">
                  <c:v>12.673279000000001</c:v>
                </c:pt>
                <c:pt idx="525">
                  <c:v>12.699238999999999</c:v>
                </c:pt>
                <c:pt idx="526">
                  <c:v>12.723575999999998</c:v>
                </c:pt>
                <c:pt idx="527">
                  <c:v>12.728442999999999</c:v>
                </c:pt>
                <c:pt idx="528">
                  <c:v>12.759270000000001</c:v>
                </c:pt>
                <c:pt idx="529">
                  <c:v>12.76576</c:v>
                </c:pt>
                <c:pt idx="530">
                  <c:v>12.788474999999998</c:v>
                </c:pt>
                <c:pt idx="531">
                  <c:v>12.799831999999999</c:v>
                </c:pt>
                <c:pt idx="532">
                  <c:v>12.827414999999998</c:v>
                </c:pt>
                <c:pt idx="533">
                  <c:v>12.864732</c:v>
                </c:pt>
                <c:pt idx="534">
                  <c:v>12.864732</c:v>
                </c:pt>
                <c:pt idx="535">
                  <c:v>12.876089</c:v>
                </c:pt>
                <c:pt idx="536">
                  <c:v>12.885824</c:v>
                </c:pt>
                <c:pt idx="537">
                  <c:v>12.919895999999998</c:v>
                </c:pt>
                <c:pt idx="538">
                  <c:v>12.940988000000001</c:v>
                </c:pt>
                <c:pt idx="539">
                  <c:v>12.955590999999998</c:v>
                </c:pt>
                <c:pt idx="540">
                  <c:v>12.962080999999998</c:v>
                </c:pt>
                <c:pt idx="541">
                  <c:v>12.981549999999999</c:v>
                </c:pt>
                <c:pt idx="542">
                  <c:v>12.999397999999999</c:v>
                </c:pt>
                <c:pt idx="543">
                  <c:v>13.017244999999999</c:v>
                </c:pt>
                <c:pt idx="544">
                  <c:v>13.035091999999999</c:v>
                </c:pt>
                <c:pt idx="545">
                  <c:v>13.052938999999999</c:v>
                </c:pt>
                <c:pt idx="546">
                  <c:v>13.069164000000001</c:v>
                </c:pt>
                <c:pt idx="547">
                  <c:v>13.096746</c:v>
                </c:pt>
                <c:pt idx="548">
                  <c:v>13.119461000000001</c:v>
                </c:pt>
                <c:pt idx="549">
                  <c:v>13.138930999999999</c:v>
                </c:pt>
                <c:pt idx="550">
                  <c:v>13.147043</c:v>
                </c:pt>
                <c:pt idx="551">
                  <c:v>13.166512999999998</c:v>
                </c:pt>
                <c:pt idx="552">
                  <c:v>13.181114999999998</c:v>
                </c:pt>
                <c:pt idx="553">
                  <c:v>13.197340000000001</c:v>
                </c:pt>
                <c:pt idx="554">
                  <c:v>13.221677</c:v>
                </c:pt>
                <c:pt idx="555">
                  <c:v>13.237901999999998</c:v>
                </c:pt>
                <c:pt idx="556">
                  <c:v>13.254127</c:v>
                </c:pt>
                <c:pt idx="557">
                  <c:v>13.281708999999999</c:v>
                </c:pt>
                <c:pt idx="558">
                  <c:v>13.284953999999999</c:v>
                </c:pt>
                <c:pt idx="559">
                  <c:v>13.306045999999998</c:v>
                </c:pt>
                <c:pt idx="560">
                  <c:v>13.336873999999998</c:v>
                </c:pt>
                <c:pt idx="561">
                  <c:v>13.344985999999999</c:v>
                </c:pt>
                <c:pt idx="562">
                  <c:v>13.357966000000001</c:v>
                </c:pt>
                <c:pt idx="563">
                  <c:v>13.396905</c:v>
                </c:pt>
                <c:pt idx="564">
                  <c:v>13.406639999999999</c:v>
                </c:pt>
                <c:pt idx="565">
                  <c:v>13.417998000000001</c:v>
                </c:pt>
                <c:pt idx="566">
                  <c:v>13.432600000000001</c:v>
                </c:pt>
                <c:pt idx="567">
                  <c:v>13.429355000000001</c:v>
                </c:pt>
                <c:pt idx="568">
                  <c:v>13.430976999999999</c:v>
                </c:pt>
                <c:pt idx="569">
                  <c:v>13.450447</c:v>
                </c:pt>
                <c:pt idx="570">
                  <c:v>13.460182</c:v>
                </c:pt>
                <c:pt idx="571">
                  <c:v>13.466671999999999</c:v>
                </c:pt>
                <c:pt idx="572">
                  <c:v>13.487763999999999</c:v>
                </c:pt>
                <c:pt idx="573">
                  <c:v>13.487763999999999</c:v>
                </c:pt>
                <c:pt idx="574">
                  <c:v>13.497498999999998</c:v>
                </c:pt>
                <c:pt idx="575">
                  <c:v>13.512100999999998</c:v>
                </c:pt>
                <c:pt idx="576">
                  <c:v>13.512100999999998</c:v>
                </c:pt>
                <c:pt idx="577">
                  <c:v>13.503989000000001</c:v>
                </c:pt>
                <c:pt idx="578">
                  <c:v>13.534815999999999</c:v>
                </c:pt>
                <c:pt idx="579">
                  <c:v>13.544550999999998</c:v>
                </c:pt>
                <c:pt idx="580">
                  <c:v>13.547795999999998</c:v>
                </c:pt>
                <c:pt idx="581">
                  <c:v>13.568887999999998</c:v>
                </c:pt>
                <c:pt idx="582">
                  <c:v>13.568887999999998</c:v>
                </c:pt>
                <c:pt idx="583">
                  <c:v>13.567266</c:v>
                </c:pt>
                <c:pt idx="584">
                  <c:v>13.594847999999999</c:v>
                </c:pt>
                <c:pt idx="585">
                  <c:v>13.602959999999999</c:v>
                </c:pt>
                <c:pt idx="586">
                  <c:v>13.604582999999998</c:v>
                </c:pt>
                <c:pt idx="587">
                  <c:v>13.624051999999999</c:v>
                </c:pt>
                <c:pt idx="588">
                  <c:v>13.619184999999998</c:v>
                </c:pt>
                <c:pt idx="589">
                  <c:v>13.637031999999998</c:v>
                </c:pt>
                <c:pt idx="590">
                  <c:v>13.645144999999999</c:v>
                </c:pt>
                <c:pt idx="591">
                  <c:v>13.658124999999998</c:v>
                </c:pt>
                <c:pt idx="592">
                  <c:v>13.659746999999999</c:v>
                </c:pt>
                <c:pt idx="593">
                  <c:v>13.661369000000001</c:v>
                </c:pt>
                <c:pt idx="594">
                  <c:v>13.682462000000001</c:v>
                </c:pt>
                <c:pt idx="595">
                  <c:v>13.700309000000001</c:v>
                </c:pt>
                <c:pt idx="596">
                  <c:v>13.698687</c:v>
                </c:pt>
                <c:pt idx="597">
                  <c:v>13.710044</c:v>
                </c:pt>
                <c:pt idx="598">
                  <c:v>13.716533999999999</c:v>
                </c:pt>
                <c:pt idx="599">
                  <c:v>13.734380999999999</c:v>
                </c:pt>
                <c:pt idx="600">
                  <c:v>13.747360999999998</c:v>
                </c:pt>
                <c:pt idx="601">
                  <c:v>13.748982999999999</c:v>
                </c:pt>
                <c:pt idx="602">
                  <c:v>13.757096000000001</c:v>
                </c:pt>
                <c:pt idx="603">
                  <c:v>13.770076</c:v>
                </c:pt>
                <c:pt idx="604">
                  <c:v>13.781433</c:v>
                </c:pt>
                <c:pt idx="605">
                  <c:v>13.789545</c:v>
                </c:pt>
                <c:pt idx="606">
                  <c:v>13.794412999999999</c:v>
                </c:pt>
                <c:pt idx="607">
                  <c:v>13.804147999999998</c:v>
                </c:pt>
                <c:pt idx="608">
                  <c:v>13.787922999999999</c:v>
                </c:pt>
                <c:pt idx="609">
                  <c:v>13.817128</c:v>
                </c:pt>
                <c:pt idx="610">
                  <c:v>13.839842000000001</c:v>
                </c:pt>
                <c:pt idx="611">
                  <c:v>13.841464999999999</c:v>
                </c:pt>
                <c:pt idx="612">
                  <c:v>13.852822</c:v>
                </c:pt>
                <c:pt idx="613">
                  <c:v>13.896629000000001</c:v>
                </c:pt>
                <c:pt idx="614">
                  <c:v>13.873913999999999</c:v>
                </c:pt>
                <c:pt idx="615">
                  <c:v>13.878782000000001</c:v>
                </c:pt>
                <c:pt idx="616">
                  <c:v>13.880403999999999</c:v>
                </c:pt>
                <c:pt idx="617">
                  <c:v>13.906364</c:v>
                </c:pt>
                <c:pt idx="618">
                  <c:v>13.925833999999998</c:v>
                </c:pt>
                <c:pt idx="619">
                  <c:v>13.924211</c:v>
                </c:pt>
                <c:pt idx="620">
                  <c:v>13.924211</c:v>
                </c:pt>
                <c:pt idx="621">
                  <c:v>13.930700999999999</c:v>
                </c:pt>
                <c:pt idx="622">
                  <c:v>13.940435999999998</c:v>
                </c:pt>
                <c:pt idx="623">
                  <c:v>13.945302999999999</c:v>
                </c:pt>
                <c:pt idx="624">
                  <c:v>13.959906</c:v>
                </c:pt>
                <c:pt idx="625">
                  <c:v>13.977753</c:v>
                </c:pt>
                <c:pt idx="626">
                  <c:v>13.987487999999999</c:v>
                </c:pt>
                <c:pt idx="627">
                  <c:v>13.993977999999998</c:v>
                </c:pt>
                <c:pt idx="628">
                  <c:v>14.011824999999998</c:v>
                </c:pt>
                <c:pt idx="629">
                  <c:v>14.021560000000001</c:v>
                </c:pt>
                <c:pt idx="630">
                  <c:v>14.023181999999998</c:v>
                </c:pt>
                <c:pt idx="631">
                  <c:v>14.003712999999998</c:v>
                </c:pt>
                <c:pt idx="632">
                  <c:v>14.03454</c:v>
                </c:pt>
                <c:pt idx="633">
                  <c:v>14.047519999999999</c:v>
                </c:pt>
                <c:pt idx="634">
                  <c:v>14.055631999999999</c:v>
                </c:pt>
                <c:pt idx="635">
                  <c:v>14.065366999999998</c:v>
                </c:pt>
                <c:pt idx="636">
                  <c:v>14.086458999999998</c:v>
                </c:pt>
                <c:pt idx="637">
                  <c:v>14.096194000000001</c:v>
                </c:pt>
                <c:pt idx="638">
                  <c:v>14.105929</c:v>
                </c:pt>
                <c:pt idx="639">
                  <c:v>14.101060999999998</c:v>
                </c:pt>
                <c:pt idx="640">
                  <c:v>14.107551000000001</c:v>
                </c:pt>
                <c:pt idx="641">
                  <c:v>14.122153999999998</c:v>
                </c:pt>
                <c:pt idx="642">
                  <c:v>14.136755999999998</c:v>
                </c:pt>
                <c:pt idx="643">
                  <c:v>14.143245999999998</c:v>
                </c:pt>
                <c:pt idx="644">
                  <c:v>14.149736000000001</c:v>
                </c:pt>
                <c:pt idx="645">
                  <c:v>14.156226</c:v>
                </c:pt>
                <c:pt idx="646">
                  <c:v>14.165960999999999</c:v>
                </c:pt>
                <c:pt idx="647">
                  <c:v>14.180562999999999</c:v>
                </c:pt>
                <c:pt idx="648">
                  <c:v>14.187052999999999</c:v>
                </c:pt>
                <c:pt idx="649">
                  <c:v>14.206523000000001</c:v>
                </c:pt>
                <c:pt idx="650">
                  <c:v>14.214634999999998</c:v>
                </c:pt>
                <c:pt idx="651">
                  <c:v>14.209766999999999</c:v>
                </c:pt>
                <c:pt idx="652">
                  <c:v>14.22437</c:v>
                </c:pt>
                <c:pt idx="653">
                  <c:v>14.23086</c:v>
                </c:pt>
                <c:pt idx="654">
                  <c:v>14.250329000000001</c:v>
                </c:pt>
                <c:pt idx="655">
                  <c:v>14.253574</c:v>
                </c:pt>
                <c:pt idx="656">
                  <c:v>14.255196999999999</c:v>
                </c:pt>
                <c:pt idx="657">
                  <c:v>14.279533999999998</c:v>
                </c:pt>
                <c:pt idx="658">
                  <c:v>14.276288999999998</c:v>
                </c:pt>
                <c:pt idx="659">
                  <c:v>14.284400999999999</c:v>
                </c:pt>
                <c:pt idx="660">
                  <c:v>14.300625999999998</c:v>
                </c:pt>
                <c:pt idx="661">
                  <c:v>14.307116000000001</c:v>
                </c:pt>
                <c:pt idx="662">
                  <c:v>14.316851</c:v>
                </c:pt>
                <c:pt idx="663">
                  <c:v>14.331453</c:v>
                </c:pt>
                <c:pt idx="664">
                  <c:v>14.344432999999999</c:v>
                </c:pt>
                <c:pt idx="665">
                  <c:v>14.341187999999999</c:v>
                </c:pt>
                <c:pt idx="666">
                  <c:v>14.346056000000001</c:v>
                </c:pt>
                <c:pt idx="667">
                  <c:v>14.373638</c:v>
                </c:pt>
                <c:pt idx="668">
                  <c:v>14.370393</c:v>
                </c:pt>
                <c:pt idx="669">
                  <c:v>14.394729999999999</c:v>
                </c:pt>
                <c:pt idx="670">
                  <c:v>14.394729999999999</c:v>
                </c:pt>
                <c:pt idx="671">
                  <c:v>14.406086999999999</c:v>
                </c:pt>
                <c:pt idx="672">
                  <c:v>14.42069</c:v>
                </c:pt>
                <c:pt idx="673">
                  <c:v>14.422311999999998</c:v>
                </c:pt>
                <c:pt idx="674">
                  <c:v>14.433669999999999</c:v>
                </c:pt>
                <c:pt idx="675">
                  <c:v>14.440158999999998</c:v>
                </c:pt>
                <c:pt idx="676">
                  <c:v>14.446649000000001</c:v>
                </c:pt>
                <c:pt idx="677">
                  <c:v>14.451516999999999</c:v>
                </c:pt>
                <c:pt idx="678">
                  <c:v>14.469363999999999</c:v>
                </c:pt>
                <c:pt idx="679">
                  <c:v>14.479098999999998</c:v>
                </c:pt>
                <c:pt idx="680">
                  <c:v>14.493700999999998</c:v>
                </c:pt>
                <c:pt idx="681">
                  <c:v>14.503436000000001</c:v>
                </c:pt>
                <c:pt idx="682">
                  <c:v>14.498569</c:v>
                </c:pt>
                <c:pt idx="683">
                  <c:v>14.511547999999998</c:v>
                </c:pt>
                <c:pt idx="684">
                  <c:v>14.522905999999999</c:v>
                </c:pt>
                <c:pt idx="685">
                  <c:v>14.531018</c:v>
                </c:pt>
                <c:pt idx="686">
                  <c:v>14.545621000000001</c:v>
                </c:pt>
                <c:pt idx="687">
                  <c:v>14.555354999999999</c:v>
                </c:pt>
                <c:pt idx="688">
                  <c:v>14.563468</c:v>
                </c:pt>
                <c:pt idx="689">
                  <c:v>14.566713</c:v>
                </c:pt>
                <c:pt idx="690">
                  <c:v>14.57807</c:v>
                </c:pt>
                <c:pt idx="691">
                  <c:v>14.582937999999999</c:v>
                </c:pt>
                <c:pt idx="692">
                  <c:v>14.592672</c:v>
                </c:pt>
                <c:pt idx="693">
                  <c:v>14.604029999999998</c:v>
                </c:pt>
                <c:pt idx="694">
                  <c:v>14.597539999999999</c:v>
                </c:pt>
                <c:pt idx="695">
                  <c:v>14.620255</c:v>
                </c:pt>
                <c:pt idx="696">
                  <c:v>14.642969000000001</c:v>
                </c:pt>
                <c:pt idx="697">
                  <c:v>14.642969000000001</c:v>
                </c:pt>
                <c:pt idx="698">
                  <c:v>14.651081999999999</c:v>
                </c:pt>
                <c:pt idx="699">
                  <c:v>14.634857</c:v>
                </c:pt>
                <c:pt idx="700">
                  <c:v>14.672173999999998</c:v>
                </c:pt>
                <c:pt idx="701">
                  <c:v>14.690020999999998</c:v>
                </c:pt>
                <c:pt idx="702">
                  <c:v>14.693265999999998</c:v>
                </c:pt>
                <c:pt idx="703">
                  <c:v>14.707867999999998</c:v>
                </c:pt>
                <c:pt idx="704">
                  <c:v>14.727338</c:v>
                </c:pt>
                <c:pt idx="705">
                  <c:v>14.715980999999999</c:v>
                </c:pt>
                <c:pt idx="706">
                  <c:v>14.73545</c:v>
                </c:pt>
                <c:pt idx="707">
                  <c:v>14.73545</c:v>
                </c:pt>
                <c:pt idx="708">
                  <c:v>14.732205999999998</c:v>
                </c:pt>
                <c:pt idx="709">
                  <c:v>14.759788</c:v>
                </c:pt>
                <c:pt idx="710">
                  <c:v>14.767900000000001</c:v>
                </c:pt>
                <c:pt idx="711">
                  <c:v>14.772766999999998</c:v>
                </c:pt>
                <c:pt idx="712">
                  <c:v>14.776011999999998</c:v>
                </c:pt>
                <c:pt idx="713">
                  <c:v>14.798727</c:v>
                </c:pt>
                <c:pt idx="714">
                  <c:v>14.798727</c:v>
                </c:pt>
                <c:pt idx="715">
                  <c:v>14.810084</c:v>
                </c:pt>
                <c:pt idx="716">
                  <c:v>14.842534000000001</c:v>
                </c:pt>
                <c:pt idx="717">
                  <c:v>14.860381</c:v>
                </c:pt>
                <c:pt idx="718">
                  <c:v>14.881473</c:v>
                </c:pt>
                <c:pt idx="719">
                  <c:v>14.896076000000001</c:v>
                </c:pt>
                <c:pt idx="720">
                  <c:v>14.909056</c:v>
                </c:pt>
                <c:pt idx="721">
                  <c:v>14.918789999999998</c:v>
                </c:pt>
                <c:pt idx="722">
                  <c:v>14.936637999999999</c:v>
                </c:pt>
                <c:pt idx="723">
                  <c:v>14.952863000000001</c:v>
                </c:pt>
                <c:pt idx="724">
                  <c:v>14.97071</c:v>
                </c:pt>
                <c:pt idx="725">
                  <c:v>14.996669000000001</c:v>
                </c:pt>
                <c:pt idx="726">
                  <c:v>15.021007000000001</c:v>
                </c:pt>
                <c:pt idx="727">
                  <c:v>15.024252000000001</c:v>
                </c:pt>
                <c:pt idx="728">
                  <c:v>15.056701</c:v>
                </c:pt>
                <c:pt idx="729">
                  <c:v>15.063191</c:v>
                </c:pt>
                <c:pt idx="730">
                  <c:v>15.085905999999998</c:v>
                </c:pt>
                <c:pt idx="731">
                  <c:v>15.097262999999998</c:v>
                </c:pt>
                <c:pt idx="732">
                  <c:v>15.123222999999999</c:v>
                </c:pt>
                <c:pt idx="733">
                  <c:v>15.131335</c:v>
                </c:pt>
                <c:pt idx="734">
                  <c:v>15.145937</c:v>
                </c:pt>
                <c:pt idx="735">
                  <c:v>15.168651999999998</c:v>
                </c:pt>
                <c:pt idx="736">
                  <c:v>15.175142000000001</c:v>
                </c:pt>
                <c:pt idx="737">
                  <c:v>15.196234</c:v>
                </c:pt>
                <c:pt idx="738">
                  <c:v>15.218948999999999</c:v>
                </c:pt>
                <c:pt idx="739">
                  <c:v>15.233550999999999</c:v>
                </c:pt>
                <c:pt idx="740">
                  <c:v>15.259511</c:v>
                </c:pt>
                <c:pt idx="741">
                  <c:v>15.270868</c:v>
                </c:pt>
                <c:pt idx="742">
                  <c:v>15.283847999999999</c:v>
                </c:pt>
                <c:pt idx="743">
                  <c:v>15.296827999999998</c:v>
                </c:pt>
                <c:pt idx="744">
                  <c:v>15.32441</c:v>
                </c:pt>
                <c:pt idx="745">
                  <c:v>15.3309</c:v>
                </c:pt>
                <c:pt idx="746">
                  <c:v>15.361726999999998</c:v>
                </c:pt>
                <c:pt idx="747">
                  <c:v>15.368216999999998</c:v>
                </c:pt>
                <c:pt idx="748">
                  <c:v>15.394175999999998</c:v>
                </c:pt>
                <c:pt idx="749">
                  <c:v>15.400666000000001</c:v>
                </c:pt>
                <c:pt idx="750">
                  <c:v>15.425003</c:v>
                </c:pt>
                <c:pt idx="751">
                  <c:v>15.446096000000001</c:v>
                </c:pt>
                <c:pt idx="752">
                  <c:v>15.455829999999999</c:v>
                </c:pt>
                <c:pt idx="753">
                  <c:v>15.472055000000001</c:v>
                </c:pt>
                <c:pt idx="754">
                  <c:v>15.48179</c:v>
                </c:pt>
                <c:pt idx="755">
                  <c:v>15.509371999999999</c:v>
                </c:pt>
                <c:pt idx="756">
                  <c:v>15.525596999999998</c:v>
                </c:pt>
                <c:pt idx="757">
                  <c:v>15.538577</c:v>
                </c:pt>
                <c:pt idx="758">
                  <c:v>15.559669</c:v>
                </c:pt>
                <c:pt idx="759">
                  <c:v>15.572648999999998</c:v>
                </c:pt>
                <c:pt idx="760">
                  <c:v>15.601852999999998</c:v>
                </c:pt>
                <c:pt idx="761">
                  <c:v>15.618078000000001</c:v>
                </c:pt>
                <c:pt idx="762">
                  <c:v>15.622945999999999</c:v>
                </c:pt>
                <c:pt idx="763">
                  <c:v>15.647282999999998</c:v>
                </c:pt>
                <c:pt idx="764">
                  <c:v>15.663508</c:v>
                </c:pt>
                <c:pt idx="765">
                  <c:v>15.686222000000001</c:v>
                </c:pt>
                <c:pt idx="766">
                  <c:v>15.694334999999999</c:v>
                </c:pt>
                <c:pt idx="767">
                  <c:v>15.712181999999999</c:v>
                </c:pt>
                <c:pt idx="768">
                  <c:v>15.726783999999999</c:v>
                </c:pt>
                <c:pt idx="769">
                  <c:v>15.744630999999998</c:v>
                </c:pt>
                <c:pt idx="770">
                  <c:v>15.762478999999999</c:v>
                </c:pt>
                <c:pt idx="771">
                  <c:v>15.783570999999998</c:v>
                </c:pt>
                <c:pt idx="772">
                  <c:v>15.790060999999998</c:v>
                </c:pt>
                <c:pt idx="773">
                  <c:v>15.817643</c:v>
                </c:pt>
                <c:pt idx="774">
                  <c:v>15.83549</c:v>
                </c:pt>
                <c:pt idx="775">
                  <c:v>15.848469999999999</c:v>
                </c:pt>
                <c:pt idx="776">
                  <c:v>15.869561999999998</c:v>
                </c:pt>
                <c:pt idx="777">
                  <c:v>15.884163999999998</c:v>
                </c:pt>
                <c:pt idx="778">
                  <c:v>15.903634</c:v>
                </c:pt>
                <c:pt idx="779">
                  <c:v>15.916613999999999</c:v>
                </c:pt>
                <c:pt idx="780">
                  <c:v>15.936084000000001</c:v>
                </c:pt>
                <c:pt idx="781">
                  <c:v>15.957176</c:v>
                </c:pt>
                <c:pt idx="782">
                  <c:v>15.976644999999998</c:v>
                </c:pt>
                <c:pt idx="783">
                  <c:v>15.994492999999999</c:v>
                </c:pt>
                <c:pt idx="784">
                  <c:v>16.004227999999998</c:v>
                </c:pt>
                <c:pt idx="785">
                  <c:v>16.023696999999999</c:v>
                </c:pt>
                <c:pt idx="786">
                  <c:v>16.03181</c:v>
                </c:pt>
                <c:pt idx="787">
                  <c:v>16.062636999999999</c:v>
                </c:pt>
                <c:pt idx="788">
                  <c:v>16.067504</c:v>
                </c:pt>
                <c:pt idx="789">
                  <c:v>16.088595999999999</c:v>
                </c:pt>
                <c:pt idx="790">
                  <c:v>16.099954</c:v>
                </c:pt>
                <c:pt idx="791">
                  <c:v>16.153494999999999</c:v>
                </c:pt>
                <c:pt idx="792">
                  <c:v>16.15025</c:v>
                </c:pt>
                <c:pt idx="793">
                  <c:v>16.156739999999999</c:v>
                </c:pt>
                <c:pt idx="794">
                  <c:v>16.179455000000001</c:v>
                </c:pt>
                <c:pt idx="795">
                  <c:v>16.18919</c:v>
                </c:pt>
                <c:pt idx="796">
                  <c:v>16.218394</c:v>
                </c:pt>
                <c:pt idx="797">
                  <c:v>16.224883999999999</c:v>
                </c:pt>
                <c:pt idx="798">
                  <c:v>16.237863999999998</c:v>
                </c:pt>
                <c:pt idx="799">
                  <c:v>16.258955999999998</c:v>
                </c:pt>
                <c:pt idx="800">
                  <c:v>16.280048000000001</c:v>
                </c:pt>
                <c:pt idx="801">
                  <c:v>16.299517999999999</c:v>
                </c:pt>
                <c:pt idx="802">
                  <c:v>16.317364999999999</c:v>
                </c:pt>
                <c:pt idx="803">
                  <c:v>16.325478</c:v>
                </c:pt>
                <c:pt idx="804">
                  <c:v>16.356304999999999</c:v>
                </c:pt>
                <c:pt idx="805">
                  <c:v>16.362794999999998</c:v>
                </c:pt>
                <c:pt idx="806">
                  <c:v>16.382263999999999</c:v>
                </c:pt>
                <c:pt idx="807">
                  <c:v>16.404979000000001</c:v>
                </c:pt>
                <c:pt idx="808">
                  <c:v>16.417959</c:v>
                </c:pt>
                <c:pt idx="809">
                  <c:v>16.430938999999999</c:v>
                </c:pt>
                <c:pt idx="810">
                  <c:v>16.445540999999999</c:v>
                </c:pt>
                <c:pt idx="811">
                  <c:v>16.474746</c:v>
                </c:pt>
                <c:pt idx="812">
                  <c:v>16.489348</c:v>
                </c:pt>
                <c:pt idx="813">
                  <c:v>16.499082999999999</c:v>
                </c:pt>
                <c:pt idx="814">
                  <c:v>16.526664999999998</c:v>
                </c:pt>
                <c:pt idx="815">
                  <c:v>16.539645</c:v>
                </c:pt>
                <c:pt idx="816">
                  <c:v>16.560737</c:v>
                </c:pt>
                <c:pt idx="817">
                  <c:v>16.578583999999999</c:v>
                </c:pt>
                <c:pt idx="818">
                  <c:v>16.576961999999998</c:v>
                </c:pt>
                <c:pt idx="819">
                  <c:v>16.607789</c:v>
                </c:pt>
                <c:pt idx="820">
                  <c:v>16.617522999999998</c:v>
                </c:pt>
                <c:pt idx="821">
                  <c:v>16.640238</c:v>
                </c:pt>
                <c:pt idx="822">
                  <c:v>16.641860999999999</c:v>
                </c:pt>
                <c:pt idx="823">
                  <c:v>16.682421999999999</c:v>
                </c:pt>
                <c:pt idx="824">
                  <c:v>16.690535000000001</c:v>
                </c:pt>
                <c:pt idx="825">
                  <c:v>16.703514999999999</c:v>
                </c:pt>
                <c:pt idx="826">
                  <c:v>16.727851999999999</c:v>
                </c:pt>
                <c:pt idx="827">
                  <c:v>16.760300999999998</c:v>
                </c:pt>
                <c:pt idx="828">
                  <c:v>16.753810999999999</c:v>
                </c:pt>
                <c:pt idx="829">
                  <c:v>16.778147999999998</c:v>
                </c:pt>
                <c:pt idx="830">
                  <c:v>16.795995999999999</c:v>
                </c:pt>
                <c:pt idx="831">
                  <c:v>16.817087999999998</c:v>
                </c:pt>
                <c:pt idx="832">
                  <c:v>16.830068000000001</c:v>
                </c:pt>
                <c:pt idx="833">
                  <c:v>16.843046999999999</c:v>
                </c:pt>
                <c:pt idx="834">
                  <c:v>16.859272000000001</c:v>
                </c:pt>
                <c:pt idx="835">
                  <c:v>16.873874000000001</c:v>
                </c:pt>
                <c:pt idx="836">
                  <c:v>16.890098999999999</c:v>
                </c:pt>
                <c:pt idx="837">
                  <c:v>16.890098999999999</c:v>
                </c:pt>
                <c:pt idx="838">
                  <c:v>16.917680999999998</c:v>
                </c:pt>
                <c:pt idx="839">
                  <c:v>16.940396</c:v>
                </c:pt>
                <c:pt idx="840">
                  <c:v>16.971222999999998</c:v>
                </c:pt>
                <c:pt idx="841">
                  <c:v>16.972845</c:v>
                </c:pt>
                <c:pt idx="842">
                  <c:v>16.993938</c:v>
                </c:pt>
                <c:pt idx="843">
                  <c:v>17.006916999999998</c:v>
                </c:pt>
                <c:pt idx="844">
                  <c:v>17.028009999999998</c:v>
                </c:pt>
                <c:pt idx="845">
                  <c:v>17.049101999999998</c:v>
                </c:pt>
                <c:pt idx="846">
                  <c:v>17.065325999999999</c:v>
                </c:pt>
                <c:pt idx="847">
                  <c:v>17.078305999999998</c:v>
                </c:pt>
                <c:pt idx="848">
                  <c:v>17.101020999999999</c:v>
                </c:pt>
                <c:pt idx="849">
                  <c:v>17.114000999999998</c:v>
                </c:pt>
                <c:pt idx="850">
                  <c:v>17.136714999999999</c:v>
                </c:pt>
                <c:pt idx="851">
                  <c:v>17.144828</c:v>
                </c:pt>
                <c:pt idx="852">
                  <c:v>17.167542000000001</c:v>
                </c:pt>
                <c:pt idx="853">
                  <c:v>17.174032</c:v>
                </c:pt>
                <c:pt idx="854">
                  <c:v>17.198369</c:v>
                </c:pt>
                <c:pt idx="855">
                  <c:v>17.221083999999998</c:v>
                </c:pt>
                <c:pt idx="856">
                  <c:v>17.235685999999998</c:v>
                </c:pt>
                <c:pt idx="857">
                  <c:v>17.256778000000001</c:v>
                </c:pt>
                <c:pt idx="858">
                  <c:v>17.282737999999998</c:v>
                </c:pt>
                <c:pt idx="859">
                  <c:v>17.289227999999998</c:v>
                </c:pt>
                <c:pt idx="860">
                  <c:v>17.295718000000001</c:v>
                </c:pt>
                <c:pt idx="861">
                  <c:v>17.318432999999999</c:v>
                </c:pt>
                <c:pt idx="862">
                  <c:v>17.334657</c:v>
                </c:pt>
                <c:pt idx="863">
                  <c:v>17.363862000000001</c:v>
                </c:pt>
                <c:pt idx="864">
                  <c:v>17.370352</c:v>
                </c:pt>
                <c:pt idx="865">
                  <c:v>17.386575999999998</c:v>
                </c:pt>
                <c:pt idx="866">
                  <c:v>17.404423999999999</c:v>
                </c:pt>
                <c:pt idx="867">
                  <c:v>17.397933999999999</c:v>
                </c:pt>
                <c:pt idx="868">
                  <c:v>17.409291</c:v>
                </c:pt>
                <c:pt idx="869">
                  <c:v>17.422270999999999</c:v>
                </c:pt>
                <c:pt idx="870">
                  <c:v>17.427137999999999</c:v>
                </c:pt>
                <c:pt idx="871">
                  <c:v>17.438496000000001</c:v>
                </c:pt>
                <c:pt idx="872">
                  <c:v>17.451474999999999</c:v>
                </c:pt>
                <c:pt idx="873">
                  <c:v>17.451474999999999</c:v>
                </c:pt>
                <c:pt idx="874">
                  <c:v>17.459588</c:v>
                </c:pt>
                <c:pt idx="875">
                  <c:v>17.472567999999999</c:v>
                </c:pt>
                <c:pt idx="876">
                  <c:v>17.485547</c:v>
                </c:pt>
                <c:pt idx="877">
                  <c:v>17.493659999999998</c:v>
                </c:pt>
                <c:pt idx="878">
                  <c:v>17.495282</c:v>
                </c:pt>
                <c:pt idx="879">
                  <c:v>17.509884</c:v>
                </c:pt>
                <c:pt idx="880">
                  <c:v>17.526108999999998</c:v>
                </c:pt>
                <c:pt idx="881">
                  <c:v>17.535844000000001</c:v>
                </c:pt>
                <c:pt idx="882">
                  <c:v>17.542334</c:v>
                </c:pt>
                <c:pt idx="883">
                  <c:v>17.542334</c:v>
                </c:pt>
                <c:pt idx="884">
                  <c:v>17.563426</c:v>
                </c:pt>
                <c:pt idx="885">
                  <c:v>17.556936</c:v>
                </c:pt>
                <c:pt idx="886">
                  <c:v>17.571538</c:v>
                </c:pt>
                <c:pt idx="887">
                  <c:v>17.576405999999999</c:v>
                </c:pt>
                <c:pt idx="888">
                  <c:v>17.584517999999999</c:v>
                </c:pt>
                <c:pt idx="889">
                  <c:v>17.607233000000001</c:v>
                </c:pt>
                <c:pt idx="890">
                  <c:v>17.608854999999998</c:v>
                </c:pt>
                <c:pt idx="891">
                  <c:v>17.616968</c:v>
                </c:pt>
                <c:pt idx="892">
                  <c:v>17.625080000000001</c:v>
                </c:pt>
                <c:pt idx="893">
                  <c:v>17.636437000000001</c:v>
                </c:pt>
                <c:pt idx="894">
                  <c:v>17.647794999999999</c:v>
                </c:pt>
                <c:pt idx="895">
                  <c:v>17.664019</c:v>
                </c:pt>
                <c:pt idx="896">
                  <c:v>17.659151999999999</c:v>
                </c:pt>
                <c:pt idx="897">
                  <c:v>17.680243999999998</c:v>
                </c:pt>
                <c:pt idx="898">
                  <c:v>17.676998999999999</c:v>
                </c:pt>
                <c:pt idx="899">
                  <c:v>17.689979000000001</c:v>
                </c:pt>
                <c:pt idx="900">
                  <c:v>17.701335999999998</c:v>
                </c:pt>
                <c:pt idx="901">
                  <c:v>17.711071</c:v>
                </c:pt>
                <c:pt idx="902">
                  <c:v>17.717561</c:v>
                </c:pt>
                <c:pt idx="903">
                  <c:v>17.728918</c:v>
                </c:pt>
                <c:pt idx="904">
                  <c:v>17.735408</c:v>
                </c:pt>
                <c:pt idx="905">
                  <c:v>17.751632999999998</c:v>
                </c:pt>
                <c:pt idx="906">
                  <c:v>17.761368000000001</c:v>
                </c:pt>
                <c:pt idx="907">
                  <c:v>17.756499999999999</c:v>
                </c:pt>
                <c:pt idx="908">
                  <c:v>17.777593</c:v>
                </c:pt>
                <c:pt idx="909">
                  <c:v>17.779215000000001</c:v>
                </c:pt>
                <c:pt idx="910">
                  <c:v>17.779215000000001</c:v>
                </c:pt>
                <c:pt idx="911">
                  <c:v>17.798684999999999</c:v>
                </c:pt>
                <c:pt idx="912">
                  <c:v>17.806797</c:v>
                </c:pt>
                <c:pt idx="913">
                  <c:v>17.808419999999998</c:v>
                </c:pt>
                <c:pt idx="914">
                  <c:v>17.827888999999999</c:v>
                </c:pt>
                <c:pt idx="915">
                  <c:v>17.839247</c:v>
                </c:pt>
                <c:pt idx="916">
                  <c:v>17.847359000000001</c:v>
                </c:pt>
                <c:pt idx="917">
                  <c:v>17.855470999999998</c:v>
                </c:pt>
                <c:pt idx="918">
                  <c:v>17.871696</c:v>
                </c:pt>
                <c:pt idx="919">
                  <c:v>17.878185999999999</c:v>
                </c:pt>
                <c:pt idx="920">
                  <c:v>17.879808000000001</c:v>
                </c:pt>
                <c:pt idx="921">
                  <c:v>17.902522999999999</c:v>
                </c:pt>
                <c:pt idx="922">
                  <c:v>17.910634999999999</c:v>
                </c:pt>
                <c:pt idx="923">
                  <c:v>17.909012999999998</c:v>
                </c:pt>
                <c:pt idx="924">
                  <c:v>17.925238</c:v>
                </c:pt>
                <c:pt idx="925">
                  <c:v>17.930105000000001</c:v>
                </c:pt>
                <c:pt idx="926">
                  <c:v>17.936595000000001</c:v>
                </c:pt>
                <c:pt idx="927">
                  <c:v>17.944707000000001</c:v>
                </c:pt>
                <c:pt idx="928">
                  <c:v>17.947952000000001</c:v>
                </c:pt>
                <c:pt idx="929">
                  <c:v>17.970666999999999</c:v>
                </c:pt>
                <c:pt idx="930">
                  <c:v>17.983646999999998</c:v>
                </c:pt>
                <c:pt idx="931">
                  <c:v>17.991758999999998</c:v>
                </c:pt>
                <c:pt idx="932">
                  <c:v>17.993382</c:v>
                </c:pt>
                <c:pt idx="933">
                  <c:v>18.004739000000001</c:v>
                </c:pt>
                <c:pt idx="934">
                  <c:v>18.016096000000001</c:v>
                </c:pt>
                <c:pt idx="935">
                  <c:v>18.029076</c:v>
                </c:pt>
                <c:pt idx="936">
                  <c:v>18.027453999999999</c:v>
                </c:pt>
                <c:pt idx="937">
                  <c:v>18.038810999999999</c:v>
                </c:pt>
                <c:pt idx="938">
                  <c:v>18.061525</c:v>
                </c:pt>
                <c:pt idx="939">
                  <c:v>18.056657999999999</c:v>
                </c:pt>
                <c:pt idx="940">
                  <c:v>18.064769999999999</c:v>
                </c:pt>
                <c:pt idx="941">
                  <c:v>18.082618</c:v>
                </c:pt>
                <c:pt idx="942">
                  <c:v>18.090730000000001</c:v>
                </c:pt>
                <c:pt idx="943">
                  <c:v>18.095596999999998</c:v>
                </c:pt>
                <c:pt idx="944">
                  <c:v>18.102087000000001</c:v>
                </c:pt>
                <c:pt idx="945">
                  <c:v>18.119934999999998</c:v>
                </c:pt>
                <c:pt idx="946">
                  <c:v>18.129669</c:v>
                </c:pt>
                <c:pt idx="947">
                  <c:v>18.139403999999999</c:v>
                </c:pt>
                <c:pt idx="948">
                  <c:v>18.137781999999998</c:v>
                </c:pt>
                <c:pt idx="949">
                  <c:v>18.163740999999998</c:v>
                </c:pt>
                <c:pt idx="950">
                  <c:v>18.163740999999998</c:v>
                </c:pt>
                <c:pt idx="951">
                  <c:v>18.175098999999999</c:v>
                </c:pt>
                <c:pt idx="952">
                  <c:v>18.181588999999999</c:v>
                </c:pt>
                <c:pt idx="953">
                  <c:v>18.192945999999999</c:v>
                </c:pt>
                <c:pt idx="954">
                  <c:v>18.194568</c:v>
                </c:pt>
                <c:pt idx="955">
                  <c:v>18.220527999999998</c:v>
                </c:pt>
                <c:pt idx="956">
                  <c:v>18.228639999999999</c:v>
                </c:pt>
                <c:pt idx="957">
                  <c:v>18.238374999999998</c:v>
                </c:pt>
                <c:pt idx="958">
                  <c:v>18.251355</c:v>
                </c:pt>
                <c:pt idx="959">
                  <c:v>18.259467000000001</c:v>
                </c:pt>
                <c:pt idx="960">
                  <c:v>18.267579999999999</c:v>
                </c:pt>
                <c:pt idx="961">
                  <c:v>18.278936999999999</c:v>
                </c:pt>
                <c:pt idx="962">
                  <c:v>18.285426999999999</c:v>
                </c:pt>
                <c:pt idx="963">
                  <c:v>18.293538999999999</c:v>
                </c:pt>
                <c:pt idx="964">
                  <c:v>18.296783999999999</c:v>
                </c:pt>
                <c:pt idx="965">
                  <c:v>18.306518999999998</c:v>
                </c:pt>
                <c:pt idx="966">
                  <c:v>18.319499</c:v>
                </c:pt>
                <c:pt idx="967">
                  <c:v>18.329234</c:v>
                </c:pt>
                <c:pt idx="968">
                  <c:v>18.337346</c:v>
                </c:pt>
                <c:pt idx="969">
                  <c:v>18.347080999999999</c:v>
                </c:pt>
                <c:pt idx="970">
                  <c:v>18.356815999999998</c:v>
                </c:pt>
                <c:pt idx="971">
                  <c:v>18.361682999999999</c:v>
                </c:pt>
                <c:pt idx="972">
                  <c:v>18.37304</c:v>
                </c:pt>
                <c:pt idx="973">
                  <c:v>18.386019999999998</c:v>
                </c:pt>
                <c:pt idx="974">
                  <c:v>18.390888</c:v>
                </c:pt>
                <c:pt idx="975">
                  <c:v>18.399000000000001</c:v>
                </c:pt>
                <c:pt idx="976">
                  <c:v>18.421714999999999</c:v>
                </c:pt>
                <c:pt idx="977">
                  <c:v>18.428204000000001</c:v>
                </c:pt>
                <c:pt idx="978">
                  <c:v>18.426582</c:v>
                </c:pt>
                <c:pt idx="979">
                  <c:v>18.439561999999999</c:v>
                </c:pt>
                <c:pt idx="980">
                  <c:v>18.449296999999998</c:v>
                </c:pt>
                <c:pt idx="981">
                  <c:v>18.455786</c:v>
                </c:pt>
                <c:pt idx="982">
                  <c:v>18.467144000000001</c:v>
                </c:pt>
                <c:pt idx="983">
                  <c:v>18.468765999999999</c:v>
                </c:pt>
                <c:pt idx="984">
                  <c:v>18.481746000000001</c:v>
                </c:pt>
                <c:pt idx="985">
                  <c:v>18.507705999999999</c:v>
                </c:pt>
                <c:pt idx="986">
                  <c:v>18.509328</c:v>
                </c:pt>
                <c:pt idx="987">
                  <c:v>18.512573</c:v>
                </c:pt>
                <c:pt idx="988">
                  <c:v>18.528797999999998</c:v>
                </c:pt>
                <c:pt idx="989">
                  <c:v>18.549889999999998</c:v>
                </c:pt>
                <c:pt idx="990">
                  <c:v>18.546644999999998</c:v>
                </c:pt>
                <c:pt idx="991">
                  <c:v>18.551511999999999</c:v>
                </c:pt>
                <c:pt idx="992">
                  <c:v>18.566115</c:v>
                </c:pt>
                <c:pt idx="993">
                  <c:v>18.574227</c:v>
                </c:pt>
                <c:pt idx="994">
                  <c:v>18.575848999999998</c:v>
                </c:pt>
                <c:pt idx="995">
                  <c:v>18.588829</c:v>
                </c:pt>
                <c:pt idx="996">
                  <c:v>18.608298999999999</c:v>
                </c:pt>
                <c:pt idx="997">
                  <c:v>18.618033999999998</c:v>
                </c:pt>
                <c:pt idx="998">
                  <c:v>18.614788999999998</c:v>
                </c:pt>
                <c:pt idx="999">
                  <c:v>18.637502999999999</c:v>
                </c:pt>
                <c:pt idx="1000">
                  <c:v>18.627769000000001</c:v>
                </c:pt>
                <c:pt idx="1001">
                  <c:v>18.645616</c:v>
                </c:pt>
                <c:pt idx="1002">
                  <c:v>18.653728000000001</c:v>
                </c:pt>
                <c:pt idx="1003">
                  <c:v>18.673197999999999</c:v>
                </c:pt>
                <c:pt idx="1004">
                  <c:v>18.656973000000001</c:v>
                </c:pt>
                <c:pt idx="1005">
                  <c:v>18.679687999999999</c:v>
                </c:pt>
                <c:pt idx="1006">
                  <c:v>18.666708</c:v>
                </c:pt>
                <c:pt idx="1007">
                  <c:v>18.705646999999999</c:v>
                </c:pt>
                <c:pt idx="1008">
                  <c:v>18.710515000000001</c:v>
                </c:pt>
                <c:pt idx="1009">
                  <c:v>18.729983999999998</c:v>
                </c:pt>
                <c:pt idx="1010">
                  <c:v>18.721871999999998</c:v>
                </c:pt>
                <c:pt idx="1011">
                  <c:v>18.751075999999998</c:v>
                </c:pt>
                <c:pt idx="1012">
                  <c:v>18.759188999999999</c:v>
                </c:pt>
                <c:pt idx="1013">
                  <c:v>18.762433999999999</c:v>
                </c:pt>
                <c:pt idx="1014">
                  <c:v>18.770546</c:v>
                </c:pt>
                <c:pt idx="1015">
                  <c:v>18.780280999999999</c:v>
                </c:pt>
                <c:pt idx="1016">
                  <c:v>18.809484999999999</c:v>
                </c:pt>
                <c:pt idx="1017">
                  <c:v>18.8322</c:v>
                </c:pt>
                <c:pt idx="1018">
                  <c:v>18.840312000000001</c:v>
                </c:pt>
                <c:pt idx="1019">
                  <c:v>18.863026999999999</c:v>
                </c:pt>
                <c:pt idx="1020">
                  <c:v>18.877628999999999</c:v>
                </c:pt>
                <c:pt idx="1021">
                  <c:v>18.893854000000001</c:v>
                </c:pt>
                <c:pt idx="1022">
                  <c:v>18.916568999999999</c:v>
                </c:pt>
                <c:pt idx="1023">
                  <c:v>18.924681</c:v>
                </c:pt>
                <c:pt idx="1024">
                  <c:v>18.947395999999998</c:v>
                </c:pt>
                <c:pt idx="1025">
                  <c:v>19.000937</c:v>
                </c:pt>
                <c:pt idx="1026">
                  <c:v>18.997692000000001</c:v>
                </c:pt>
                <c:pt idx="1027">
                  <c:v>19.012294000000001</c:v>
                </c:pt>
                <c:pt idx="1028">
                  <c:v>19.028518999999999</c:v>
                </c:pt>
                <c:pt idx="1029">
                  <c:v>19.046365999999999</c:v>
                </c:pt>
                <c:pt idx="1030">
                  <c:v>19.077192999999998</c:v>
                </c:pt>
                <c:pt idx="1031">
                  <c:v>19.077192999999998</c:v>
                </c:pt>
                <c:pt idx="1032">
                  <c:v>19.093418</c:v>
                </c:pt>
                <c:pt idx="1033">
                  <c:v>19.109642999999998</c:v>
                </c:pt>
                <c:pt idx="1034">
                  <c:v>19.140470000000001</c:v>
                </c:pt>
                <c:pt idx="1035">
                  <c:v>19.148582000000001</c:v>
                </c:pt>
                <c:pt idx="1036">
                  <c:v>19.176164</c:v>
                </c:pt>
                <c:pt idx="1037">
                  <c:v>19.189143999999999</c:v>
                </c:pt>
                <c:pt idx="1038">
                  <c:v>19.205369000000001</c:v>
                </c:pt>
                <c:pt idx="1039">
                  <c:v>19.226461</c:v>
                </c:pt>
                <c:pt idx="1040">
                  <c:v>19.249175000000001</c:v>
                </c:pt>
                <c:pt idx="1041">
                  <c:v>19.2654</c:v>
                </c:pt>
                <c:pt idx="1042">
                  <c:v>19.284869999999998</c:v>
                </c:pt>
                <c:pt idx="1043">
                  <c:v>19.297848999999999</c:v>
                </c:pt>
                <c:pt idx="1044">
                  <c:v>19.312452</c:v>
                </c:pt>
                <c:pt idx="1045">
                  <c:v>19.330299</c:v>
                </c:pt>
                <c:pt idx="1046">
                  <c:v>19.369237999999999</c:v>
                </c:pt>
                <c:pt idx="1047">
                  <c:v>19.374105999999998</c:v>
                </c:pt>
                <c:pt idx="1048">
                  <c:v>19.390329999999999</c:v>
                </c:pt>
                <c:pt idx="1049">
                  <c:v>19.411421999999998</c:v>
                </c:pt>
                <c:pt idx="1050">
                  <c:v>19.424402000000001</c:v>
                </c:pt>
                <c:pt idx="1051">
                  <c:v>19.450361999999998</c:v>
                </c:pt>
                <c:pt idx="1052">
                  <c:v>19.473075999999999</c:v>
                </c:pt>
                <c:pt idx="1053">
                  <c:v>19.473075999999999</c:v>
                </c:pt>
                <c:pt idx="1054">
                  <c:v>19.499036</c:v>
                </c:pt>
                <c:pt idx="1055">
                  <c:v>19.520128</c:v>
                </c:pt>
                <c:pt idx="1056">
                  <c:v>19.533107999999999</c:v>
                </c:pt>
                <c:pt idx="1057">
                  <c:v>19.555821999999999</c:v>
                </c:pt>
                <c:pt idx="1058">
                  <c:v>19.572046999999998</c:v>
                </c:pt>
                <c:pt idx="1059">
                  <c:v>19.586648999999998</c:v>
                </c:pt>
                <c:pt idx="1060">
                  <c:v>19.602874</c:v>
                </c:pt>
                <c:pt idx="1061">
                  <c:v>19.632079000000001</c:v>
                </c:pt>
                <c:pt idx="1062">
                  <c:v>19.648302999999999</c:v>
                </c:pt>
                <c:pt idx="1063">
                  <c:v>19.666149999999998</c:v>
                </c:pt>
                <c:pt idx="1064">
                  <c:v>19.688865</c:v>
                </c:pt>
                <c:pt idx="1065">
                  <c:v>19.698599999999999</c:v>
                </c:pt>
                <c:pt idx="1066">
                  <c:v>19.719691999999998</c:v>
                </c:pt>
                <c:pt idx="1067">
                  <c:v>19.724558999999999</c:v>
                </c:pt>
                <c:pt idx="1068">
                  <c:v>19.760254</c:v>
                </c:pt>
                <c:pt idx="1069">
                  <c:v>19.774856</c:v>
                </c:pt>
                <c:pt idx="1070">
                  <c:v>19.787835999999999</c:v>
                </c:pt>
                <c:pt idx="1071">
                  <c:v>19.817039999999999</c:v>
                </c:pt>
                <c:pt idx="1072">
                  <c:v>19.838131999999998</c:v>
                </c:pt>
                <c:pt idx="1073">
                  <c:v>19.846245</c:v>
                </c:pt>
                <c:pt idx="1074">
                  <c:v>19.867336999999999</c:v>
                </c:pt>
                <c:pt idx="1075">
                  <c:v>19.873826999999999</c:v>
                </c:pt>
                <c:pt idx="1076">
                  <c:v>19.906275999999998</c:v>
                </c:pt>
                <c:pt idx="1077">
                  <c:v>19.912765999999998</c:v>
                </c:pt>
                <c:pt idx="1078">
                  <c:v>19.946838</c:v>
                </c:pt>
                <c:pt idx="1079">
                  <c:v>19.951705</c:v>
                </c:pt>
                <c:pt idx="1080">
                  <c:v>19.976042</c:v>
                </c:pt>
                <c:pt idx="1081">
                  <c:v>19.992266999999998</c:v>
                </c:pt>
                <c:pt idx="1082">
                  <c:v>19.998756999999998</c:v>
                </c:pt>
                <c:pt idx="1083">
                  <c:v>20.019849000000001</c:v>
                </c:pt>
                <c:pt idx="1084">
                  <c:v>20.045808999999998</c:v>
                </c:pt>
                <c:pt idx="1085">
                  <c:v>20.075012999999998</c:v>
                </c:pt>
                <c:pt idx="1086">
                  <c:v>20.079881</c:v>
                </c:pt>
                <c:pt idx="1087">
                  <c:v>20.096104999999998</c:v>
                </c:pt>
                <c:pt idx="1088">
                  <c:v>20.110706999999998</c:v>
                </c:pt>
                <c:pt idx="1089">
                  <c:v>20.144779</c:v>
                </c:pt>
                <c:pt idx="1090">
                  <c:v>20.151268999999999</c:v>
                </c:pt>
                <c:pt idx="1091">
                  <c:v>20.172360999999999</c:v>
                </c:pt>
                <c:pt idx="1092">
                  <c:v>20.191831000000001</c:v>
                </c:pt>
                <c:pt idx="1093">
                  <c:v>20.22428</c:v>
                </c:pt>
                <c:pt idx="1094">
                  <c:v>20.225902999999999</c:v>
                </c:pt>
                <c:pt idx="1095">
                  <c:v>20.256730000000001</c:v>
                </c:pt>
                <c:pt idx="1096">
                  <c:v>20.276198999999998</c:v>
                </c:pt>
                <c:pt idx="1097">
                  <c:v>20.294046999999999</c:v>
                </c:pt>
                <c:pt idx="1098">
                  <c:v>20.307026</c:v>
                </c:pt>
                <c:pt idx="1099">
                  <c:v>20.339475999999998</c:v>
                </c:pt>
                <c:pt idx="1100">
                  <c:v>20.350832999999998</c:v>
                </c:pt>
                <c:pt idx="1101">
                  <c:v>20.367058</c:v>
                </c:pt>
                <c:pt idx="1102">
                  <c:v>20.38815</c:v>
                </c:pt>
                <c:pt idx="1103">
                  <c:v>20.405996999999999</c:v>
                </c:pt>
                <c:pt idx="1104">
                  <c:v>20.420598999999999</c:v>
                </c:pt>
                <c:pt idx="1105">
                  <c:v>20.449804</c:v>
                </c:pt>
                <c:pt idx="1106">
                  <c:v>20.461161000000001</c:v>
                </c:pt>
                <c:pt idx="1107">
                  <c:v>20.496855</c:v>
                </c:pt>
                <c:pt idx="1108">
                  <c:v>20.506589999999999</c:v>
                </c:pt>
                <c:pt idx="1109">
                  <c:v>20.547152000000001</c:v>
                </c:pt>
                <c:pt idx="1110">
                  <c:v>20.553642</c:v>
                </c:pt>
                <c:pt idx="1111">
                  <c:v>20.563376999999999</c:v>
                </c:pt>
                <c:pt idx="1112">
                  <c:v>20.594203999999998</c:v>
                </c:pt>
                <c:pt idx="1113">
                  <c:v>20.605560999999998</c:v>
                </c:pt>
                <c:pt idx="1114">
                  <c:v>20.633143</c:v>
                </c:pt>
                <c:pt idx="1115">
                  <c:v>20.634764999999998</c:v>
                </c:pt>
                <c:pt idx="1116">
                  <c:v>20.667214999999999</c:v>
                </c:pt>
                <c:pt idx="1117">
                  <c:v>20.685061999999999</c:v>
                </c:pt>
                <c:pt idx="1118">
                  <c:v>20.706153999999998</c:v>
                </c:pt>
                <c:pt idx="1119">
                  <c:v>20.733736</c:v>
                </c:pt>
                <c:pt idx="1120">
                  <c:v>20.745093000000001</c:v>
                </c:pt>
                <c:pt idx="1121">
                  <c:v>20.771052999999998</c:v>
                </c:pt>
                <c:pt idx="1122">
                  <c:v>20.774297999999998</c:v>
                </c:pt>
                <c:pt idx="1123">
                  <c:v>20.797011999999999</c:v>
                </c:pt>
                <c:pt idx="1124">
                  <c:v>20.816482000000001</c:v>
                </c:pt>
                <c:pt idx="1125">
                  <c:v>20.840819</c:v>
                </c:pt>
                <c:pt idx="1126">
                  <c:v>20.866778</c:v>
                </c:pt>
                <c:pt idx="1127">
                  <c:v>20.881381000000001</c:v>
                </c:pt>
                <c:pt idx="1128">
                  <c:v>20.908963</c:v>
                </c:pt>
                <c:pt idx="1129">
                  <c:v>20.92681</c:v>
                </c:pt>
                <c:pt idx="1130">
                  <c:v>20.941412</c:v>
                </c:pt>
                <c:pt idx="1131">
                  <c:v>20.957636999999998</c:v>
                </c:pt>
                <c:pt idx="1132">
                  <c:v>20.978728999999998</c:v>
                </c:pt>
                <c:pt idx="1133">
                  <c:v>20.996576000000001</c:v>
                </c:pt>
                <c:pt idx="1134">
                  <c:v>21.009556</c:v>
                </c:pt>
                <c:pt idx="1135">
                  <c:v>21.040382999999999</c:v>
                </c:pt>
                <c:pt idx="1136">
                  <c:v>21.066341999999999</c:v>
                </c:pt>
                <c:pt idx="1137">
                  <c:v>21.089057</c:v>
                </c:pt>
                <c:pt idx="1138">
                  <c:v>21.100414000000001</c:v>
                </c:pt>
                <c:pt idx="1139">
                  <c:v>21.129618000000001</c:v>
                </c:pt>
                <c:pt idx="1140">
                  <c:v>21.142598</c:v>
                </c:pt>
                <c:pt idx="1141">
                  <c:v>21.162067999999998</c:v>
                </c:pt>
                <c:pt idx="1142">
                  <c:v>21.192895</c:v>
                </c:pt>
                <c:pt idx="1143">
                  <c:v>21.199384999999999</c:v>
                </c:pt>
                <c:pt idx="1144">
                  <c:v>21.223721999999999</c:v>
                </c:pt>
                <c:pt idx="1145">
                  <c:v>21.236701</c:v>
                </c:pt>
                <c:pt idx="1146">
                  <c:v>21.272395999999997</c:v>
                </c:pt>
                <c:pt idx="1147">
                  <c:v>21.290243</c:v>
                </c:pt>
                <c:pt idx="1148">
                  <c:v>21.314579999999996</c:v>
                </c:pt>
                <c:pt idx="1149">
                  <c:v>21.322692</c:v>
                </c:pt>
                <c:pt idx="1150">
                  <c:v>21.342161999999998</c:v>
                </c:pt>
                <c:pt idx="1151">
                  <c:v>21.372989</c:v>
                </c:pt>
                <c:pt idx="1152">
                  <c:v>21.385968999999999</c:v>
                </c:pt>
                <c:pt idx="1153">
                  <c:v>21.407061000000002</c:v>
                </c:pt>
                <c:pt idx="1154">
                  <c:v>21.433020000000003</c:v>
                </c:pt>
                <c:pt idx="1155">
                  <c:v>21.449245000000001</c:v>
                </c:pt>
                <c:pt idx="1156">
                  <c:v>21.46547</c:v>
                </c:pt>
                <c:pt idx="1157">
                  <c:v>21.491429</c:v>
                </c:pt>
                <c:pt idx="1158">
                  <c:v>21.517388999999998</c:v>
                </c:pt>
                <c:pt idx="1159">
                  <c:v>21.535236000000001</c:v>
                </c:pt>
                <c:pt idx="1160">
                  <c:v>21.548215000000003</c:v>
                </c:pt>
                <c:pt idx="1161">
                  <c:v>21.574175</c:v>
                </c:pt>
                <c:pt idx="1162">
                  <c:v>21.579041999999998</c:v>
                </c:pt>
                <c:pt idx="1163">
                  <c:v>21.622848999999999</c:v>
                </c:pt>
                <c:pt idx="1164">
                  <c:v>21.634206000000002</c:v>
                </c:pt>
                <c:pt idx="1165">
                  <c:v>21.648808999999996</c:v>
                </c:pt>
                <c:pt idx="1166">
                  <c:v>21.661787999999998</c:v>
                </c:pt>
                <c:pt idx="1167">
                  <c:v>21.668277999999997</c:v>
                </c:pt>
                <c:pt idx="1168">
                  <c:v>21.682880000000001</c:v>
                </c:pt>
                <c:pt idx="1169">
                  <c:v>21.68937</c:v>
                </c:pt>
                <c:pt idx="1170">
                  <c:v>21.703971999999997</c:v>
                </c:pt>
                <c:pt idx="1171">
                  <c:v>21.705594999999999</c:v>
                </c:pt>
                <c:pt idx="1172">
                  <c:v>21.716952000000003</c:v>
                </c:pt>
                <c:pt idx="1173">
                  <c:v>21.733177000000001</c:v>
                </c:pt>
                <c:pt idx="1174">
                  <c:v>21.747778999999998</c:v>
                </c:pt>
                <c:pt idx="1175">
                  <c:v>21.759136000000002</c:v>
                </c:pt>
                <c:pt idx="1176">
                  <c:v>21.764003999999996</c:v>
                </c:pt>
                <c:pt idx="1177">
                  <c:v>21.775361</c:v>
                </c:pt>
                <c:pt idx="1178">
                  <c:v>21.780227999999997</c:v>
                </c:pt>
                <c:pt idx="1179">
                  <c:v>21.798075999999998</c:v>
                </c:pt>
                <c:pt idx="1180">
                  <c:v>21.812678000000002</c:v>
                </c:pt>
                <c:pt idx="1181">
                  <c:v>21.80781</c:v>
                </c:pt>
                <c:pt idx="1182">
                  <c:v>21.835392000000002</c:v>
                </c:pt>
                <c:pt idx="1183">
                  <c:v>21.853239999999996</c:v>
                </c:pt>
                <c:pt idx="1184">
                  <c:v>21.862973999999998</c:v>
                </c:pt>
                <c:pt idx="1185">
                  <c:v>21.867842</c:v>
                </c:pt>
                <c:pt idx="1186">
                  <c:v>21.884066000000001</c:v>
                </c:pt>
                <c:pt idx="1187">
                  <c:v>21.888934000000003</c:v>
                </c:pt>
                <c:pt idx="1188">
                  <c:v>21.890556</c:v>
                </c:pt>
                <c:pt idx="1189">
                  <c:v>21.910025999999998</c:v>
                </c:pt>
                <c:pt idx="1190">
                  <c:v>21.924628000000002</c:v>
                </c:pt>
                <c:pt idx="1191">
                  <c:v>21.932739999999999</c:v>
                </c:pt>
                <c:pt idx="1192">
                  <c:v>21.947343</c:v>
                </c:pt>
                <c:pt idx="1193">
                  <c:v>21.948964999999998</c:v>
                </c:pt>
                <c:pt idx="1194">
                  <c:v>21.973302</c:v>
                </c:pt>
                <c:pt idx="1195">
                  <c:v>21.979792</c:v>
                </c:pt>
                <c:pt idx="1196">
                  <c:v>21.987903999999997</c:v>
                </c:pt>
                <c:pt idx="1197">
                  <c:v>22.000884000000003</c:v>
                </c:pt>
                <c:pt idx="1198">
                  <c:v>22.018730999999999</c:v>
                </c:pt>
                <c:pt idx="1199">
                  <c:v>22.051180999999996</c:v>
                </c:pt>
                <c:pt idx="1200">
                  <c:v>22.046313000000001</c:v>
                </c:pt>
                <c:pt idx="1201">
                  <c:v>22.043068000000002</c:v>
                </c:pt>
                <c:pt idx="1202">
                  <c:v>22.059293</c:v>
                </c:pt>
                <c:pt idx="1203">
                  <c:v>22.070649999999997</c:v>
                </c:pt>
                <c:pt idx="1204">
                  <c:v>22.078762999999999</c:v>
                </c:pt>
                <c:pt idx="1205">
                  <c:v>22.093365000000002</c:v>
                </c:pt>
                <c:pt idx="1206">
                  <c:v>22.104721999999999</c:v>
                </c:pt>
                <c:pt idx="1207">
                  <c:v>22.114456999999998</c:v>
                </c:pt>
                <c:pt idx="1208">
                  <c:v>22.132304000000001</c:v>
                </c:pt>
                <c:pt idx="1209">
                  <c:v>22.127436999999997</c:v>
                </c:pt>
                <c:pt idx="1210">
                  <c:v>22.143660999999998</c:v>
                </c:pt>
                <c:pt idx="1211">
                  <c:v>22.169621000000003</c:v>
                </c:pt>
                <c:pt idx="1212">
                  <c:v>22.171243</c:v>
                </c:pt>
                <c:pt idx="1213">
                  <c:v>22.180978</c:v>
                </c:pt>
                <c:pt idx="1214">
                  <c:v>22.192334999999996</c:v>
                </c:pt>
                <c:pt idx="1215">
                  <c:v>22.195579999999996</c:v>
                </c:pt>
                <c:pt idx="1216">
                  <c:v>22.213426999999999</c:v>
                </c:pt>
                <c:pt idx="1217">
                  <c:v>22.224785000000001</c:v>
                </c:pt>
                <c:pt idx="1218">
                  <c:v>22.242631999999997</c:v>
                </c:pt>
                <c:pt idx="1219">
                  <c:v>22.250744000000001</c:v>
                </c:pt>
                <c:pt idx="1220">
                  <c:v>22.268590999999997</c:v>
                </c:pt>
                <c:pt idx="1221">
                  <c:v>22.278325999999996</c:v>
                </c:pt>
                <c:pt idx="1222">
                  <c:v>22.279948999999998</c:v>
                </c:pt>
                <c:pt idx="1223">
                  <c:v>22.296173</c:v>
                </c:pt>
                <c:pt idx="1224">
                  <c:v>22.309152999999998</c:v>
                </c:pt>
                <c:pt idx="1225">
                  <c:v>22.312397999999998</c:v>
                </c:pt>
                <c:pt idx="1226">
                  <c:v>22.322132999999997</c:v>
                </c:pt>
                <c:pt idx="1227">
                  <c:v>22.338356999999998</c:v>
                </c:pt>
                <c:pt idx="1228">
                  <c:v>22.348091999999998</c:v>
                </c:pt>
                <c:pt idx="1229">
                  <c:v>22.361071999999997</c:v>
                </c:pt>
                <c:pt idx="1230">
                  <c:v>22.370807000000003</c:v>
                </c:pt>
                <c:pt idx="1231">
                  <c:v>22.382164</c:v>
                </c:pt>
                <c:pt idx="1232">
                  <c:v>22.391898999999999</c:v>
                </c:pt>
                <c:pt idx="1233">
                  <c:v>22.409746000000002</c:v>
                </c:pt>
                <c:pt idx="1234">
                  <c:v>22.412991000000002</c:v>
                </c:pt>
                <c:pt idx="1235">
                  <c:v>22.430837999999998</c:v>
                </c:pt>
                <c:pt idx="1236">
                  <c:v>22.450307999999996</c:v>
                </c:pt>
                <c:pt idx="1237">
                  <c:v>22.450307999999996</c:v>
                </c:pt>
                <c:pt idx="1238">
                  <c:v>22.471399999999999</c:v>
                </c:pt>
                <c:pt idx="1239">
                  <c:v>22.477889999999999</c:v>
                </c:pt>
                <c:pt idx="1240">
                  <c:v>22.481134999999998</c:v>
                </c:pt>
                <c:pt idx="1241">
                  <c:v>22.492492000000002</c:v>
                </c:pt>
                <c:pt idx="1242">
                  <c:v>22.513583999999998</c:v>
                </c:pt>
                <c:pt idx="1243">
                  <c:v>22.526563999999997</c:v>
                </c:pt>
                <c:pt idx="1244">
                  <c:v>22.536297999999999</c:v>
                </c:pt>
                <c:pt idx="1245">
                  <c:v>22.552522999999997</c:v>
                </c:pt>
                <c:pt idx="1246">
                  <c:v>22.557390999999999</c:v>
                </c:pt>
                <c:pt idx="1247">
                  <c:v>22.575238000000002</c:v>
                </c:pt>
                <c:pt idx="1248">
                  <c:v>22.57686</c:v>
                </c:pt>
                <c:pt idx="1249">
                  <c:v>22.596329999999998</c:v>
                </c:pt>
                <c:pt idx="1250">
                  <c:v>22.612553999999999</c:v>
                </c:pt>
                <c:pt idx="1251">
                  <c:v>22.627157</c:v>
                </c:pt>
                <c:pt idx="1252">
                  <c:v>22.641758999999997</c:v>
                </c:pt>
                <c:pt idx="1253">
                  <c:v>22.636891000000002</c:v>
                </c:pt>
                <c:pt idx="1254">
                  <c:v>22.651493999999996</c:v>
                </c:pt>
                <c:pt idx="1255">
                  <c:v>22.657982999999998</c:v>
                </c:pt>
                <c:pt idx="1256">
                  <c:v>22.672585999999999</c:v>
                </c:pt>
                <c:pt idx="1257">
                  <c:v>22.679075999999998</c:v>
                </c:pt>
                <c:pt idx="1258">
                  <c:v>22.698544999999999</c:v>
                </c:pt>
                <c:pt idx="1259">
                  <c:v>22.713147000000003</c:v>
                </c:pt>
                <c:pt idx="1260">
                  <c:v>22.734238999999999</c:v>
                </c:pt>
                <c:pt idx="1261">
                  <c:v>22.734238999999999</c:v>
                </c:pt>
                <c:pt idx="1262">
                  <c:v>22.748842</c:v>
                </c:pt>
                <c:pt idx="1263">
                  <c:v>22.763443999999996</c:v>
                </c:pt>
                <c:pt idx="1264">
                  <c:v>22.761821000000001</c:v>
                </c:pt>
                <c:pt idx="1265">
                  <c:v>22.781291</c:v>
                </c:pt>
                <c:pt idx="1266">
                  <c:v>22.787780999999999</c:v>
                </c:pt>
                <c:pt idx="1267">
                  <c:v>22.797515999999998</c:v>
                </c:pt>
                <c:pt idx="1268">
                  <c:v>22.828343</c:v>
                </c:pt>
                <c:pt idx="1269">
                  <c:v>22.820229999999999</c:v>
                </c:pt>
                <c:pt idx="1270">
                  <c:v>22.834832000000002</c:v>
                </c:pt>
                <c:pt idx="1271">
                  <c:v>22.857547</c:v>
                </c:pt>
                <c:pt idx="1272">
                  <c:v>22.851057000000001</c:v>
                </c:pt>
                <c:pt idx="1273">
                  <c:v>22.875393999999996</c:v>
                </c:pt>
                <c:pt idx="1274">
                  <c:v>22.889996</c:v>
                </c:pt>
                <c:pt idx="1275">
                  <c:v>22.899730999999999</c:v>
                </c:pt>
                <c:pt idx="1276">
                  <c:v>22.906220999999999</c:v>
                </c:pt>
                <c:pt idx="1277">
                  <c:v>22.927313000000002</c:v>
                </c:pt>
                <c:pt idx="1278">
                  <c:v>22.925690999999997</c:v>
                </c:pt>
                <c:pt idx="1279">
                  <c:v>22.950028</c:v>
                </c:pt>
                <c:pt idx="1280">
                  <c:v>22.948404999999998</c:v>
                </c:pt>
                <c:pt idx="1281">
                  <c:v>22.972742</c:v>
                </c:pt>
                <c:pt idx="1282">
                  <c:v>22.984098999999997</c:v>
                </c:pt>
                <c:pt idx="1283">
                  <c:v>22.984098999999997</c:v>
                </c:pt>
                <c:pt idx="1284">
                  <c:v>23.023039000000001</c:v>
                </c:pt>
                <c:pt idx="1285">
                  <c:v>23.011680999999999</c:v>
                </c:pt>
                <c:pt idx="1286">
                  <c:v>23.026282999999996</c:v>
                </c:pt>
                <c:pt idx="1287">
                  <c:v>23.044130999999997</c:v>
                </c:pt>
                <c:pt idx="1288">
                  <c:v>23.053864999999998</c:v>
                </c:pt>
                <c:pt idx="1289">
                  <c:v>23.070089999999997</c:v>
                </c:pt>
                <c:pt idx="1290">
                  <c:v>23.068467999999999</c:v>
                </c:pt>
                <c:pt idx="1291">
                  <c:v>23.083070000000003</c:v>
                </c:pt>
                <c:pt idx="1292">
                  <c:v>23.091182</c:v>
                </c:pt>
                <c:pt idx="1293">
                  <c:v>23.110651999999998</c:v>
                </c:pt>
                <c:pt idx="1294">
                  <c:v>23.110651999999998</c:v>
                </c:pt>
                <c:pt idx="1295">
                  <c:v>23.120386999999997</c:v>
                </c:pt>
                <c:pt idx="1296">
                  <c:v>23.151213000000002</c:v>
                </c:pt>
                <c:pt idx="1297">
                  <c:v>23.154458000000002</c:v>
                </c:pt>
                <c:pt idx="1298">
                  <c:v>23.167438000000001</c:v>
                </c:pt>
                <c:pt idx="1299">
                  <c:v>23.175549999999998</c:v>
                </c:pt>
                <c:pt idx="1300">
                  <c:v>23.208000000000002</c:v>
                </c:pt>
                <c:pt idx="1301">
                  <c:v>23.203132</c:v>
                </c:pt>
                <c:pt idx="1302">
                  <c:v>23.219356999999999</c:v>
                </c:pt>
                <c:pt idx="1303">
                  <c:v>23.230714000000003</c:v>
                </c:pt>
                <c:pt idx="1304">
                  <c:v>23.237204000000002</c:v>
                </c:pt>
                <c:pt idx="1305">
                  <c:v>23.253429000000001</c:v>
                </c:pt>
                <c:pt idx="1306">
                  <c:v>23.256674</c:v>
                </c:pt>
                <c:pt idx="1307">
                  <c:v>23.261540999999998</c:v>
                </c:pt>
                <c:pt idx="1308">
                  <c:v>23.290744999999998</c:v>
                </c:pt>
                <c:pt idx="1309">
                  <c:v>23.295612999999999</c:v>
                </c:pt>
                <c:pt idx="1310">
                  <c:v>23.308592999999998</c:v>
                </c:pt>
                <c:pt idx="1311">
                  <c:v>23.324816999999999</c:v>
                </c:pt>
                <c:pt idx="1312">
                  <c:v>23.334551999999999</c:v>
                </c:pt>
                <c:pt idx="1313">
                  <c:v>23.357266999999997</c:v>
                </c:pt>
                <c:pt idx="1314">
                  <c:v>23.358889000000001</c:v>
                </c:pt>
                <c:pt idx="1315">
                  <c:v>23.371869</c:v>
                </c:pt>
                <c:pt idx="1316">
                  <c:v>23.418919999999996</c:v>
                </c:pt>
                <c:pt idx="1317">
                  <c:v>23.422164999999996</c:v>
                </c:pt>
                <c:pt idx="1318">
                  <c:v>23.456236999999998</c:v>
                </c:pt>
                <c:pt idx="1319">
                  <c:v>23.482197000000003</c:v>
                </c:pt>
                <c:pt idx="1320">
                  <c:v>23.504910999999996</c:v>
                </c:pt>
                <c:pt idx="1321">
                  <c:v>23.529247999999999</c:v>
                </c:pt>
                <c:pt idx="1322">
                  <c:v>23.551962999999997</c:v>
                </c:pt>
                <c:pt idx="1323">
                  <c:v>23.584411999999997</c:v>
                </c:pt>
                <c:pt idx="1324">
                  <c:v>23.616860999999997</c:v>
                </c:pt>
                <c:pt idx="1325">
                  <c:v>23.649311000000001</c:v>
                </c:pt>
                <c:pt idx="1326">
                  <c:v>23.670402999999997</c:v>
                </c:pt>
                <c:pt idx="1327">
                  <c:v>23.697984000000002</c:v>
                </c:pt>
                <c:pt idx="1328">
                  <c:v>23.728810999999997</c:v>
                </c:pt>
                <c:pt idx="1329">
                  <c:v>23.756392999999999</c:v>
                </c:pt>
                <c:pt idx="1330">
                  <c:v>23.787220000000001</c:v>
                </c:pt>
                <c:pt idx="1331">
                  <c:v>23.808311999999997</c:v>
                </c:pt>
                <c:pt idx="1332">
                  <c:v>23.845628999999999</c:v>
                </c:pt>
                <c:pt idx="1333">
                  <c:v>23.850495999999996</c:v>
                </c:pt>
                <c:pt idx="1334">
                  <c:v>23.873211000000001</c:v>
                </c:pt>
                <c:pt idx="1335">
                  <c:v>23.902415000000001</c:v>
                </c:pt>
                <c:pt idx="1336">
                  <c:v>23.933241999999996</c:v>
                </c:pt>
                <c:pt idx="1337">
                  <c:v>23.954333999999999</c:v>
                </c:pt>
                <c:pt idx="1338">
                  <c:v>23.993272999999999</c:v>
                </c:pt>
                <c:pt idx="1339">
                  <c:v>24.003007999999998</c:v>
                </c:pt>
                <c:pt idx="1340">
                  <c:v>24.032211999999998</c:v>
                </c:pt>
                <c:pt idx="1341">
                  <c:v>24.059794</c:v>
                </c:pt>
                <c:pt idx="1342">
                  <c:v>24.077640999999996</c:v>
                </c:pt>
                <c:pt idx="1343">
                  <c:v>24.105222999999999</c:v>
                </c:pt>
                <c:pt idx="1344">
                  <c:v>24.136050000000001</c:v>
                </c:pt>
                <c:pt idx="1345">
                  <c:v>24.150651999999997</c:v>
                </c:pt>
                <c:pt idx="1346">
                  <c:v>24.186347000000001</c:v>
                </c:pt>
                <c:pt idx="1347">
                  <c:v>24.200948999999998</c:v>
                </c:pt>
                <c:pt idx="1348">
                  <c:v>24.246377999999996</c:v>
                </c:pt>
                <c:pt idx="1349">
                  <c:v>24.246377999999996</c:v>
                </c:pt>
                <c:pt idx="1350">
                  <c:v>24.278826999999996</c:v>
                </c:pt>
                <c:pt idx="1351">
                  <c:v>24.306408999999999</c:v>
                </c:pt>
                <c:pt idx="1352">
                  <c:v>24.332367999999999</c:v>
                </c:pt>
                <c:pt idx="1353">
                  <c:v>24.366440000000001</c:v>
                </c:pt>
                <c:pt idx="1354">
                  <c:v>24.382664999999999</c:v>
                </c:pt>
                <c:pt idx="1355">
                  <c:v>24.424848999999998</c:v>
                </c:pt>
                <c:pt idx="1356">
                  <c:v>24.449186000000001</c:v>
                </c:pt>
                <c:pt idx="1357">
                  <c:v>24.462166</c:v>
                </c:pt>
                <c:pt idx="1358">
                  <c:v>24.496236999999997</c:v>
                </c:pt>
                <c:pt idx="1359">
                  <c:v>24.515707000000003</c:v>
                </c:pt>
                <c:pt idx="1360">
                  <c:v>24.546533999999998</c:v>
                </c:pt>
                <c:pt idx="1361">
                  <c:v>24.572492999999998</c:v>
                </c:pt>
                <c:pt idx="1362">
                  <c:v>24.604943000000002</c:v>
                </c:pt>
                <c:pt idx="1363">
                  <c:v>24.640637000000002</c:v>
                </c:pt>
                <c:pt idx="1364">
                  <c:v>24.666596000000002</c:v>
                </c:pt>
                <c:pt idx="1365">
                  <c:v>24.687687999999998</c:v>
                </c:pt>
                <c:pt idx="1366">
                  <c:v>24.710402999999996</c:v>
                </c:pt>
                <c:pt idx="1367">
                  <c:v>24.737984999999998</c:v>
                </c:pt>
                <c:pt idx="1368">
                  <c:v>24.770433999999998</c:v>
                </c:pt>
                <c:pt idx="1369">
                  <c:v>24.807751</c:v>
                </c:pt>
                <c:pt idx="1370">
                  <c:v>24.823975000000001</c:v>
                </c:pt>
                <c:pt idx="1371">
                  <c:v>24.853179999999998</c:v>
                </c:pt>
                <c:pt idx="1372">
                  <c:v>24.888873999999998</c:v>
                </c:pt>
                <c:pt idx="1373">
                  <c:v>24.919701</c:v>
                </c:pt>
                <c:pt idx="1374">
                  <c:v>24.939170000000001</c:v>
                </c:pt>
                <c:pt idx="1375">
                  <c:v>24.974864</c:v>
                </c:pt>
                <c:pt idx="1376">
                  <c:v>25.004068999999998</c:v>
                </c:pt>
                <c:pt idx="1377">
                  <c:v>25.023537999999999</c:v>
                </c:pt>
                <c:pt idx="1378">
                  <c:v>25.059233000000003</c:v>
                </c:pt>
                <c:pt idx="1379">
                  <c:v>25.083569999999998</c:v>
                </c:pt>
                <c:pt idx="1380">
                  <c:v>25.116018999999998</c:v>
                </c:pt>
                <c:pt idx="1381">
                  <c:v>25.143601</c:v>
                </c:pt>
                <c:pt idx="1382">
                  <c:v>25.179295</c:v>
                </c:pt>
                <c:pt idx="1383">
                  <c:v>25.200387000000003</c:v>
                </c:pt>
                <c:pt idx="1384">
                  <c:v>25.234458999999998</c:v>
                </c:pt>
                <c:pt idx="1385">
                  <c:v>25.266907999999997</c:v>
                </c:pt>
                <c:pt idx="1386">
                  <c:v>25.305846999999996</c:v>
                </c:pt>
                <c:pt idx="1387">
                  <c:v>25.322072000000002</c:v>
                </c:pt>
                <c:pt idx="1388">
                  <c:v>25.361011000000001</c:v>
                </c:pt>
                <c:pt idx="1389">
                  <c:v>25.396705000000001</c:v>
                </c:pt>
                <c:pt idx="1390">
                  <c:v>25.429154</c:v>
                </c:pt>
                <c:pt idx="1391">
                  <c:v>25.463226000000002</c:v>
                </c:pt>
                <c:pt idx="1392">
                  <c:v>25.477827999999999</c:v>
                </c:pt>
                <c:pt idx="1393">
                  <c:v>25.507032999999996</c:v>
                </c:pt>
                <c:pt idx="1394">
                  <c:v>25.544349</c:v>
                </c:pt>
                <c:pt idx="1395">
                  <c:v>25.567063999999998</c:v>
                </c:pt>
                <c:pt idx="1396">
                  <c:v>25.602757999999998</c:v>
                </c:pt>
                <c:pt idx="1397">
                  <c:v>25.631961999999998</c:v>
                </c:pt>
                <c:pt idx="1398">
                  <c:v>25.662789</c:v>
                </c:pt>
                <c:pt idx="1399">
                  <c:v>25.704972999999999</c:v>
                </c:pt>
                <c:pt idx="1400">
                  <c:v>25.727687999999997</c:v>
                </c:pt>
                <c:pt idx="1401">
                  <c:v>25.761759000000001</c:v>
                </c:pt>
                <c:pt idx="1402">
                  <c:v>25.802321000000003</c:v>
                </c:pt>
                <c:pt idx="1403">
                  <c:v>25.826657999999998</c:v>
                </c:pt>
                <c:pt idx="1404">
                  <c:v>25.898045999999997</c:v>
                </c:pt>
                <c:pt idx="1405">
                  <c:v>25.901290999999997</c:v>
                </c:pt>
                <c:pt idx="1406">
                  <c:v>25.930496000000002</c:v>
                </c:pt>
                <c:pt idx="1407">
                  <c:v>25.962945000000001</c:v>
                </c:pt>
                <c:pt idx="1408">
                  <c:v>26.005129</c:v>
                </c:pt>
                <c:pt idx="1409">
                  <c:v>26.044067999999999</c:v>
                </c:pt>
                <c:pt idx="1410">
                  <c:v>26.065160000000002</c:v>
                </c:pt>
                <c:pt idx="1411">
                  <c:v>26.097609000000002</c:v>
                </c:pt>
                <c:pt idx="1412">
                  <c:v>26.143038000000001</c:v>
                </c:pt>
                <c:pt idx="1413">
                  <c:v>26.173865000000003</c:v>
                </c:pt>
                <c:pt idx="1414">
                  <c:v>26.206314000000003</c:v>
                </c:pt>
                <c:pt idx="1415">
                  <c:v>26.243630999999997</c:v>
                </c:pt>
                <c:pt idx="1416">
                  <c:v>26.293927</c:v>
                </c:pt>
                <c:pt idx="1417">
                  <c:v>26.319886999999998</c:v>
                </c:pt>
                <c:pt idx="1418">
                  <c:v>26.349090999999998</c:v>
                </c:pt>
                <c:pt idx="1419">
                  <c:v>26.386407999999999</c:v>
                </c:pt>
                <c:pt idx="1420">
                  <c:v>26.422101999999999</c:v>
                </c:pt>
                <c:pt idx="1421">
                  <c:v>26.459417999999996</c:v>
                </c:pt>
                <c:pt idx="1422">
                  <c:v>26.496734999999997</c:v>
                </c:pt>
                <c:pt idx="1423">
                  <c:v>26.555144000000002</c:v>
                </c:pt>
                <c:pt idx="1424">
                  <c:v>26.572990999999998</c:v>
                </c:pt>
                <c:pt idx="1425">
                  <c:v>26.595704999999999</c:v>
                </c:pt>
                <c:pt idx="1426">
                  <c:v>26.603818</c:v>
                </c:pt>
                <c:pt idx="1427">
                  <c:v>26.629777000000001</c:v>
                </c:pt>
                <c:pt idx="1428">
                  <c:v>26.633022</c:v>
                </c:pt>
                <c:pt idx="1429">
                  <c:v>26.646001999999999</c:v>
                </c:pt>
                <c:pt idx="1430">
                  <c:v>26.673582999999997</c:v>
                </c:pt>
                <c:pt idx="1431">
                  <c:v>26.710899999999999</c:v>
                </c:pt>
                <c:pt idx="1432">
                  <c:v>26.757951000000002</c:v>
                </c:pt>
                <c:pt idx="1433">
                  <c:v>26.796890999999999</c:v>
                </c:pt>
                <c:pt idx="1434">
                  <c:v>26.847187000000002</c:v>
                </c:pt>
                <c:pt idx="1435">
                  <c:v>26.895861</c:v>
                </c:pt>
                <c:pt idx="1436">
                  <c:v>26.929931999999997</c:v>
                </c:pt>
                <c:pt idx="1437">
                  <c:v>26.981851000000002</c:v>
                </c:pt>
                <c:pt idx="1438">
                  <c:v>27.033770000000001</c:v>
                </c:pt>
                <c:pt idx="1439">
                  <c:v>27.087310999999996</c:v>
                </c:pt>
                <c:pt idx="1440">
                  <c:v>27.116516000000001</c:v>
                </c:pt>
                <c:pt idx="1441">
                  <c:v>27.155455</c:v>
                </c:pt>
                <c:pt idx="1442">
                  <c:v>27.202505999999996</c:v>
                </c:pt>
                <c:pt idx="1443">
                  <c:v>27.244690000000002</c:v>
                </c:pt>
                <c:pt idx="1444">
                  <c:v>27.304720999999997</c:v>
                </c:pt>
                <c:pt idx="1445">
                  <c:v>27.338792999999999</c:v>
                </c:pt>
                <c:pt idx="1446">
                  <c:v>27.387466999999997</c:v>
                </c:pt>
                <c:pt idx="1447">
                  <c:v>27.437763</c:v>
                </c:pt>
                <c:pt idx="1448">
                  <c:v>27.478323999999997</c:v>
                </c:pt>
                <c:pt idx="1449">
                  <c:v>27.548089999999998</c:v>
                </c:pt>
                <c:pt idx="1450">
                  <c:v>27.593518999999997</c:v>
                </c:pt>
                <c:pt idx="1451">
                  <c:v>27.634080999999998</c:v>
                </c:pt>
                <c:pt idx="1452">
                  <c:v>27.679509999999997</c:v>
                </c:pt>
                <c:pt idx="1453">
                  <c:v>27.731427999999998</c:v>
                </c:pt>
                <c:pt idx="1454">
                  <c:v>27.778479999999998</c:v>
                </c:pt>
                <c:pt idx="1455">
                  <c:v>27.822286000000002</c:v>
                </c:pt>
                <c:pt idx="1456">
                  <c:v>27.874205</c:v>
                </c:pt>
                <c:pt idx="1457">
                  <c:v>27.921255999999996</c:v>
                </c:pt>
                <c:pt idx="1458">
                  <c:v>27.98291</c:v>
                </c:pt>
                <c:pt idx="1459">
                  <c:v>28.029960999999997</c:v>
                </c:pt>
                <c:pt idx="1460">
                  <c:v>28.073767999999998</c:v>
                </c:pt>
                <c:pt idx="1461">
                  <c:v>28.122440999999998</c:v>
                </c:pt>
                <c:pt idx="1462">
                  <c:v>28.177604999999996</c:v>
                </c:pt>
                <c:pt idx="1463">
                  <c:v>28.231145999999999</c:v>
                </c:pt>
                <c:pt idx="1464">
                  <c:v>28.278198</c:v>
                </c:pt>
                <c:pt idx="1465">
                  <c:v>28.338229000000002</c:v>
                </c:pt>
                <c:pt idx="1466">
                  <c:v>28.331739000000002</c:v>
                </c:pt>
                <c:pt idx="1467">
                  <c:v>28.372299999999999</c:v>
                </c:pt>
                <c:pt idx="1468">
                  <c:v>28.393392000000002</c:v>
                </c:pt>
                <c:pt idx="1469">
                  <c:v>28.411238999999998</c:v>
                </c:pt>
                <c:pt idx="1470">
                  <c:v>28.445311</c:v>
                </c:pt>
                <c:pt idx="1471">
                  <c:v>28.476138000000002</c:v>
                </c:pt>
                <c:pt idx="1472">
                  <c:v>28.492361999999996</c:v>
                </c:pt>
                <c:pt idx="1473">
                  <c:v>28.518322000000001</c:v>
                </c:pt>
                <c:pt idx="1474">
                  <c:v>28.536168999999997</c:v>
                </c:pt>
                <c:pt idx="1475">
                  <c:v>28.566995000000002</c:v>
                </c:pt>
                <c:pt idx="1476">
                  <c:v>28.581597999999996</c:v>
                </c:pt>
                <c:pt idx="1477">
                  <c:v>28.605934000000001</c:v>
                </c:pt>
                <c:pt idx="1478">
                  <c:v>28.636760999999996</c:v>
                </c:pt>
                <c:pt idx="1479">
                  <c:v>28.661097999999999</c:v>
                </c:pt>
                <c:pt idx="1480">
                  <c:v>28.688680000000002</c:v>
                </c:pt>
                <c:pt idx="1481">
                  <c:v>28.708149000000002</c:v>
                </c:pt>
                <c:pt idx="1482">
                  <c:v>28.734109</c:v>
                </c:pt>
                <c:pt idx="1483">
                  <c:v>28.758446000000003</c:v>
                </c:pt>
                <c:pt idx="1484">
                  <c:v>28.786027999999998</c:v>
                </c:pt>
                <c:pt idx="1485">
                  <c:v>28.799007</c:v>
                </c:pt>
                <c:pt idx="1486">
                  <c:v>28.834700999999999</c:v>
                </c:pt>
                <c:pt idx="1487">
                  <c:v>28.854170999999997</c:v>
                </c:pt>
                <c:pt idx="1488">
                  <c:v>28.881753</c:v>
                </c:pt>
                <c:pt idx="1489">
                  <c:v>28.906090000000003</c:v>
                </c:pt>
                <c:pt idx="1490">
                  <c:v>28.932049000000003</c:v>
                </c:pt>
                <c:pt idx="1491">
                  <c:v>28.954762999999996</c:v>
                </c:pt>
                <c:pt idx="1492">
                  <c:v>28.985589999999998</c:v>
                </c:pt>
                <c:pt idx="1493">
                  <c:v>28.996947000000002</c:v>
                </c:pt>
                <c:pt idx="1494">
                  <c:v>29.027773999999997</c:v>
                </c:pt>
                <c:pt idx="1495">
                  <c:v>29.045621000000001</c:v>
                </c:pt>
                <c:pt idx="1496">
                  <c:v>29.076448000000003</c:v>
                </c:pt>
                <c:pt idx="1497">
                  <c:v>29.095916999999996</c:v>
                </c:pt>
                <c:pt idx="1498">
                  <c:v>29.133233999999998</c:v>
                </c:pt>
                <c:pt idx="1499">
                  <c:v>29.146213999999997</c:v>
                </c:pt>
                <c:pt idx="1500">
                  <c:v>29.183530000000001</c:v>
                </c:pt>
                <c:pt idx="1501">
                  <c:v>29.202999999999999</c:v>
                </c:pt>
                <c:pt idx="1502">
                  <c:v>29.233825999999997</c:v>
                </c:pt>
                <c:pt idx="1503">
                  <c:v>29.256541000000002</c:v>
                </c:pt>
                <c:pt idx="1504">
                  <c:v>29.284122999999997</c:v>
                </c:pt>
                <c:pt idx="1505">
                  <c:v>29.310081999999998</c:v>
                </c:pt>
                <c:pt idx="1506">
                  <c:v>29.334419</c:v>
                </c:pt>
                <c:pt idx="1507">
                  <c:v>29.358755999999996</c:v>
                </c:pt>
                <c:pt idx="1508">
                  <c:v>29.392827</c:v>
                </c:pt>
                <c:pt idx="1509">
                  <c:v>29.417163999999996</c:v>
                </c:pt>
                <c:pt idx="1510">
                  <c:v>29.451235999999998</c:v>
                </c:pt>
                <c:pt idx="1511">
                  <c:v>29.473949999999999</c:v>
                </c:pt>
                <c:pt idx="1512">
                  <c:v>29.509643999999998</c:v>
                </c:pt>
                <c:pt idx="1513">
                  <c:v>29.532358999999996</c:v>
                </c:pt>
                <c:pt idx="1514">
                  <c:v>29.555072999999997</c:v>
                </c:pt>
                <c:pt idx="1515">
                  <c:v>29.589144999999998</c:v>
                </c:pt>
                <c:pt idx="1516">
                  <c:v>29.616727000000001</c:v>
                </c:pt>
                <c:pt idx="1517">
                  <c:v>29.647552999999998</c:v>
                </c:pt>
                <c:pt idx="1518">
                  <c:v>29.670267999999997</c:v>
                </c:pt>
                <c:pt idx="1519">
                  <c:v>29.69136</c:v>
                </c:pt>
                <c:pt idx="1520">
                  <c:v>29.722185999999997</c:v>
                </c:pt>
                <c:pt idx="1521">
                  <c:v>29.748146000000002</c:v>
                </c:pt>
                <c:pt idx="1522">
                  <c:v>29.777350000000002</c:v>
                </c:pt>
                <c:pt idx="1523">
                  <c:v>29.816289000000001</c:v>
                </c:pt>
                <c:pt idx="1524">
                  <c:v>29.830890999999998</c:v>
                </c:pt>
                <c:pt idx="1525">
                  <c:v>29.892545000000002</c:v>
                </c:pt>
                <c:pt idx="1526">
                  <c:v>29.903901999999999</c:v>
                </c:pt>
                <c:pt idx="1527">
                  <c:v>29.939595999999998</c:v>
                </c:pt>
                <c:pt idx="1528">
                  <c:v>29.978534999999997</c:v>
                </c:pt>
                <c:pt idx="1529">
                  <c:v>30.002872</c:v>
                </c:pt>
                <c:pt idx="1530">
                  <c:v>30.043432999999997</c:v>
                </c:pt>
                <c:pt idx="1531">
                  <c:v>30.062903000000002</c:v>
                </c:pt>
                <c:pt idx="1532">
                  <c:v>30.100218999999999</c:v>
                </c:pt>
                <c:pt idx="1533">
                  <c:v>30.126178999999997</c:v>
                </c:pt>
                <c:pt idx="1534">
                  <c:v>30.161872999999996</c:v>
                </c:pt>
                <c:pt idx="1535">
                  <c:v>30.189454000000001</c:v>
                </c:pt>
                <c:pt idx="1536">
                  <c:v>30.218658999999999</c:v>
                </c:pt>
                <c:pt idx="1537">
                  <c:v>30.260842999999998</c:v>
                </c:pt>
                <c:pt idx="1538">
                  <c:v>30.291669000000002</c:v>
                </c:pt>
                <c:pt idx="1539">
                  <c:v>30.314384</c:v>
                </c:pt>
                <c:pt idx="1540">
                  <c:v>30.350078</c:v>
                </c:pt>
                <c:pt idx="1541">
                  <c:v>30.376037</c:v>
                </c:pt>
                <c:pt idx="1542">
                  <c:v>30.406864000000002</c:v>
                </c:pt>
                <c:pt idx="1543">
                  <c:v>30.442558000000002</c:v>
                </c:pt>
                <c:pt idx="1544">
                  <c:v>30.463649999999998</c:v>
                </c:pt>
                <c:pt idx="1545">
                  <c:v>30.500966000000002</c:v>
                </c:pt>
                <c:pt idx="1546">
                  <c:v>30.536660000000001</c:v>
                </c:pt>
                <c:pt idx="1547">
                  <c:v>30.603181000000003</c:v>
                </c:pt>
                <c:pt idx="1548">
                  <c:v>30.595068999999999</c:v>
                </c:pt>
                <c:pt idx="1549">
                  <c:v>30.640497999999997</c:v>
                </c:pt>
                <c:pt idx="1550">
                  <c:v>30.656721999999998</c:v>
                </c:pt>
                <c:pt idx="1551">
                  <c:v>30.705395999999997</c:v>
                </c:pt>
                <c:pt idx="1552">
                  <c:v>30.723243</c:v>
                </c:pt>
                <c:pt idx="1553">
                  <c:v>30.763805000000001</c:v>
                </c:pt>
                <c:pt idx="1554">
                  <c:v>30.802744000000001</c:v>
                </c:pt>
                <c:pt idx="1555">
                  <c:v>30.831948000000001</c:v>
                </c:pt>
                <c:pt idx="1556">
                  <c:v>30.869263999999998</c:v>
                </c:pt>
                <c:pt idx="1557">
                  <c:v>30.903335999999999</c:v>
                </c:pt>
                <c:pt idx="1558">
                  <c:v>30.934163000000002</c:v>
                </c:pt>
                <c:pt idx="1559">
                  <c:v>30.964988999999999</c:v>
                </c:pt>
                <c:pt idx="1560">
                  <c:v>30.999061000000001</c:v>
                </c:pt>
                <c:pt idx="1561">
                  <c:v>31.036376999999998</c:v>
                </c:pt>
                <c:pt idx="1562">
                  <c:v>31.070449</c:v>
                </c:pt>
                <c:pt idx="1563">
                  <c:v>31.112632999999999</c:v>
                </c:pt>
                <c:pt idx="1564">
                  <c:v>31.146703999999996</c:v>
                </c:pt>
                <c:pt idx="1565">
                  <c:v>31.184020999999998</c:v>
                </c:pt>
                <c:pt idx="1566">
                  <c:v>31.231072000000001</c:v>
                </c:pt>
                <c:pt idx="1567">
                  <c:v>31.257031999999999</c:v>
                </c:pt>
                <c:pt idx="1568">
                  <c:v>31.310573000000002</c:v>
                </c:pt>
                <c:pt idx="1569">
                  <c:v>31.341398999999999</c:v>
                </c:pt>
                <c:pt idx="1570">
                  <c:v>31.383582999999998</c:v>
                </c:pt>
                <c:pt idx="1571">
                  <c:v>31.425766999999997</c:v>
                </c:pt>
                <c:pt idx="1572">
                  <c:v>31.453348999999999</c:v>
                </c:pt>
                <c:pt idx="1573">
                  <c:v>31.503645000000002</c:v>
                </c:pt>
                <c:pt idx="1574">
                  <c:v>31.534471999999997</c:v>
                </c:pt>
                <c:pt idx="1575">
                  <c:v>31.594503</c:v>
                </c:pt>
                <c:pt idx="1576">
                  <c:v>31.630196999999999</c:v>
                </c:pt>
                <c:pt idx="1577">
                  <c:v>31.657777999999997</c:v>
                </c:pt>
                <c:pt idx="1578">
                  <c:v>31.709697000000002</c:v>
                </c:pt>
                <c:pt idx="1579">
                  <c:v>31.730788999999998</c:v>
                </c:pt>
                <c:pt idx="1580">
                  <c:v>31.805421999999997</c:v>
                </c:pt>
                <c:pt idx="1581">
                  <c:v>31.841115999999996</c:v>
                </c:pt>
                <c:pt idx="1582">
                  <c:v>31.876810000000003</c:v>
                </c:pt>
                <c:pt idx="1583">
                  <c:v>31.927105999999998</c:v>
                </c:pt>
                <c:pt idx="1584">
                  <c:v>31.972534999999997</c:v>
                </c:pt>
                <c:pt idx="1585">
                  <c:v>32.013096000000004</c:v>
                </c:pt>
                <c:pt idx="1586">
                  <c:v>32.052035000000004</c:v>
                </c:pt>
                <c:pt idx="1587">
                  <c:v>32.108821000000006</c:v>
                </c:pt>
                <c:pt idx="1588">
                  <c:v>32.129913000000002</c:v>
                </c:pt>
                <c:pt idx="1589">
                  <c:v>32.194811000000001</c:v>
                </c:pt>
                <c:pt idx="1590">
                  <c:v>32.232128000000003</c:v>
                </c:pt>
                <c:pt idx="1591">
                  <c:v>32.261331999999996</c:v>
                </c:pt>
                <c:pt idx="1592">
                  <c:v>32.319739999999996</c:v>
                </c:pt>
                <c:pt idx="1593">
                  <c:v>32.366792000000004</c:v>
                </c:pt>
                <c:pt idx="1594">
                  <c:v>32.418710000000004</c:v>
                </c:pt>
                <c:pt idx="1595">
                  <c:v>32.483609000000001</c:v>
                </c:pt>
                <c:pt idx="1596">
                  <c:v>32.506322999999995</c:v>
                </c:pt>
                <c:pt idx="1597">
                  <c:v>32.553374000000005</c:v>
                </c:pt>
                <c:pt idx="1598">
                  <c:v>32.606915000000001</c:v>
                </c:pt>
                <c:pt idx="1599">
                  <c:v>32.662079000000006</c:v>
                </c:pt>
                <c:pt idx="1600">
                  <c:v>32.705884999999995</c:v>
                </c:pt>
                <c:pt idx="1601">
                  <c:v>32.754559</c:v>
                </c:pt>
                <c:pt idx="1602">
                  <c:v>32.811345000000003</c:v>
                </c:pt>
                <c:pt idx="1603">
                  <c:v>32.868129999999994</c:v>
                </c:pt>
                <c:pt idx="1604">
                  <c:v>32.926539000000005</c:v>
                </c:pt>
                <c:pt idx="1605">
                  <c:v>32.981701999999999</c:v>
                </c:pt>
                <c:pt idx="1606">
                  <c:v>33.023886000000005</c:v>
                </c:pt>
                <c:pt idx="1607">
                  <c:v>33.090406999999999</c:v>
                </c:pt>
                <c:pt idx="1608">
                  <c:v>33.132591000000005</c:v>
                </c:pt>
                <c:pt idx="1609">
                  <c:v>33.200733999999997</c:v>
                </c:pt>
                <c:pt idx="1610">
                  <c:v>33.267253999999994</c:v>
                </c:pt>
                <c:pt idx="1611">
                  <c:v>33.324039999999997</c:v>
                </c:pt>
                <c:pt idx="1612">
                  <c:v>33.388937999999996</c:v>
                </c:pt>
                <c:pt idx="1613">
                  <c:v>33.448969000000005</c:v>
                </c:pt>
                <c:pt idx="1614">
                  <c:v>33.523601999999997</c:v>
                </c:pt>
                <c:pt idx="1615">
                  <c:v>33.586877999999999</c:v>
                </c:pt>
                <c:pt idx="1616">
                  <c:v>33.770214999999993</c:v>
                </c:pt>
                <c:pt idx="1617">
                  <c:v>33.981133999999997</c:v>
                </c:pt>
                <c:pt idx="1618">
                  <c:v>34.240726999999993</c:v>
                </c:pt>
                <c:pt idx="1619">
                  <c:v>34.454891000000003</c:v>
                </c:pt>
                <c:pt idx="1620">
                  <c:v>34.742064999999997</c:v>
                </c:pt>
                <c:pt idx="1621">
                  <c:v>35.030861999999999</c:v>
                </c:pt>
                <c:pt idx="1622">
                  <c:v>35.371577000000002</c:v>
                </c:pt>
                <c:pt idx="1623">
                  <c:v>35.746363000000002</c:v>
                </c:pt>
                <c:pt idx="1624">
                  <c:v>36.184425000000005</c:v>
                </c:pt>
                <c:pt idx="1625">
                  <c:v>36.726324000000005</c:v>
                </c:pt>
                <c:pt idx="1626">
                  <c:v>37.428845999999993</c:v>
                </c:pt>
                <c:pt idx="1627">
                  <c:v>45.430755000000005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485440"/>
        <c:axId val="173486016"/>
      </c:scatterChart>
      <c:valAx>
        <c:axId val="173485440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73486016"/>
        <c:crosses val="autoZero"/>
        <c:crossBetween val="midCat"/>
      </c:valAx>
      <c:valAx>
        <c:axId val="173486016"/>
        <c:scaling>
          <c:orientation val="minMax"/>
          <c:max val="3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3485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data!$I$2</c:f>
              <c:strCache>
                <c:ptCount val="1"/>
                <c:pt idx="0">
                  <c:v>dh/dt</c:v>
                </c:pt>
              </c:strCache>
            </c:strRef>
          </c:tx>
          <c:marker>
            <c:symbol val="none"/>
          </c:marker>
          <c:xVal>
            <c:numRef>
              <c:f>data!$H$3:$H$4454</c:f>
              <c:numCache>
                <c:formatCode>0.00E+00</c:formatCode>
                <c:ptCount val="4452"/>
                <c:pt idx="0" formatCode="General">
                  <c:v>0</c:v>
                </c:pt>
                <c:pt idx="1">
                  <c:v>1E-4</c:v>
                </c:pt>
                <c:pt idx="2">
                  <c:v>1.1000000000000002E-4</c:v>
                </c:pt>
                <c:pt idx="3">
                  <c:v>1.2100000000000003E-4</c:v>
                </c:pt>
                <c:pt idx="4">
                  <c:v>1.3310000000000004E-4</c:v>
                </c:pt>
                <c:pt idx="5">
                  <c:v>1.4641000000000006E-4</c:v>
                </c:pt>
                <c:pt idx="6">
                  <c:v>1.6105100000000008E-4</c:v>
                </c:pt>
                <c:pt idx="7">
                  <c:v>1.771561000000001E-4</c:v>
                </c:pt>
                <c:pt idx="8">
                  <c:v>1.9487171000000012E-4</c:v>
                </c:pt>
                <c:pt idx="9">
                  <c:v>2.1435888100000014E-4</c:v>
                </c:pt>
                <c:pt idx="10">
                  <c:v>2.3579476910000016E-4</c:v>
                </c:pt>
                <c:pt idx="11">
                  <c:v>2.5937424601000017E-4</c:v>
                </c:pt>
                <c:pt idx="12">
                  <c:v>2.8531167061100022E-4</c:v>
                </c:pt>
                <c:pt idx="13">
                  <c:v>3.1384283767210024E-4</c:v>
                </c:pt>
                <c:pt idx="14">
                  <c:v>3.452271214393103E-4</c:v>
                </c:pt>
                <c:pt idx="15">
                  <c:v>3.7974983358324136E-4</c:v>
                </c:pt>
                <c:pt idx="16">
                  <c:v>4.1772481694156552E-4</c:v>
                </c:pt>
                <c:pt idx="17">
                  <c:v>4.5949729863572212E-4</c:v>
                </c:pt>
                <c:pt idx="18">
                  <c:v>5.0544702849929441E-4</c:v>
                </c:pt>
                <c:pt idx="19">
                  <c:v>5.5599173134922395E-4</c:v>
                </c:pt>
                <c:pt idx="20">
                  <c:v>6.115909044841464E-4</c:v>
                </c:pt>
                <c:pt idx="21">
                  <c:v>6.7274999493256108E-4</c:v>
                </c:pt>
                <c:pt idx="22">
                  <c:v>7.4002499442581723E-4</c:v>
                </c:pt>
                <c:pt idx="23">
                  <c:v>8.1402749386839902E-4</c:v>
                </c:pt>
                <c:pt idx="24">
                  <c:v>8.9543024325523899E-4</c:v>
                </c:pt>
                <c:pt idx="25">
                  <c:v>9.8497326758076298E-4</c:v>
                </c:pt>
                <c:pt idx="26">
                  <c:v>1.0834705943388394E-3</c:v>
                </c:pt>
                <c:pt idx="27">
                  <c:v>1.1918176537727234E-3</c:v>
                </c:pt>
                <c:pt idx="28">
                  <c:v>1.3109994191499959E-3</c:v>
                </c:pt>
                <c:pt idx="29">
                  <c:v>1.4420993610649957E-3</c:v>
                </c:pt>
                <c:pt idx="30">
                  <c:v>1.5863092971714955E-3</c:v>
                </c:pt>
                <c:pt idx="31">
                  <c:v>1.7449402268886452E-3</c:v>
                </c:pt>
                <c:pt idx="32">
                  <c:v>1.9194342495775099E-3</c:v>
                </c:pt>
                <c:pt idx="33">
                  <c:v>2.1113776745352612E-3</c:v>
                </c:pt>
                <c:pt idx="34">
                  <c:v>2.3225154419887874E-3</c:v>
                </c:pt>
                <c:pt idx="35">
                  <c:v>2.5547669861876662E-3</c:v>
                </c:pt>
                <c:pt idx="36">
                  <c:v>2.8102436848064329E-3</c:v>
                </c:pt>
                <c:pt idx="37">
                  <c:v>3.0912680532870765E-3</c:v>
                </c:pt>
                <c:pt idx="38">
                  <c:v>3.4003948586157845E-3</c:v>
                </c:pt>
                <c:pt idx="39">
                  <c:v>3.7404343444773632E-3</c:v>
                </c:pt>
                <c:pt idx="40">
                  <c:v>4.1144777789250998E-3</c:v>
                </c:pt>
                <c:pt idx="41">
                  <c:v>4.5259255568176103E-3</c:v>
                </c:pt>
                <c:pt idx="42">
                  <c:v>4.9785181124993722E-3</c:v>
                </c:pt>
                <c:pt idx="43">
                  <c:v>5.4763699237493097E-3</c:v>
                </c:pt>
                <c:pt idx="44">
                  <c:v>6.0240069161242409E-3</c:v>
                </c:pt>
                <c:pt idx="45">
                  <c:v>6.6264076077366656E-3</c:v>
                </c:pt>
                <c:pt idx="46">
                  <c:v>7.2890483685103327E-3</c:v>
                </c:pt>
                <c:pt idx="47">
                  <c:v>8.0179532053613663E-3</c:v>
                </c:pt>
                <c:pt idx="48">
                  <c:v>8.8197485258975031E-3</c:v>
                </c:pt>
                <c:pt idx="49">
                  <c:v>9.7017233784872543E-3</c:v>
                </c:pt>
                <c:pt idx="50">
                  <c:v>1.0671895716335981E-2</c:v>
                </c:pt>
                <c:pt idx="51">
                  <c:v>1.173908528796958E-2</c:v>
                </c:pt>
                <c:pt idx="52">
                  <c:v>1.2912993816766539E-2</c:v>
                </c:pt>
                <c:pt idx="53">
                  <c:v>1.4204293198443194E-2</c:v>
                </c:pt>
                <c:pt idx="54">
                  <c:v>1.5624722518287514E-2</c:v>
                </c:pt>
                <c:pt idx="55">
                  <c:v>1.7187194770116265E-2</c:v>
                </c:pt>
                <c:pt idx="56">
                  <c:v>1.8905914247127894E-2</c:v>
                </c:pt>
                <c:pt idx="57">
                  <c:v>2.0796505671840684E-2</c:v>
                </c:pt>
                <c:pt idx="58">
                  <c:v>2.2876156239024753E-2</c:v>
                </c:pt>
                <c:pt idx="59">
                  <c:v>2.5163771862927231E-2</c:v>
                </c:pt>
                <c:pt idx="60">
                  <c:v>2.7680149049219956E-2</c:v>
                </c:pt>
                <c:pt idx="61">
                  <c:v>3.0448163954141953E-2</c:v>
                </c:pt>
                <c:pt idx="62">
                  <c:v>3.3492980349556153E-2</c:v>
                </c:pt>
                <c:pt idx="63">
                  <c:v>3.6842278384511769E-2</c:v>
                </c:pt>
                <c:pt idx="64">
                  <c:v>4.0526506222962951E-2</c:v>
                </c:pt>
                <c:pt idx="65">
                  <c:v>4.4579156845259246E-2</c:v>
                </c:pt>
                <c:pt idx="66">
                  <c:v>4.9037072529785175E-2</c:v>
                </c:pt>
                <c:pt idx="67">
                  <c:v>5.3940779782763695E-2</c:v>
                </c:pt>
                <c:pt idx="68">
                  <c:v>5.9334857761040069E-2</c:v>
                </c:pt>
                <c:pt idx="69">
                  <c:v>6.5268343537144086E-2</c:v>
                </c:pt>
                <c:pt idx="70">
                  <c:v>7.17951778908585E-2</c:v>
                </c:pt>
                <c:pt idx="71">
                  <c:v>7.8974695679944362E-2</c:v>
                </c:pt>
                <c:pt idx="72">
                  <c:v>8.687216524793881E-2</c:v>
                </c:pt>
                <c:pt idx="73">
                  <c:v>9.5559381772732696E-2</c:v>
                </c:pt>
                <c:pt idx="74">
                  <c:v>0.10511531995000598</c:v>
                </c:pt>
                <c:pt idx="75">
                  <c:v>0.11562685194500658</c:v>
                </c:pt>
                <c:pt idx="76">
                  <c:v>0.12718953713950723</c:v>
                </c:pt>
                <c:pt idx="77">
                  <c:v>0.13990849085345797</c:v>
                </c:pt>
                <c:pt idx="78">
                  <c:v>0.15389933993880378</c:v>
                </c:pt>
                <c:pt idx="79">
                  <c:v>0.16928927393268417</c:v>
                </c:pt>
                <c:pt idx="80">
                  <c:v>0.1862182013259526</c:v>
                </c:pt>
                <c:pt idx="81">
                  <c:v>0.20484002145854788</c:v>
                </c:pt>
                <c:pt idx="82">
                  <c:v>0.22532402360440268</c:v>
                </c:pt>
                <c:pt idx="83">
                  <c:v>0.24785642596484297</c:v>
                </c:pt>
                <c:pt idx="84">
                  <c:v>0.27264206856132728</c:v>
                </c:pt>
                <c:pt idx="85">
                  <c:v>0.29990627541746001</c:v>
                </c:pt>
                <c:pt idx="86">
                  <c:v>0.32989690295920604</c:v>
                </c:pt>
                <c:pt idx="87">
                  <c:v>0.36288659325512668</c:v>
                </c:pt>
                <c:pt idx="88">
                  <c:v>0.39917525258063935</c:v>
                </c:pt>
                <c:pt idx="89">
                  <c:v>0.43909277783870332</c:v>
                </c:pt>
                <c:pt idx="90">
                  <c:v>0.4830020556225737</c:v>
                </c:pt>
                <c:pt idx="91">
                  <c:v>0.53130226118483115</c:v>
                </c:pt>
                <c:pt idx="92">
                  <c:v>0.58443248730331432</c:v>
                </c:pt>
                <c:pt idx="93">
                  <c:v>0.64287573603364578</c:v>
                </c:pt>
                <c:pt idx="94">
                  <c:v>0.70716330963701046</c:v>
                </c:pt>
                <c:pt idx="95">
                  <c:v>0.77787964060071157</c:v>
                </c:pt>
                <c:pt idx="96">
                  <c:v>0.85566760466078284</c:v>
                </c:pt>
                <c:pt idx="97">
                  <c:v>0.94123436512686121</c:v>
                </c:pt>
                <c:pt idx="98">
                  <c:v>1.0353578016395475</c:v>
                </c:pt>
                <c:pt idx="99">
                  <c:v>1.1388935818035024</c:v>
                </c:pt>
                <c:pt idx="100">
                  <c:v>1.2527829399838528</c:v>
                </c:pt>
                <c:pt idx="101">
                  <c:v>1.3780612339822382</c:v>
                </c:pt>
                <c:pt idx="102">
                  <c:v>1.5158673573804622</c:v>
                </c:pt>
                <c:pt idx="103">
                  <c:v>1.6674540931185085</c:v>
                </c:pt>
                <c:pt idx="104">
                  <c:v>1.8341995024303595</c:v>
                </c:pt>
                <c:pt idx="105">
                  <c:v>2.0176194526733955</c:v>
                </c:pt>
                <c:pt idx="106">
                  <c:v>2.2193813979407353</c:v>
                </c:pt>
                <c:pt idx="107">
                  <c:v>2.4413195377348091</c:v>
                </c:pt>
                <c:pt idx="108">
                  <c:v>2.6854514915082901</c:v>
                </c:pt>
                <c:pt idx="109">
                  <c:v>2.9539966406591192</c:v>
                </c:pt>
                <c:pt idx="110">
                  <c:v>3.2493963047250314</c:v>
                </c:pt>
                <c:pt idx="111">
                  <c:v>3.574335935197535</c:v>
                </c:pt>
                <c:pt idx="112">
                  <c:v>3.9317695287172887</c:v>
                </c:pt>
                <c:pt idx="113">
                  <c:v>4.3249464815890182</c:v>
                </c:pt>
                <c:pt idx="114">
                  <c:v>4.75744112974792</c:v>
                </c:pt>
                <c:pt idx="115">
                  <c:v>5.2331852427227128</c:v>
                </c:pt>
                <c:pt idx="116">
                  <c:v>5.7565037669949843</c:v>
                </c:pt>
                <c:pt idx="117">
                  <c:v>6.332154143694483</c:v>
                </c:pt>
                <c:pt idx="118">
                  <c:v>6.9653695580639319</c:v>
                </c:pt>
                <c:pt idx="119">
                  <c:v>7.661906513870326</c:v>
                </c:pt>
                <c:pt idx="120">
                  <c:v>8.4280971652573591</c:v>
                </c:pt>
                <c:pt idx="121">
                  <c:v>9.2709068817830964</c:v>
                </c:pt>
                <c:pt idx="122">
                  <c:v>10</c:v>
                </c:pt>
                <c:pt idx="123">
                  <c:v>11</c:v>
                </c:pt>
                <c:pt idx="124">
                  <c:v>12</c:v>
                </c:pt>
                <c:pt idx="125">
                  <c:v>13</c:v>
                </c:pt>
                <c:pt idx="126">
                  <c:v>14</c:v>
                </c:pt>
                <c:pt idx="127">
                  <c:v>15</c:v>
                </c:pt>
                <c:pt idx="128">
                  <c:v>16</c:v>
                </c:pt>
                <c:pt idx="129">
                  <c:v>17</c:v>
                </c:pt>
                <c:pt idx="130">
                  <c:v>18</c:v>
                </c:pt>
                <c:pt idx="131">
                  <c:v>19</c:v>
                </c:pt>
                <c:pt idx="132">
                  <c:v>20</c:v>
                </c:pt>
                <c:pt idx="133">
                  <c:v>21</c:v>
                </c:pt>
                <c:pt idx="134">
                  <c:v>22</c:v>
                </c:pt>
                <c:pt idx="135">
                  <c:v>23</c:v>
                </c:pt>
                <c:pt idx="136">
                  <c:v>24</c:v>
                </c:pt>
                <c:pt idx="137">
                  <c:v>25</c:v>
                </c:pt>
                <c:pt idx="138">
                  <c:v>26</c:v>
                </c:pt>
                <c:pt idx="139">
                  <c:v>27</c:v>
                </c:pt>
                <c:pt idx="140">
                  <c:v>28</c:v>
                </c:pt>
                <c:pt idx="141">
                  <c:v>29</c:v>
                </c:pt>
                <c:pt idx="142">
                  <c:v>30</c:v>
                </c:pt>
                <c:pt idx="143">
                  <c:v>31</c:v>
                </c:pt>
                <c:pt idx="144">
                  <c:v>32</c:v>
                </c:pt>
                <c:pt idx="145">
                  <c:v>33</c:v>
                </c:pt>
                <c:pt idx="146">
                  <c:v>34</c:v>
                </c:pt>
                <c:pt idx="147">
                  <c:v>35</c:v>
                </c:pt>
                <c:pt idx="148">
                  <c:v>36</c:v>
                </c:pt>
                <c:pt idx="149">
                  <c:v>37</c:v>
                </c:pt>
                <c:pt idx="150">
                  <c:v>38</c:v>
                </c:pt>
                <c:pt idx="151">
                  <c:v>39</c:v>
                </c:pt>
                <c:pt idx="152">
                  <c:v>40</c:v>
                </c:pt>
                <c:pt idx="153">
                  <c:v>41</c:v>
                </c:pt>
                <c:pt idx="154">
                  <c:v>42</c:v>
                </c:pt>
                <c:pt idx="155">
                  <c:v>43</c:v>
                </c:pt>
                <c:pt idx="156">
                  <c:v>44</c:v>
                </c:pt>
                <c:pt idx="157">
                  <c:v>45</c:v>
                </c:pt>
                <c:pt idx="158">
                  <c:v>46</c:v>
                </c:pt>
                <c:pt idx="159">
                  <c:v>47</c:v>
                </c:pt>
                <c:pt idx="160">
                  <c:v>48</c:v>
                </c:pt>
                <c:pt idx="161">
                  <c:v>49</c:v>
                </c:pt>
                <c:pt idx="162">
                  <c:v>50</c:v>
                </c:pt>
                <c:pt idx="163">
                  <c:v>51</c:v>
                </c:pt>
                <c:pt idx="164">
                  <c:v>52</c:v>
                </c:pt>
                <c:pt idx="165">
                  <c:v>53</c:v>
                </c:pt>
                <c:pt idx="166">
                  <c:v>54</c:v>
                </c:pt>
                <c:pt idx="167">
                  <c:v>55</c:v>
                </c:pt>
                <c:pt idx="168">
                  <c:v>56</c:v>
                </c:pt>
                <c:pt idx="169">
                  <c:v>57</c:v>
                </c:pt>
                <c:pt idx="170">
                  <c:v>58</c:v>
                </c:pt>
                <c:pt idx="171">
                  <c:v>59</c:v>
                </c:pt>
                <c:pt idx="172">
                  <c:v>60</c:v>
                </c:pt>
                <c:pt idx="173">
                  <c:v>61</c:v>
                </c:pt>
                <c:pt idx="174">
                  <c:v>62</c:v>
                </c:pt>
                <c:pt idx="175">
                  <c:v>63</c:v>
                </c:pt>
                <c:pt idx="176">
                  <c:v>64</c:v>
                </c:pt>
                <c:pt idx="177">
                  <c:v>65</c:v>
                </c:pt>
                <c:pt idx="178">
                  <c:v>66</c:v>
                </c:pt>
                <c:pt idx="179">
                  <c:v>67</c:v>
                </c:pt>
                <c:pt idx="180">
                  <c:v>68</c:v>
                </c:pt>
                <c:pt idx="181">
                  <c:v>69</c:v>
                </c:pt>
                <c:pt idx="182">
                  <c:v>70</c:v>
                </c:pt>
                <c:pt idx="183">
                  <c:v>71</c:v>
                </c:pt>
                <c:pt idx="184">
                  <c:v>72</c:v>
                </c:pt>
                <c:pt idx="185">
                  <c:v>73</c:v>
                </c:pt>
                <c:pt idx="186">
                  <c:v>74</c:v>
                </c:pt>
                <c:pt idx="187">
                  <c:v>75</c:v>
                </c:pt>
                <c:pt idx="188">
                  <c:v>76</c:v>
                </c:pt>
                <c:pt idx="189">
                  <c:v>77</c:v>
                </c:pt>
                <c:pt idx="190">
                  <c:v>78</c:v>
                </c:pt>
                <c:pt idx="191">
                  <c:v>79</c:v>
                </c:pt>
                <c:pt idx="192">
                  <c:v>80</c:v>
                </c:pt>
                <c:pt idx="193">
                  <c:v>81</c:v>
                </c:pt>
                <c:pt idx="194">
                  <c:v>82</c:v>
                </c:pt>
                <c:pt idx="195">
                  <c:v>83</c:v>
                </c:pt>
                <c:pt idx="196">
                  <c:v>84</c:v>
                </c:pt>
                <c:pt idx="197">
                  <c:v>85</c:v>
                </c:pt>
                <c:pt idx="198">
                  <c:v>86</c:v>
                </c:pt>
                <c:pt idx="199">
                  <c:v>87</c:v>
                </c:pt>
                <c:pt idx="200">
                  <c:v>88</c:v>
                </c:pt>
                <c:pt idx="201">
                  <c:v>89</c:v>
                </c:pt>
                <c:pt idx="202">
                  <c:v>90</c:v>
                </c:pt>
                <c:pt idx="203">
                  <c:v>91</c:v>
                </c:pt>
                <c:pt idx="204">
                  <c:v>92</c:v>
                </c:pt>
                <c:pt idx="205">
                  <c:v>93</c:v>
                </c:pt>
                <c:pt idx="206">
                  <c:v>94</c:v>
                </c:pt>
                <c:pt idx="207">
                  <c:v>95</c:v>
                </c:pt>
                <c:pt idx="208">
                  <c:v>96</c:v>
                </c:pt>
                <c:pt idx="209">
                  <c:v>97</c:v>
                </c:pt>
                <c:pt idx="210">
                  <c:v>98</c:v>
                </c:pt>
                <c:pt idx="211">
                  <c:v>99</c:v>
                </c:pt>
                <c:pt idx="212">
                  <c:v>100</c:v>
                </c:pt>
                <c:pt idx="213">
                  <c:v>101</c:v>
                </c:pt>
                <c:pt idx="214">
                  <c:v>102</c:v>
                </c:pt>
                <c:pt idx="215">
                  <c:v>103</c:v>
                </c:pt>
                <c:pt idx="216">
                  <c:v>104</c:v>
                </c:pt>
                <c:pt idx="217">
                  <c:v>105</c:v>
                </c:pt>
                <c:pt idx="218">
                  <c:v>106</c:v>
                </c:pt>
                <c:pt idx="219">
                  <c:v>107</c:v>
                </c:pt>
                <c:pt idx="220">
                  <c:v>108</c:v>
                </c:pt>
                <c:pt idx="221">
                  <c:v>109</c:v>
                </c:pt>
                <c:pt idx="222">
                  <c:v>110</c:v>
                </c:pt>
                <c:pt idx="223">
                  <c:v>111</c:v>
                </c:pt>
                <c:pt idx="224">
                  <c:v>112</c:v>
                </c:pt>
                <c:pt idx="225">
                  <c:v>113</c:v>
                </c:pt>
                <c:pt idx="226">
                  <c:v>114</c:v>
                </c:pt>
                <c:pt idx="227">
                  <c:v>115</c:v>
                </c:pt>
                <c:pt idx="228">
                  <c:v>116</c:v>
                </c:pt>
                <c:pt idx="229">
                  <c:v>117</c:v>
                </c:pt>
                <c:pt idx="230">
                  <c:v>118</c:v>
                </c:pt>
                <c:pt idx="231">
                  <c:v>119</c:v>
                </c:pt>
                <c:pt idx="232">
                  <c:v>120</c:v>
                </c:pt>
                <c:pt idx="233">
                  <c:v>121</c:v>
                </c:pt>
                <c:pt idx="234">
                  <c:v>122</c:v>
                </c:pt>
                <c:pt idx="235">
                  <c:v>123</c:v>
                </c:pt>
                <c:pt idx="236">
                  <c:v>124</c:v>
                </c:pt>
                <c:pt idx="237">
                  <c:v>125</c:v>
                </c:pt>
                <c:pt idx="238">
                  <c:v>126</c:v>
                </c:pt>
                <c:pt idx="239">
                  <c:v>127</c:v>
                </c:pt>
                <c:pt idx="240">
                  <c:v>128</c:v>
                </c:pt>
                <c:pt idx="241">
                  <c:v>129</c:v>
                </c:pt>
                <c:pt idx="242">
                  <c:v>130</c:v>
                </c:pt>
                <c:pt idx="243">
                  <c:v>131</c:v>
                </c:pt>
                <c:pt idx="244">
                  <c:v>132</c:v>
                </c:pt>
                <c:pt idx="245">
                  <c:v>133</c:v>
                </c:pt>
                <c:pt idx="246">
                  <c:v>134</c:v>
                </c:pt>
                <c:pt idx="247">
                  <c:v>135</c:v>
                </c:pt>
                <c:pt idx="248">
                  <c:v>136</c:v>
                </c:pt>
                <c:pt idx="249">
                  <c:v>137</c:v>
                </c:pt>
                <c:pt idx="250">
                  <c:v>138</c:v>
                </c:pt>
                <c:pt idx="251">
                  <c:v>139</c:v>
                </c:pt>
                <c:pt idx="252">
                  <c:v>140</c:v>
                </c:pt>
                <c:pt idx="253">
                  <c:v>141</c:v>
                </c:pt>
                <c:pt idx="254">
                  <c:v>142</c:v>
                </c:pt>
                <c:pt idx="255">
                  <c:v>143</c:v>
                </c:pt>
                <c:pt idx="256">
                  <c:v>144</c:v>
                </c:pt>
                <c:pt idx="257">
                  <c:v>145</c:v>
                </c:pt>
                <c:pt idx="258">
                  <c:v>146</c:v>
                </c:pt>
                <c:pt idx="259">
                  <c:v>147</c:v>
                </c:pt>
                <c:pt idx="260">
                  <c:v>148</c:v>
                </c:pt>
                <c:pt idx="261">
                  <c:v>149</c:v>
                </c:pt>
                <c:pt idx="262">
                  <c:v>150</c:v>
                </c:pt>
                <c:pt idx="263">
                  <c:v>151</c:v>
                </c:pt>
                <c:pt idx="264">
                  <c:v>152</c:v>
                </c:pt>
                <c:pt idx="265">
                  <c:v>153</c:v>
                </c:pt>
                <c:pt idx="266">
                  <c:v>154</c:v>
                </c:pt>
                <c:pt idx="267">
                  <c:v>155</c:v>
                </c:pt>
                <c:pt idx="268">
                  <c:v>156</c:v>
                </c:pt>
                <c:pt idx="269">
                  <c:v>157</c:v>
                </c:pt>
                <c:pt idx="270">
                  <c:v>158</c:v>
                </c:pt>
                <c:pt idx="271">
                  <c:v>159</c:v>
                </c:pt>
                <c:pt idx="272">
                  <c:v>160</c:v>
                </c:pt>
                <c:pt idx="273">
                  <c:v>161</c:v>
                </c:pt>
                <c:pt idx="274">
                  <c:v>162</c:v>
                </c:pt>
                <c:pt idx="275">
                  <c:v>163</c:v>
                </c:pt>
                <c:pt idx="276">
                  <c:v>164</c:v>
                </c:pt>
                <c:pt idx="277">
                  <c:v>165</c:v>
                </c:pt>
                <c:pt idx="278">
                  <c:v>166</c:v>
                </c:pt>
                <c:pt idx="279">
                  <c:v>167</c:v>
                </c:pt>
                <c:pt idx="280">
                  <c:v>168</c:v>
                </c:pt>
                <c:pt idx="281">
                  <c:v>169</c:v>
                </c:pt>
                <c:pt idx="282">
                  <c:v>170</c:v>
                </c:pt>
                <c:pt idx="283">
                  <c:v>171</c:v>
                </c:pt>
                <c:pt idx="284">
                  <c:v>172</c:v>
                </c:pt>
                <c:pt idx="285">
                  <c:v>173</c:v>
                </c:pt>
                <c:pt idx="286">
                  <c:v>174</c:v>
                </c:pt>
                <c:pt idx="287">
                  <c:v>175</c:v>
                </c:pt>
                <c:pt idx="288">
                  <c:v>176</c:v>
                </c:pt>
                <c:pt idx="289">
                  <c:v>177</c:v>
                </c:pt>
                <c:pt idx="290">
                  <c:v>178</c:v>
                </c:pt>
                <c:pt idx="291">
                  <c:v>179</c:v>
                </c:pt>
                <c:pt idx="292">
                  <c:v>180</c:v>
                </c:pt>
                <c:pt idx="293">
                  <c:v>181</c:v>
                </c:pt>
                <c:pt idx="294">
                  <c:v>182</c:v>
                </c:pt>
                <c:pt idx="295">
                  <c:v>183</c:v>
                </c:pt>
                <c:pt idx="296">
                  <c:v>184</c:v>
                </c:pt>
                <c:pt idx="297">
                  <c:v>185</c:v>
                </c:pt>
                <c:pt idx="298">
                  <c:v>186</c:v>
                </c:pt>
                <c:pt idx="299">
                  <c:v>187</c:v>
                </c:pt>
                <c:pt idx="300">
                  <c:v>188</c:v>
                </c:pt>
                <c:pt idx="301">
                  <c:v>189</c:v>
                </c:pt>
                <c:pt idx="302">
                  <c:v>190</c:v>
                </c:pt>
                <c:pt idx="303">
                  <c:v>191</c:v>
                </c:pt>
                <c:pt idx="304">
                  <c:v>192</c:v>
                </c:pt>
                <c:pt idx="305">
                  <c:v>193</c:v>
                </c:pt>
                <c:pt idx="306">
                  <c:v>194</c:v>
                </c:pt>
                <c:pt idx="307">
                  <c:v>195</c:v>
                </c:pt>
                <c:pt idx="308">
                  <c:v>196</c:v>
                </c:pt>
                <c:pt idx="309">
                  <c:v>197</c:v>
                </c:pt>
                <c:pt idx="310">
                  <c:v>198</c:v>
                </c:pt>
                <c:pt idx="311">
                  <c:v>199</c:v>
                </c:pt>
                <c:pt idx="312">
                  <c:v>200</c:v>
                </c:pt>
                <c:pt idx="313">
                  <c:v>201</c:v>
                </c:pt>
                <c:pt idx="314">
                  <c:v>202</c:v>
                </c:pt>
                <c:pt idx="315">
                  <c:v>203</c:v>
                </c:pt>
                <c:pt idx="316">
                  <c:v>204</c:v>
                </c:pt>
                <c:pt idx="317">
                  <c:v>205</c:v>
                </c:pt>
                <c:pt idx="318">
                  <c:v>206</c:v>
                </c:pt>
                <c:pt idx="319">
                  <c:v>207</c:v>
                </c:pt>
                <c:pt idx="320">
                  <c:v>208</c:v>
                </c:pt>
                <c:pt idx="321">
                  <c:v>209</c:v>
                </c:pt>
                <c:pt idx="322">
                  <c:v>210</c:v>
                </c:pt>
                <c:pt idx="323">
                  <c:v>211</c:v>
                </c:pt>
                <c:pt idx="324">
                  <c:v>212</c:v>
                </c:pt>
                <c:pt idx="325">
                  <c:v>213</c:v>
                </c:pt>
                <c:pt idx="326">
                  <c:v>214</c:v>
                </c:pt>
                <c:pt idx="327">
                  <c:v>215</c:v>
                </c:pt>
                <c:pt idx="328">
                  <c:v>216</c:v>
                </c:pt>
                <c:pt idx="329">
                  <c:v>217</c:v>
                </c:pt>
                <c:pt idx="330">
                  <c:v>218</c:v>
                </c:pt>
                <c:pt idx="331">
                  <c:v>219</c:v>
                </c:pt>
                <c:pt idx="332">
                  <c:v>220</c:v>
                </c:pt>
                <c:pt idx="333">
                  <c:v>221</c:v>
                </c:pt>
                <c:pt idx="334">
                  <c:v>222</c:v>
                </c:pt>
                <c:pt idx="335">
                  <c:v>223</c:v>
                </c:pt>
                <c:pt idx="336">
                  <c:v>224</c:v>
                </c:pt>
                <c:pt idx="337">
                  <c:v>225</c:v>
                </c:pt>
                <c:pt idx="338">
                  <c:v>226</c:v>
                </c:pt>
                <c:pt idx="339">
                  <c:v>227</c:v>
                </c:pt>
                <c:pt idx="340">
                  <c:v>228</c:v>
                </c:pt>
                <c:pt idx="341">
                  <c:v>229</c:v>
                </c:pt>
                <c:pt idx="342">
                  <c:v>230</c:v>
                </c:pt>
                <c:pt idx="343">
                  <c:v>231</c:v>
                </c:pt>
                <c:pt idx="344">
                  <c:v>232</c:v>
                </c:pt>
                <c:pt idx="345">
                  <c:v>233</c:v>
                </c:pt>
                <c:pt idx="346">
                  <c:v>234</c:v>
                </c:pt>
                <c:pt idx="347">
                  <c:v>235</c:v>
                </c:pt>
                <c:pt idx="348">
                  <c:v>236</c:v>
                </c:pt>
                <c:pt idx="349">
                  <c:v>237</c:v>
                </c:pt>
                <c:pt idx="350">
                  <c:v>238</c:v>
                </c:pt>
                <c:pt idx="351">
                  <c:v>239</c:v>
                </c:pt>
                <c:pt idx="352">
                  <c:v>240</c:v>
                </c:pt>
                <c:pt idx="353">
                  <c:v>241</c:v>
                </c:pt>
                <c:pt idx="354">
                  <c:v>242</c:v>
                </c:pt>
                <c:pt idx="355">
                  <c:v>243</c:v>
                </c:pt>
                <c:pt idx="356">
                  <c:v>244</c:v>
                </c:pt>
                <c:pt idx="357">
                  <c:v>245</c:v>
                </c:pt>
                <c:pt idx="358">
                  <c:v>246</c:v>
                </c:pt>
                <c:pt idx="359">
                  <c:v>247</c:v>
                </c:pt>
                <c:pt idx="360">
                  <c:v>248</c:v>
                </c:pt>
                <c:pt idx="361">
                  <c:v>249</c:v>
                </c:pt>
                <c:pt idx="362">
                  <c:v>250</c:v>
                </c:pt>
                <c:pt idx="363">
                  <c:v>251</c:v>
                </c:pt>
                <c:pt idx="364">
                  <c:v>252</c:v>
                </c:pt>
                <c:pt idx="365">
                  <c:v>253</c:v>
                </c:pt>
                <c:pt idx="366">
                  <c:v>254</c:v>
                </c:pt>
                <c:pt idx="367">
                  <c:v>255</c:v>
                </c:pt>
                <c:pt idx="368">
                  <c:v>256</c:v>
                </c:pt>
                <c:pt idx="369">
                  <c:v>257</c:v>
                </c:pt>
                <c:pt idx="370">
                  <c:v>258</c:v>
                </c:pt>
                <c:pt idx="371">
                  <c:v>259</c:v>
                </c:pt>
                <c:pt idx="372">
                  <c:v>260</c:v>
                </c:pt>
                <c:pt idx="373">
                  <c:v>261</c:v>
                </c:pt>
                <c:pt idx="374">
                  <c:v>262</c:v>
                </c:pt>
                <c:pt idx="375">
                  <c:v>263</c:v>
                </c:pt>
                <c:pt idx="376">
                  <c:v>264</c:v>
                </c:pt>
                <c:pt idx="377">
                  <c:v>265</c:v>
                </c:pt>
                <c:pt idx="378">
                  <c:v>266</c:v>
                </c:pt>
                <c:pt idx="379">
                  <c:v>267</c:v>
                </c:pt>
                <c:pt idx="380">
                  <c:v>268</c:v>
                </c:pt>
                <c:pt idx="381">
                  <c:v>269</c:v>
                </c:pt>
                <c:pt idx="382">
                  <c:v>270</c:v>
                </c:pt>
                <c:pt idx="383">
                  <c:v>271</c:v>
                </c:pt>
                <c:pt idx="384">
                  <c:v>272</c:v>
                </c:pt>
                <c:pt idx="385">
                  <c:v>273</c:v>
                </c:pt>
                <c:pt idx="386">
                  <c:v>274</c:v>
                </c:pt>
                <c:pt idx="387">
                  <c:v>275</c:v>
                </c:pt>
                <c:pt idx="388">
                  <c:v>276</c:v>
                </c:pt>
                <c:pt idx="389">
                  <c:v>277</c:v>
                </c:pt>
                <c:pt idx="390">
                  <c:v>278</c:v>
                </c:pt>
                <c:pt idx="391">
                  <c:v>279</c:v>
                </c:pt>
                <c:pt idx="392">
                  <c:v>280</c:v>
                </c:pt>
                <c:pt idx="393">
                  <c:v>281</c:v>
                </c:pt>
                <c:pt idx="394">
                  <c:v>282</c:v>
                </c:pt>
                <c:pt idx="395">
                  <c:v>283</c:v>
                </c:pt>
                <c:pt idx="396">
                  <c:v>284</c:v>
                </c:pt>
                <c:pt idx="397">
                  <c:v>285</c:v>
                </c:pt>
                <c:pt idx="398">
                  <c:v>286</c:v>
                </c:pt>
                <c:pt idx="399">
                  <c:v>287</c:v>
                </c:pt>
                <c:pt idx="400">
                  <c:v>288</c:v>
                </c:pt>
                <c:pt idx="401">
                  <c:v>289</c:v>
                </c:pt>
                <c:pt idx="402">
                  <c:v>290</c:v>
                </c:pt>
                <c:pt idx="403">
                  <c:v>291</c:v>
                </c:pt>
                <c:pt idx="404">
                  <c:v>292</c:v>
                </c:pt>
                <c:pt idx="405">
                  <c:v>293</c:v>
                </c:pt>
                <c:pt idx="406">
                  <c:v>294</c:v>
                </c:pt>
                <c:pt idx="407">
                  <c:v>295</c:v>
                </c:pt>
                <c:pt idx="408">
                  <c:v>296</c:v>
                </c:pt>
                <c:pt idx="409">
                  <c:v>297</c:v>
                </c:pt>
                <c:pt idx="410">
                  <c:v>298</c:v>
                </c:pt>
                <c:pt idx="411">
                  <c:v>299</c:v>
                </c:pt>
                <c:pt idx="412">
                  <c:v>300</c:v>
                </c:pt>
                <c:pt idx="413">
                  <c:v>301</c:v>
                </c:pt>
                <c:pt idx="414">
                  <c:v>302</c:v>
                </c:pt>
                <c:pt idx="415">
                  <c:v>303</c:v>
                </c:pt>
                <c:pt idx="416">
                  <c:v>304</c:v>
                </c:pt>
                <c:pt idx="417">
                  <c:v>305</c:v>
                </c:pt>
                <c:pt idx="418">
                  <c:v>306</c:v>
                </c:pt>
                <c:pt idx="419">
                  <c:v>307</c:v>
                </c:pt>
                <c:pt idx="420">
                  <c:v>308</c:v>
                </c:pt>
                <c:pt idx="421">
                  <c:v>309</c:v>
                </c:pt>
                <c:pt idx="422">
                  <c:v>310</c:v>
                </c:pt>
                <c:pt idx="423">
                  <c:v>311</c:v>
                </c:pt>
                <c:pt idx="424">
                  <c:v>312</c:v>
                </c:pt>
                <c:pt idx="425">
                  <c:v>313</c:v>
                </c:pt>
                <c:pt idx="426">
                  <c:v>314</c:v>
                </c:pt>
                <c:pt idx="427">
                  <c:v>315</c:v>
                </c:pt>
                <c:pt idx="428">
                  <c:v>316</c:v>
                </c:pt>
                <c:pt idx="429">
                  <c:v>317</c:v>
                </c:pt>
                <c:pt idx="430">
                  <c:v>318</c:v>
                </c:pt>
                <c:pt idx="431">
                  <c:v>319</c:v>
                </c:pt>
                <c:pt idx="432">
                  <c:v>320</c:v>
                </c:pt>
                <c:pt idx="433">
                  <c:v>321</c:v>
                </c:pt>
                <c:pt idx="434">
                  <c:v>322</c:v>
                </c:pt>
                <c:pt idx="435">
                  <c:v>323</c:v>
                </c:pt>
                <c:pt idx="436">
                  <c:v>324</c:v>
                </c:pt>
                <c:pt idx="437">
                  <c:v>325</c:v>
                </c:pt>
                <c:pt idx="438">
                  <c:v>326</c:v>
                </c:pt>
                <c:pt idx="439">
                  <c:v>327</c:v>
                </c:pt>
                <c:pt idx="440">
                  <c:v>328</c:v>
                </c:pt>
                <c:pt idx="441">
                  <c:v>329</c:v>
                </c:pt>
                <c:pt idx="442">
                  <c:v>330</c:v>
                </c:pt>
                <c:pt idx="443">
                  <c:v>331</c:v>
                </c:pt>
                <c:pt idx="444">
                  <c:v>332</c:v>
                </c:pt>
                <c:pt idx="445">
                  <c:v>333</c:v>
                </c:pt>
                <c:pt idx="446">
                  <c:v>334</c:v>
                </c:pt>
                <c:pt idx="447">
                  <c:v>335</c:v>
                </c:pt>
                <c:pt idx="448">
                  <c:v>336</c:v>
                </c:pt>
                <c:pt idx="449">
                  <c:v>337</c:v>
                </c:pt>
                <c:pt idx="450">
                  <c:v>338</c:v>
                </c:pt>
                <c:pt idx="451">
                  <c:v>339</c:v>
                </c:pt>
                <c:pt idx="452">
                  <c:v>340</c:v>
                </c:pt>
                <c:pt idx="453">
                  <c:v>341</c:v>
                </c:pt>
                <c:pt idx="454">
                  <c:v>342</c:v>
                </c:pt>
                <c:pt idx="455">
                  <c:v>343</c:v>
                </c:pt>
                <c:pt idx="456">
                  <c:v>344</c:v>
                </c:pt>
                <c:pt idx="457">
                  <c:v>345</c:v>
                </c:pt>
                <c:pt idx="458">
                  <c:v>346</c:v>
                </c:pt>
                <c:pt idx="459">
                  <c:v>347</c:v>
                </c:pt>
                <c:pt idx="460">
                  <c:v>348</c:v>
                </c:pt>
                <c:pt idx="461">
                  <c:v>349</c:v>
                </c:pt>
                <c:pt idx="462">
                  <c:v>350</c:v>
                </c:pt>
                <c:pt idx="463">
                  <c:v>351</c:v>
                </c:pt>
                <c:pt idx="464">
                  <c:v>352</c:v>
                </c:pt>
                <c:pt idx="465">
                  <c:v>353</c:v>
                </c:pt>
                <c:pt idx="466">
                  <c:v>354</c:v>
                </c:pt>
                <c:pt idx="467">
                  <c:v>355</c:v>
                </c:pt>
                <c:pt idx="468">
                  <c:v>356</c:v>
                </c:pt>
                <c:pt idx="469">
                  <c:v>357</c:v>
                </c:pt>
                <c:pt idx="470">
                  <c:v>358</c:v>
                </c:pt>
                <c:pt idx="471">
                  <c:v>359</c:v>
                </c:pt>
                <c:pt idx="472">
                  <c:v>360</c:v>
                </c:pt>
                <c:pt idx="473">
                  <c:v>361</c:v>
                </c:pt>
                <c:pt idx="474">
                  <c:v>362</c:v>
                </c:pt>
                <c:pt idx="475">
                  <c:v>363</c:v>
                </c:pt>
                <c:pt idx="476">
                  <c:v>364</c:v>
                </c:pt>
                <c:pt idx="477">
                  <c:v>365</c:v>
                </c:pt>
                <c:pt idx="478">
                  <c:v>366</c:v>
                </c:pt>
                <c:pt idx="479">
                  <c:v>367</c:v>
                </c:pt>
                <c:pt idx="480">
                  <c:v>368</c:v>
                </c:pt>
                <c:pt idx="481">
                  <c:v>369</c:v>
                </c:pt>
                <c:pt idx="482">
                  <c:v>370</c:v>
                </c:pt>
                <c:pt idx="483">
                  <c:v>371</c:v>
                </c:pt>
                <c:pt idx="484">
                  <c:v>372</c:v>
                </c:pt>
                <c:pt idx="485">
                  <c:v>373</c:v>
                </c:pt>
                <c:pt idx="486">
                  <c:v>374</c:v>
                </c:pt>
                <c:pt idx="487">
                  <c:v>375</c:v>
                </c:pt>
                <c:pt idx="488">
                  <c:v>376</c:v>
                </c:pt>
                <c:pt idx="489">
                  <c:v>377</c:v>
                </c:pt>
                <c:pt idx="490">
                  <c:v>378</c:v>
                </c:pt>
                <c:pt idx="491">
                  <c:v>379</c:v>
                </c:pt>
                <c:pt idx="492">
                  <c:v>380</c:v>
                </c:pt>
                <c:pt idx="493">
                  <c:v>381</c:v>
                </c:pt>
                <c:pt idx="494">
                  <c:v>382</c:v>
                </c:pt>
                <c:pt idx="495">
                  <c:v>383</c:v>
                </c:pt>
                <c:pt idx="496">
                  <c:v>384</c:v>
                </c:pt>
                <c:pt idx="497">
                  <c:v>385</c:v>
                </c:pt>
                <c:pt idx="498">
                  <c:v>386</c:v>
                </c:pt>
                <c:pt idx="499">
                  <c:v>387</c:v>
                </c:pt>
                <c:pt idx="500">
                  <c:v>388</c:v>
                </c:pt>
                <c:pt idx="501">
                  <c:v>389</c:v>
                </c:pt>
                <c:pt idx="502">
                  <c:v>390</c:v>
                </c:pt>
                <c:pt idx="503">
                  <c:v>391</c:v>
                </c:pt>
                <c:pt idx="504">
                  <c:v>392</c:v>
                </c:pt>
                <c:pt idx="505">
                  <c:v>393</c:v>
                </c:pt>
                <c:pt idx="506">
                  <c:v>394</c:v>
                </c:pt>
                <c:pt idx="507">
                  <c:v>395</c:v>
                </c:pt>
                <c:pt idx="508">
                  <c:v>396</c:v>
                </c:pt>
                <c:pt idx="509">
                  <c:v>397</c:v>
                </c:pt>
                <c:pt idx="510">
                  <c:v>398</c:v>
                </c:pt>
                <c:pt idx="511">
                  <c:v>399</c:v>
                </c:pt>
                <c:pt idx="512">
                  <c:v>400</c:v>
                </c:pt>
                <c:pt idx="513">
                  <c:v>401</c:v>
                </c:pt>
                <c:pt idx="514">
                  <c:v>402</c:v>
                </c:pt>
                <c:pt idx="515">
                  <c:v>403</c:v>
                </c:pt>
                <c:pt idx="516">
                  <c:v>404</c:v>
                </c:pt>
                <c:pt idx="517">
                  <c:v>405</c:v>
                </c:pt>
                <c:pt idx="518">
                  <c:v>406</c:v>
                </c:pt>
                <c:pt idx="519">
                  <c:v>407</c:v>
                </c:pt>
                <c:pt idx="520">
                  <c:v>408</c:v>
                </c:pt>
                <c:pt idx="521">
                  <c:v>409</c:v>
                </c:pt>
                <c:pt idx="522">
                  <c:v>410</c:v>
                </c:pt>
                <c:pt idx="523">
                  <c:v>411</c:v>
                </c:pt>
                <c:pt idx="524">
                  <c:v>412</c:v>
                </c:pt>
                <c:pt idx="525">
                  <c:v>413</c:v>
                </c:pt>
                <c:pt idx="526">
                  <c:v>414</c:v>
                </c:pt>
                <c:pt idx="527">
                  <c:v>415</c:v>
                </c:pt>
                <c:pt idx="528">
                  <c:v>416</c:v>
                </c:pt>
                <c:pt idx="529">
                  <c:v>417</c:v>
                </c:pt>
                <c:pt idx="530">
                  <c:v>418</c:v>
                </c:pt>
                <c:pt idx="531">
                  <c:v>419</c:v>
                </c:pt>
                <c:pt idx="532">
                  <c:v>420</c:v>
                </c:pt>
                <c:pt idx="533">
                  <c:v>421</c:v>
                </c:pt>
                <c:pt idx="534">
                  <c:v>422</c:v>
                </c:pt>
                <c:pt idx="535">
                  <c:v>423</c:v>
                </c:pt>
                <c:pt idx="536">
                  <c:v>424</c:v>
                </c:pt>
                <c:pt idx="537">
                  <c:v>425</c:v>
                </c:pt>
                <c:pt idx="538">
                  <c:v>426</c:v>
                </c:pt>
                <c:pt idx="539">
                  <c:v>427</c:v>
                </c:pt>
                <c:pt idx="540">
                  <c:v>428</c:v>
                </c:pt>
                <c:pt idx="541">
                  <c:v>429</c:v>
                </c:pt>
                <c:pt idx="542">
                  <c:v>430</c:v>
                </c:pt>
                <c:pt idx="543">
                  <c:v>431</c:v>
                </c:pt>
                <c:pt idx="544">
                  <c:v>432</c:v>
                </c:pt>
                <c:pt idx="545">
                  <c:v>433</c:v>
                </c:pt>
                <c:pt idx="546">
                  <c:v>434</c:v>
                </c:pt>
                <c:pt idx="547">
                  <c:v>435</c:v>
                </c:pt>
                <c:pt idx="548">
                  <c:v>436</c:v>
                </c:pt>
                <c:pt idx="549">
                  <c:v>437</c:v>
                </c:pt>
                <c:pt idx="550">
                  <c:v>438</c:v>
                </c:pt>
                <c:pt idx="551">
                  <c:v>439</c:v>
                </c:pt>
                <c:pt idx="552">
                  <c:v>440</c:v>
                </c:pt>
                <c:pt idx="553">
                  <c:v>441</c:v>
                </c:pt>
                <c:pt idx="554">
                  <c:v>442</c:v>
                </c:pt>
                <c:pt idx="555">
                  <c:v>443</c:v>
                </c:pt>
                <c:pt idx="556">
                  <c:v>444</c:v>
                </c:pt>
                <c:pt idx="557">
                  <c:v>445</c:v>
                </c:pt>
                <c:pt idx="558">
                  <c:v>446</c:v>
                </c:pt>
                <c:pt idx="559">
                  <c:v>447</c:v>
                </c:pt>
                <c:pt idx="560">
                  <c:v>448</c:v>
                </c:pt>
                <c:pt idx="561">
                  <c:v>449</c:v>
                </c:pt>
                <c:pt idx="562">
                  <c:v>450</c:v>
                </c:pt>
                <c:pt idx="563">
                  <c:v>451</c:v>
                </c:pt>
                <c:pt idx="564">
                  <c:v>452</c:v>
                </c:pt>
                <c:pt idx="565">
                  <c:v>453</c:v>
                </c:pt>
                <c:pt idx="566">
                  <c:v>454</c:v>
                </c:pt>
                <c:pt idx="567">
                  <c:v>455</c:v>
                </c:pt>
                <c:pt idx="568">
                  <c:v>456</c:v>
                </c:pt>
                <c:pt idx="569">
                  <c:v>457</c:v>
                </c:pt>
                <c:pt idx="570">
                  <c:v>458</c:v>
                </c:pt>
                <c:pt idx="571">
                  <c:v>459</c:v>
                </c:pt>
                <c:pt idx="572">
                  <c:v>460</c:v>
                </c:pt>
                <c:pt idx="573">
                  <c:v>461</c:v>
                </c:pt>
                <c:pt idx="574">
                  <c:v>462</c:v>
                </c:pt>
                <c:pt idx="575">
                  <c:v>463</c:v>
                </c:pt>
                <c:pt idx="576">
                  <c:v>464</c:v>
                </c:pt>
                <c:pt idx="577">
                  <c:v>465</c:v>
                </c:pt>
                <c:pt idx="578">
                  <c:v>466</c:v>
                </c:pt>
                <c:pt idx="579">
                  <c:v>467</c:v>
                </c:pt>
                <c:pt idx="580">
                  <c:v>468</c:v>
                </c:pt>
                <c:pt idx="581">
                  <c:v>469</c:v>
                </c:pt>
                <c:pt idx="582">
                  <c:v>470</c:v>
                </c:pt>
                <c:pt idx="583">
                  <c:v>471</c:v>
                </c:pt>
                <c:pt idx="584">
                  <c:v>472</c:v>
                </c:pt>
                <c:pt idx="585">
                  <c:v>473</c:v>
                </c:pt>
                <c:pt idx="586">
                  <c:v>474</c:v>
                </c:pt>
                <c:pt idx="587">
                  <c:v>475</c:v>
                </c:pt>
                <c:pt idx="588">
                  <c:v>476</c:v>
                </c:pt>
                <c:pt idx="589">
                  <c:v>477</c:v>
                </c:pt>
                <c:pt idx="590">
                  <c:v>478</c:v>
                </c:pt>
                <c:pt idx="591">
                  <c:v>479</c:v>
                </c:pt>
                <c:pt idx="592">
                  <c:v>480</c:v>
                </c:pt>
                <c:pt idx="593">
                  <c:v>481</c:v>
                </c:pt>
                <c:pt idx="594">
                  <c:v>482</c:v>
                </c:pt>
                <c:pt idx="595">
                  <c:v>483</c:v>
                </c:pt>
                <c:pt idx="596">
                  <c:v>484</c:v>
                </c:pt>
                <c:pt idx="597">
                  <c:v>485</c:v>
                </c:pt>
                <c:pt idx="598">
                  <c:v>486</c:v>
                </c:pt>
                <c:pt idx="599">
                  <c:v>487</c:v>
                </c:pt>
                <c:pt idx="600">
                  <c:v>488</c:v>
                </c:pt>
                <c:pt idx="601">
                  <c:v>489</c:v>
                </c:pt>
                <c:pt idx="602">
                  <c:v>490</c:v>
                </c:pt>
                <c:pt idx="603">
                  <c:v>491</c:v>
                </c:pt>
                <c:pt idx="604">
                  <c:v>492</c:v>
                </c:pt>
                <c:pt idx="605">
                  <c:v>493</c:v>
                </c:pt>
                <c:pt idx="606">
                  <c:v>494</c:v>
                </c:pt>
                <c:pt idx="607">
                  <c:v>495</c:v>
                </c:pt>
                <c:pt idx="608">
                  <c:v>496</c:v>
                </c:pt>
                <c:pt idx="609">
                  <c:v>497</c:v>
                </c:pt>
                <c:pt idx="610">
                  <c:v>498</c:v>
                </c:pt>
                <c:pt idx="611">
                  <c:v>499</c:v>
                </c:pt>
                <c:pt idx="612">
                  <c:v>500</c:v>
                </c:pt>
                <c:pt idx="613">
                  <c:v>501</c:v>
                </c:pt>
                <c:pt idx="614">
                  <c:v>502</c:v>
                </c:pt>
                <c:pt idx="615">
                  <c:v>503</c:v>
                </c:pt>
                <c:pt idx="616">
                  <c:v>504</c:v>
                </c:pt>
                <c:pt idx="617">
                  <c:v>505</c:v>
                </c:pt>
                <c:pt idx="618">
                  <c:v>506</c:v>
                </c:pt>
                <c:pt idx="619">
                  <c:v>507</c:v>
                </c:pt>
                <c:pt idx="620">
                  <c:v>508</c:v>
                </c:pt>
                <c:pt idx="621">
                  <c:v>509</c:v>
                </c:pt>
                <c:pt idx="622">
                  <c:v>510</c:v>
                </c:pt>
                <c:pt idx="623">
                  <c:v>511</c:v>
                </c:pt>
                <c:pt idx="624">
                  <c:v>512</c:v>
                </c:pt>
                <c:pt idx="625">
                  <c:v>513</c:v>
                </c:pt>
                <c:pt idx="626">
                  <c:v>514</c:v>
                </c:pt>
                <c:pt idx="627">
                  <c:v>515</c:v>
                </c:pt>
                <c:pt idx="628">
                  <c:v>516</c:v>
                </c:pt>
                <c:pt idx="629">
                  <c:v>517</c:v>
                </c:pt>
                <c:pt idx="630">
                  <c:v>518</c:v>
                </c:pt>
                <c:pt idx="631">
                  <c:v>519</c:v>
                </c:pt>
                <c:pt idx="632">
                  <c:v>520</c:v>
                </c:pt>
                <c:pt idx="633">
                  <c:v>521</c:v>
                </c:pt>
                <c:pt idx="634">
                  <c:v>522</c:v>
                </c:pt>
                <c:pt idx="635">
                  <c:v>523</c:v>
                </c:pt>
                <c:pt idx="636">
                  <c:v>524</c:v>
                </c:pt>
                <c:pt idx="637">
                  <c:v>525</c:v>
                </c:pt>
                <c:pt idx="638">
                  <c:v>526</c:v>
                </c:pt>
                <c:pt idx="639">
                  <c:v>527</c:v>
                </c:pt>
                <c:pt idx="640">
                  <c:v>528</c:v>
                </c:pt>
                <c:pt idx="641">
                  <c:v>529</c:v>
                </c:pt>
                <c:pt idx="642">
                  <c:v>530</c:v>
                </c:pt>
                <c:pt idx="643">
                  <c:v>531</c:v>
                </c:pt>
                <c:pt idx="644">
                  <c:v>532</c:v>
                </c:pt>
                <c:pt idx="645">
                  <c:v>533</c:v>
                </c:pt>
                <c:pt idx="646">
                  <c:v>534</c:v>
                </c:pt>
                <c:pt idx="647">
                  <c:v>535</c:v>
                </c:pt>
                <c:pt idx="648">
                  <c:v>536</c:v>
                </c:pt>
                <c:pt idx="649">
                  <c:v>537</c:v>
                </c:pt>
                <c:pt idx="650">
                  <c:v>538</c:v>
                </c:pt>
                <c:pt idx="651">
                  <c:v>539</c:v>
                </c:pt>
                <c:pt idx="652">
                  <c:v>540</c:v>
                </c:pt>
                <c:pt idx="653">
                  <c:v>541</c:v>
                </c:pt>
                <c:pt idx="654">
                  <c:v>542</c:v>
                </c:pt>
                <c:pt idx="655">
                  <c:v>543</c:v>
                </c:pt>
                <c:pt idx="656">
                  <c:v>544</c:v>
                </c:pt>
                <c:pt idx="657">
                  <c:v>545</c:v>
                </c:pt>
                <c:pt idx="658">
                  <c:v>546</c:v>
                </c:pt>
                <c:pt idx="659">
                  <c:v>547</c:v>
                </c:pt>
                <c:pt idx="660">
                  <c:v>548</c:v>
                </c:pt>
                <c:pt idx="661">
                  <c:v>549</c:v>
                </c:pt>
                <c:pt idx="662">
                  <c:v>550</c:v>
                </c:pt>
                <c:pt idx="663">
                  <c:v>551</c:v>
                </c:pt>
                <c:pt idx="664">
                  <c:v>552</c:v>
                </c:pt>
                <c:pt idx="665">
                  <c:v>553</c:v>
                </c:pt>
                <c:pt idx="666">
                  <c:v>554</c:v>
                </c:pt>
                <c:pt idx="667">
                  <c:v>555</c:v>
                </c:pt>
                <c:pt idx="668">
                  <c:v>556</c:v>
                </c:pt>
                <c:pt idx="669">
                  <c:v>557</c:v>
                </c:pt>
                <c:pt idx="670">
                  <c:v>558</c:v>
                </c:pt>
                <c:pt idx="671">
                  <c:v>559</c:v>
                </c:pt>
                <c:pt idx="672">
                  <c:v>560</c:v>
                </c:pt>
                <c:pt idx="673">
                  <c:v>561</c:v>
                </c:pt>
                <c:pt idx="674">
                  <c:v>562</c:v>
                </c:pt>
                <c:pt idx="675">
                  <c:v>563</c:v>
                </c:pt>
                <c:pt idx="676">
                  <c:v>564</c:v>
                </c:pt>
                <c:pt idx="677">
                  <c:v>565</c:v>
                </c:pt>
                <c:pt idx="678">
                  <c:v>566</c:v>
                </c:pt>
                <c:pt idx="679">
                  <c:v>567</c:v>
                </c:pt>
                <c:pt idx="680">
                  <c:v>568</c:v>
                </c:pt>
                <c:pt idx="681">
                  <c:v>569</c:v>
                </c:pt>
                <c:pt idx="682">
                  <c:v>570</c:v>
                </c:pt>
                <c:pt idx="683">
                  <c:v>571</c:v>
                </c:pt>
                <c:pt idx="684">
                  <c:v>572</c:v>
                </c:pt>
                <c:pt idx="685">
                  <c:v>573</c:v>
                </c:pt>
                <c:pt idx="686">
                  <c:v>574</c:v>
                </c:pt>
                <c:pt idx="687">
                  <c:v>575</c:v>
                </c:pt>
                <c:pt idx="688">
                  <c:v>576</c:v>
                </c:pt>
                <c:pt idx="689">
                  <c:v>577</c:v>
                </c:pt>
                <c:pt idx="690">
                  <c:v>578</c:v>
                </c:pt>
                <c:pt idx="691">
                  <c:v>579</c:v>
                </c:pt>
                <c:pt idx="692">
                  <c:v>580</c:v>
                </c:pt>
                <c:pt idx="693">
                  <c:v>581</c:v>
                </c:pt>
                <c:pt idx="694">
                  <c:v>582</c:v>
                </c:pt>
                <c:pt idx="695">
                  <c:v>583</c:v>
                </c:pt>
                <c:pt idx="696">
                  <c:v>584</c:v>
                </c:pt>
                <c:pt idx="697">
                  <c:v>585</c:v>
                </c:pt>
                <c:pt idx="698">
                  <c:v>586</c:v>
                </c:pt>
                <c:pt idx="699">
                  <c:v>587</c:v>
                </c:pt>
                <c:pt idx="700">
                  <c:v>588</c:v>
                </c:pt>
                <c:pt idx="701">
                  <c:v>589</c:v>
                </c:pt>
                <c:pt idx="702">
                  <c:v>590</c:v>
                </c:pt>
                <c:pt idx="703">
                  <c:v>591</c:v>
                </c:pt>
                <c:pt idx="704">
                  <c:v>592</c:v>
                </c:pt>
                <c:pt idx="705">
                  <c:v>593</c:v>
                </c:pt>
                <c:pt idx="706">
                  <c:v>594</c:v>
                </c:pt>
                <c:pt idx="707">
                  <c:v>595</c:v>
                </c:pt>
                <c:pt idx="708">
                  <c:v>596</c:v>
                </c:pt>
                <c:pt idx="709">
                  <c:v>597</c:v>
                </c:pt>
                <c:pt idx="710">
                  <c:v>598</c:v>
                </c:pt>
                <c:pt idx="711">
                  <c:v>599</c:v>
                </c:pt>
                <c:pt idx="712">
                  <c:v>600</c:v>
                </c:pt>
                <c:pt idx="713">
                  <c:v>601</c:v>
                </c:pt>
                <c:pt idx="714">
                  <c:v>602</c:v>
                </c:pt>
                <c:pt idx="715">
                  <c:v>603</c:v>
                </c:pt>
                <c:pt idx="716">
                  <c:v>604</c:v>
                </c:pt>
                <c:pt idx="717">
                  <c:v>605</c:v>
                </c:pt>
                <c:pt idx="718">
                  <c:v>606</c:v>
                </c:pt>
                <c:pt idx="719">
                  <c:v>607</c:v>
                </c:pt>
                <c:pt idx="720">
                  <c:v>608</c:v>
                </c:pt>
                <c:pt idx="721">
                  <c:v>609</c:v>
                </c:pt>
                <c:pt idx="722">
                  <c:v>610</c:v>
                </c:pt>
                <c:pt idx="723">
                  <c:v>611</c:v>
                </c:pt>
                <c:pt idx="724">
                  <c:v>612</c:v>
                </c:pt>
                <c:pt idx="725">
                  <c:v>613</c:v>
                </c:pt>
                <c:pt idx="726">
                  <c:v>614</c:v>
                </c:pt>
                <c:pt idx="727">
                  <c:v>615</c:v>
                </c:pt>
                <c:pt idx="728">
                  <c:v>616</c:v>
                </c:pt>
                <c:pt idx="729">
                  <c:v>617</c:v>
                </c:pt>
                <c:pt idx="730">
                  <c:v>618</c:v>
                </c:pt>
                <c:pt idx="731">
                  <c:v>619</c:v>
                </c:pt>
                <c:pt idx="732">
                  <c:v>620</c:v>
                </c:pt>
                <c:pt idx="733">
                  <c:v>621</c:v>
                </c:pt>
                <c:pt idx="734">
                  <c:v>622</c:v>
                </c:pt>
                <c:pt idx="735">
                  <c:v>623</c:v>
                </c:pt>
                <c:pt idx="736">
                  <c:v>624</c:v>
                </c:pt>
                <c:pt idx="737">
                  <c:v>625</c:v>
                </c:pt>
                <c:pt idx="738">
                  <c:v>626</c:v>
                </c:pt>
                <c:pt idx="739">
                  <c:v>627</c:v>
                </c:pt>
                <c:pt idx="740">
                  <c:v>628</c:v>
                </c:pt>
                <c:pt idx="741">
                  <c:v>629</c:v>
                </c:pt>
                <c:pt idx="742">
                  <c:v>630</c:v>
                </c:pt>
                <c:pt idx="743">
                  <c:v>631</c:v>
                </c:pt>
                <c:pt idx="744">
                  <c:v>632</c:v>
                </c:pt>
                <c:pt idx="745">
                  <c:v>633</c:v>
                </c:pt>
                <c:pt idx="746">
                  <c:v>634</c:v>
                </c:pt>
                <c:pt idx="747">
                  <c:v>635</c:v>
                </c:pt>
                <c:pt idx="748">
                  <c:v>636</c:v>
                </c:pt>
                <c:pt idx="749">
                  <c:v>637</c:v>
                </c:pt>
                <c:pt idx="750">
                  <c:v>638</c:v>
                </c:pt>
                <c:pt idx="751">
                  <c:v>639</c:v>
                </c:pt>
                <c:pt idx="752">
                  <c:v>640</c:v>
                </c:pt>
                <c:pt idx="753">
                  <c:v>641</c:v>
                </c:pt>
                <c:pt idx="754">
                  <c:v>642</c:v>
                </c:pt>
                <c:pt idx="755">
                  <c:v>643</c:v>
                </c:pt>
                <c:pt idx="756">
                  <c:v>644</c:v>
                </c:pt>
                <c:pt idx="757">
                  <c:v>645</c:v>
                </c:pt>
                <c:pt idx="758">
                  <c:v>646</c:v>
                </c:pt>
                <c:pt idx="759">
                  <c:v>647</c:v>
                </c:pt>
                <c:pt idx="760">
                  <c:v>648</c:v>
                </c:pt>
                <c:pt idx="761">
                  <c:v>649</c:v>
                </c:pt>
                <c:pt idx="762">
                  <c:v>650</c:v>
                </c:pt>
                <c:pt idx="763">
                  <c:v>651</c:v>
                </c:pt>
                <c:pt idx="764">
                  <c:v>652</c:v>
                </c:pt>
                <c:pt idx="765">
                  <c:v>653</c:v>
                </c:pt>
                <c:pt idx="766">
                  <c:v>654</c:v>
                </c:pt>
                <c:pt idx="767">
                  <c:v>655</c:v>
                </c:pt>
                <c:pt idx="768">
                  <c:v>656</c:v>
                </c:pt>
                <c:pt idx="769">
                  <c:v>657</c:v>
                </c:pt>
                <c:pt idx="770">
                  <c:v>658</c:v>
                </c:pt>
                <c:pt idx="771">
                  <c:v>659</c:v>
                </c:pt>
                <c:pt idx="772">
                  <c:v>660</c:v>
                </c:pt>
                <c:pt idx="773">
                  <c:v>661</c:v>
                </c:pt>
                <c:pt idx="774">
                  <c:v>662</c:v>
                </c:pt>
                <c:pt idx="775">
                  <c:v>663</c:v>
                </c:pt>
                <c:pt idx="776">
                  <c:v>664</c:v>
                </c:pt>
                <c:pt idx="777">
                  <c:v>665</c:v>
                </c:pt>
                <c:pt idx="778">
                  <c:v>666</c:v>
                </c:pt>
                <c:pt idx="779">
                  <c:v>667</c:v>
                </c:pt>
                <c:pt idx="780">
                  <c:v>668</c:v>
                </c:pt>
                <c:pt idx="781">
                  <c:v>669</c:v>
                </c:pt>
                <c:pt idx="782">
                  <c:v>670</c:v>
                </c:pt>
                <c:pt idx="783">
                  <c:v>671</c:v>
                </c:pt>
                <c:pt idx="784">
                  <c:v>672</c:v>
                </c:pt>
                <c:pt idx="785">
                  <c:v>673</c:v>
                </c:pt>
                <c:pt idx="786">
                  <c:v>674</c:v>
                </c:pt>
                <c:pt idx="787">
                  <c:v>675</c:v>
                </c:pt>
                <c:pt idx="788">
                  <c:v>676</c:v>
                </c:pt>
                <c:pt idx="789">
                  <c:v>677</c:v>
                </c:pt>
                <c:pt idx="790">
                  <c:v>678</c:v>
                </c:pt>
                <c:pt idx="791">
                  <c:v>679</c:v>
                </c:pt>
                <c:pt idx="792">
                  <c:v>680</c:v>
                </c:pt>
                <c:pt idx="793">
                  <c:v>681</c:v>
                </c:pt>
                <c:pt idx="794">
                  <c:v>682</c:v>
                </c:pt>
                <c:pt idx="795">
                  <c:v>683</c:v>
                </c:pt>
                <c:pt idx="796">
                  <c:v>684</c:v>
                </c:pt>
                <c:pt idx="797">
                  <c:v>685</c:v>
                </c:pt>
                <c:pt idx="798">
                  <c:v>686</c:v>
                </c:pt>
                <c:pt idx="799">
                  <c:v>687</c:v>
                </c:pt>
                <c:pt idx="800">
                  <c:v>688</c:v>
                </c:pt>
                <c:pt idx="801">
                  <c:v>689</c:v>
                </c:pt>
                <c:pt idx="802">
                  <c:v>690</c:v>
                </c:pt>
                <c:pt idx="803">
                  <c:v>691</c:v>
                </c:pt>
                <c:pt idx="804">
                  <c:v>692</c:v>
                </c:pt>
                <c:pt idx="805">
                  <c:v>693</c:v>
                </c:pt>
                <c:pt idx="806">
                  <c:v>694</c:v>
                </c:pt>
                <c:pt idx="807">
                  <c:v>695</c:v>
                </c:pt>
                <c:pt idx="808">
                  <c:v>696</c:v>
                </c:pt>
                <c:pt idx="809">
                  <c:v>697</c:v>
                </c:pt>
                <c:pt idx="810">
                  <c:v>698</c:v>
                </c:pt>
                <c:pt idx="811">
                  <c:v>699</c:v>
                </c:pt>
                <c:pt idx="812">
                  <c:v>700</c:v>
                </c:pt>
                <c:pt idx="813">
                  <c:v>701</c:v>
                </c:pt>
                <c:pt idx="814">
                  <c:v>702</c:v>
                </c:pt>
                <c:pt idx="815">
                  <c:v>703</c:v>
                </c:pt>
                <c:pt idx="816">
                  <c:v>704</c:v>
                </c:pt>
                <c:pt idx="817">
                  <c:v>705</c:v>
                </c:pt>
                <c:pt idx="818">
                  <c:v>706</c:v>
                </c:pt>
                <c:pt idx="819">
                  <c:v>707</c:v>
                </c:pt>
                <c:pt idx="820">
                  <c:v>708</c:v>
                </c:pt>
                <c:pt idx="821">
                  <c:v>709</c:v>
                </c:pt>
                <c:pt idx="822">
                  <c:v>710</c:v>
                </c:pt>
                <c:pt idx="823">
                  <c:v>711</c:v>
                </c:pt>
                <c:pt idx="824">
                  <c:v>712</c:v>
                </c:pt>
                <c:pt idx="825">
                  <c:v>713</c:v>
                </c:pt>
                <c:pt idx="826">
                  <c:v>714</c:v>
                </c:pt>
                <c:pt idx="827">
                  <c:v>715</c:v>
                </c:pt>
                <c:pt idx="828">
                  <c:v>716</c:v>
                </c:pt>
                <c:pt idx="829">
                  <c:v>717</c:v>
                </c:pt>
                <c:pt idx="830">
                  <c:v>718</c:v>
                </c:pt>
                <c:pt idx="831">
                  <c:v>719</c:v>
                </c:pt>
                <c:pt idx="832">
                  <c:v>720</c:v>
                </c:pt>
                <c:pt idx="833">
                  <c:v>721</c:v>
                </c:pt>
                <c:pt idx="834">
                  <c:v>722</c:v>
                </c:pt>
                <c:pt idx="835">
                  <c:v>723</c:v>
                </c:pt>
                <c:pt idx="836">
                  <c:v>724</c:v>
                </c:pt>
                <c:pt idx="837">
                  <c:v>725</c:v>
                </c:pt>
                <c:pt idx="838">
                  <c:v>726</c:v>
                </c:pt>
                <c:pt idx="839">
                  <c:v>727</c:v>
                </c:pt>
                <c:pt idx="840">
                  <c:v>728</c:v>
                </c:pt>
                <c:pt idx="841">
                  <c:v>729</c:v>
                </c:pt>
                <c:pt idx="842">
                  <c:v>730</c:v>
                </c:pt>
                <c:pt idx="843">
                  <c:v>731</c:v>
                </c:pt>
                <c:pt idx="844">
                  <c:v>732</c:v>
                </c:pt>
                <c:pt idx="845">
                  <c:v>733</c:v>
                </c:pt>
                <c:pt idx="846">
                  <c:v>734</c:v>
                </c:pt>
                <c:pt idx="847">
                  <c:v>735</c:v>
                </c:pt>
                <c:pt idx="848">
                  <c:v>736</c:v>
                </c:pt>
                <c:pt idx="849">
                  <c:v>737</c:v>
                </c:pt>
                <c:pt idx="850">
                  <c:v>738</c:v>
                </c:pt>
                <c:pt idx="851">
                  <c:v>739</c:v>
                </c:pt>
                <c:pt idx="852">
                  <c:v>740</c:v>
                </c:pt>
                <c:pt idx="853">
                  <c:v>741</c:v>
                </c:pt>
                <c:pt idx="854">
                  <c:v>742</c:v>
                </c:pt>
                <c:pt idx="855">
                  <c:v>743</c:v>
                </c:pt>
                <c:pt idx="856">
                  <c:v>744</c:v>
                </c:pt>
                <c:pt idx="857">
                  <c:v>745</c:v>
                </c:pt>
                <c:pt idx="858">
                  <c:v>746</c:v>
                </c:pt>
                <c:pt idx="859">
                  <c:v>747</c:v>
                </c:pt>
                <c:pt idx="860">
                  <c:v>748</c:v>
                </c:pt>
                <c:pt idx="861">
                  <c:v>749</c:v>
                </c:pt>
                <c:pt idx="862">
                  <c:v>750</c:v>
                </c:pt>
                <c:pt idx="863">
                  <c:v>751</c:v>
                </c:pt>
                <c:pt idx="864">
                  <c:v>752</c:v>
                </c:pt>
                <c:pt idx="865">
                  <c:v>753</c:v>
                </c:pt>
                <c:pt idx="866">
                  <c:v>754</c:v>
                </c:pt>
                <c:pt idx="867">
                  <c:v>755</c:v>
                </c:pt>
                <c:pt idx="868">
                  <c:v>756</c:v>
                </c:pt>
                <c:pt idx="869">
                  <c:v>757</c:v>
                </c:pt>
                <c:pt idx="870">
                  <c:v>758</c:v>
                </c:pt>
                <c:pt idx="871">
                  <c:v>759</c:v>
                </c:pt>
                <c:pt idx="872">
                  <c:v>760</c:v>
                </c:pt>
                <c:pt idx="873">
                  <c:v>761</c:v>
                </c:pt>
                <c:pt idx="874">
                  <c:v>762</c:v>
                </c:pt>
                <c:pt idx="875">
                  <c:v>763</c:v>
                </c:pt>
                <c:pt idx="876">
                  <c:v>764</c:v>
                </c:pt>
                <c:pt idx="877">
                  <c:v>765</c:v>
                </c:pt>
                <c:pt idx="878">
                  <c:v>766</c:v>
                </c:pt>
                <c:pt idx="879">
                  <c:v>767</c:v>
                </c:pt>
                <c:pt idx="880">
                  <c:v>768</c:v>
                </c:pt>
                <c:pt idx="881">
                  <c:v>769</c:v>
                </c:pt>
                <c:pt idx="882">
                  <c:v>770</c:v>
                </c:pt>
                <c:pt idx="883">
                  <c:v>771</c:v>
                </c:pt>
                <c:pt idx="884">
                  <c:v>772</c:v>
                </c:pt>
                <c:pt idx="885">
                  <c:v>773</c:v>
                </c:pt>
                <c:pt idx="886">
                  <c:v>774</c:v>
                </c:pt>
                <c:pt idx="887">
                  <c:v>775</c:v>
                </c:pt>
                <c:pt idx="888">
                  <c:v>776</c:v>
                </c:pt>
                <c:pt idx="889">
                  <c:v>777</c:v>
                </c:pt>
                <c:pt idx="890">
                  <c:v>778</c:v>
                </c:pt>
                <c:pt idx="891">
                  <c:v>779</c:v>
                </c:pt>
                <c:pt idx="892">
                  <c:v>780</c:v>
                </c:pt>
                <c:pt idx="893">
                  <c:v>781</c:v>
                </c:pt>
                <c:pt idx="894">
                  <c:v>782</c:v>
                </c:pt>
                <c:pt idx="895">
                  <c:v>783</c:v>
                </c:pt>
                <c:pt idx="896">
                  <c:v>784</c:v>
                </c:pt>
                <c:pt idx="897">
                  <c:v>785</c:v>
                </c:pt>
                <c:pt idx="898">
                  <c:v>786</c:v>
                </c:pt>
                <c:pt idx="899">
                  <c:v>787</c:v>
                </c:pt>
                <c:pt idx="900">
                  <c:v>788</c:v>
                </c:pt>
                <c:pt idx="901">
                  <c:v>789</c:v>
                </c:pt>
                <c:pt idx="902">
                  <c:v>790</c:v>
                </c:pt>
                <c:pt idx="903">
                  <c:v>791</c:v>
                </c:pt>
                <c:pt idx="904">
                  <c:v>792</c:v>
                </c:pt>
                <c:pt idx="905">
                  <c:v>793</c:v>
                </c:pt>
                <c:pt idx="906">
                  <c:v>794</c:v>
                </c:pt>
                <c:pt idx="907">
                  <c:v>795</c:v>
                </c:pt>
                <c:pt idx="908">
                  <c:v>796</c:v>
                </c:pt>
                <c:pt idx="909">
                  <c:v>797</c:v>
                </c:pt>
                <c:pt idx="910">
                  <c:v>798</c:v>
                </c:pt>
                <c:pt idx="911">
                  <c:v>799</c:v>
                </c:pt>
                <c:pt idx="912">
                  <c:v>800</c:v>
                </c:pt>
                <c:pt idx="913">
                  <c:v>801</c:v>
                </c:pt>
                <c:pt idx="914">
                  <c:v>802</c:v>
                </c:pt>
                <c:pt idx="915">
                  <c:v>803</c:v>
                </c:pt>
                <c:pt idx="916">
                  <c:v>804</c:v>
                </c:pt>
                <c:pt idx="917">
                  <c:v>805</c:v>
                </c:pt>
                <c:pt idx="918">
                  <c:v>806</c:v>
                </c:pt>
                <c:pt idx="919">
                  <c:v>807</c:v>
                </c:pt>
                <c:pt idx="920">
                  <c:v>808</c:v>
                </c:pt>
                <c:pt idx="921">
                  <c:v>809</c:v>
                </c:pt>
                <c:pt idx="922">
                  <c:v>810</c:v>
                </c:pt>
                <c:pt idx="923">
                  <c:v>811</c:v>
                </c:pt>
                <c:pt idx="924">
                  <c:v>812</c:v>
                </c:pt>
                <c:pt idx="925">
                  <c:v>813</c:v>
                </c:pt>
                <c:pt idx="926">
                  <c:v>814</c:v>
                </c:pt>
                <c:pt idx="927">
                  <c:v>815</c:v>
                </c:pt>
                <c:pt idx="928">
                  <c:v>816</c:v>
                </c:pt>
                <c:pt idx="929">
                  <c:v>817</c:v>
                </c:pt>
                <c:pt idx="930">
                  <c:v>818</c:v>
                </c:pt>
                <c:pt idx="931">
                  <c:v>819</c:v>
                </c:pt>
                <c:pt idx="932">
                  <c:v>820</c:v>
                </c:pt>
                <c:pt idx="933">
                  <c:v>821</c:v>
                </c:pt>
                <c:pt idx="934">
                  <c:v>822</c:v>
                </c:pt>
                <c:pt idx="935">
                  <c:v>823</c:v>
                </c:pt>
                <c:pt idx="936">
                  <c:v>824</c:v>
                </c:pt>
                <c:pt idx="937">
                  <c:v>825</c:v>
                </c:pt>
                <c:pt idx="938">
                  <c:v>826</c:v>
                </c:pt>
                <c:pt idx="939">
                  <c:v>827</c:v>
                </c:pt>
                <c:pt idx="940">
                  <c:v>828</c:v>
                </c:pt>
                <c:pt idx="941">
                  <c:v>829</c:v>
                </c:pt>
                <c:pt idx="942">
                  <c:v>830</c:v>
                </c:pt>
                <c:pt idx="943">
                  <c:v>831</c:v>
                </c:pt>
                <c:pt idx="944">
                  <c:v>832</c:v>
                </c:pt>
                <c:pt idx="945">
                  <c:v>833</c:v>
                </c:pt>
                <c:pt idx="946">
                  <c:v>834</c:v>
                </c:pt>
                <c:pt idx="947">
                  <c:v>835</c:v>
                </c:pt>
                <c:pt idx="948">
                  <c:v>836</c:v>
                </c:pt>
                <c:pt idx="949">
                  <c:v>837</c:v>
                </c:pt>
                <c:pt idx="950">
                  <c:v>838</c:v>
                </c:pt>
                <c:pt idx="951">
                  <c:v>839</c:v>
                </c:pt>
                <c:pt idx="952">
                  <c:v>840</c:v>
                </c:pt>
                <c:pt idx="953">
                  <c:v>841</c:v>
                </c:pt>
                <c:pt idx="954">
                  <c:v>842</c:v>
                </c:pt>
                <c:pt idx="955">
                  <c:v>843</c:v>
                </c:pt>
                <c:pt idx="956">
                  <c:v>844</c:v>
                </c:pt>
                <c:pt idx="957">
                  <c:v>845</c:v>
                </c:pt>
                <c:pt idx="958">
                  <c:v>846</c:v>
                </c:pt>
                <c:pt idx="959">
                  <c:v>847</c:v>
                </c:pt>
                <c:pt idx="960">
                  <c:v>848</c:v>
                </c:pt>
                <c:pt idx="961">
                  <c:v>849</c:v>
                </c:pt>
                <c:pt idx="962">
                  <c:v>850</c:v>
                </c:pt>
                <c:pt idx="963">
                  <c:v>851</c:v>
                </c:pt>
                <c:pt idx="964">
                  <c:v>852</c:v>
                </c:pt>
                <c:pt idx="965">
                  <c:v>853</c:v>
                </c:pt>
                <c:pt idx="966">
                  <c:v>854</c:v>
                </c:pt>
                <c:pt idx="967">
                  <c:v>855</c:v>
                </c:pt>
                <c:pt idx="968">
                  <c:v>856</c:v>
                </c:pt>
                <c:pt idx="969">
                  <c:v>857</c:v>
                </c:pt>
                <c:pt idx="970">
                  <c:v>858</c:v>
                </c:pt>
                <c:pt idx="971">
                  <c:v>859</c:v>
                </c:pt>
                <c:pt idx="972">
                  <c:v>860</c:v>
                </c:pt>
                <c:pt idx="973">
                  <c:v>861</c:v>
                </c:pt>
                <c:pt idx="974">
                  <c:v>862</c:v>
                </c:pt>
                <c:pt idx="975">
                  <c:v>863</c:v>
                </c:pt>
                <c:pt idx="976">
                  <c:v>864</c:v>
                </c:pt>
                <c:pt idx="977">
                  <c:v>865</c:v>
                </c:pt>
                <c:pt idx="978">
                  <c:v>866</c:v>
                </c:pt>
                <c:pt idx="979">
                  <c:v>867</c:v>
                </c:pt>
                <c:pt idx="980">
                  <c:v>868</c:v>
                </c:pt>
                <c:pt idx="981">
                  <c:v>869</c:v>
                </c:pt>
                <c:pt idx="982">
                  <c:v>870</c:v>
                </c:pt>
                <c:pt idx="983">
                  <c:v>871</c:v>
                </c:pt>
                <c:pt idx="984">
                  <c:v>872</c:v>
                </c:pt>
                <c:pt idx="985">
                  <c:v>873</c:v>
                </c:pt>
                <c:pt idx="986">
                  <c:v>874</c:v>
                </c:pt>
                <c:pt idx="987">
                  <c:v>875</c:v>
                </c:pt>
                <c:pt idx="988">
                  <c:v>876</c:v>
                </c:pt>
                <c:pt idx="989">
                  <c:v>877</c:v>
                </c:pt>
                <c:pt idx="990">
                  <c:v>878</c:v>
                </c:pt>
                <c:pt idx="991">
                  <c:v>879</c:v>
                </c:pt>
                <c:pt idx="992">
                  <c:v>880</c:v>
                </c:pt>
                <c:pt idx="993">
                  <c:v>881</c:v>
                </c:pt>
                <c:pt idx="994">
                  <c:v>882</c:v>
                </c:pt>
                <c:pt idx="995">
                  <c:v>883</c:v>
                </c:pt>
                <c:pt idx="996">
                  <c:v>884</c:v>
                </c:pt>
                <c:pt idx="997">
                  <c:v>885</c:v>
                </c:pt>
                <c:pt idx="998">
                  <c:v>886</c:v>
                </c:pt>
                <c:pt idx="999">
                  <c:v>887</c:v>
                </c:pt>
                <c:pt idx="1000">
                  <c:v>888</c:v>
                </c:pt>
                <c:pt idx="1001">
                  <c:v>889</c:v>
                </c:pt>
                <c:pt idx="1002">
                  <c:v>890</c:v>
                </c:pt>
                <c:pt idx="1003">
                  <c:v>891</c:v>
                </c:pt>
                <c:pt idx="1004">
                  <c:v>892</c:v>
                </c:pt>
                <c:pt idx="1005">
                  <c:v>893</c:v>
                </c:pt>
                <c:pt idx="1006">
                  <c:v>894</c:v>
                </c:pt>
                <c:pt idx="1007">
                  <c:v>895</c:v>
                </c:pt>
                <c:pt idx="1008">
                  <c:v>896</c:v>
                </c:pt>
                <c:pt idx="1009">
                  <c:v>897</c:v>
                </c:pt>
                <c:pt idx="1010">
                  <c:v>898</c:v>
                </c:pt>
                <c:pt idx="1011">
                  <c:v>899</c:v>
                </c:pt>
                <c:pt idx="1012">
                  <c:v>900</c:v>
                </c:pt>
                <c:pt idx="1013">
                  <c:v>901</c:v>
                </c:pt>
                <c:pt idx="1014">
                  <c:v>902</c:v>
                </c:pt>
                <c:pt idx="1015">
                  <c:v>903</c:v>
                </c:pt>
                <c:pt idx="1016">
                  <c:v>904</c:v>
                </c:pt>
                <c:pt idx="1017">
                  <c:v>905</c:v>
                </c:pt>
                <c:pt idx="1018">
                  <c:v>906</c:v>
                </c:pt>
                <c:pt idx="1019">
                  <c:v>907</c:v>
                </c:pt>
                <c:pt idx="1020">
                  <c:v>908</c:v>
                </c:pt>
                <c:pt idx="1021">
                  <c:v>909</c:v>
                </c:pt>
                <c:pt idx="1022">
                  <c:v>910</c:v>
                </c:pt>
                <c:pt idx="1023">
                  <c:v>911</c:v>
                </c:pt>
                <c:pt idx="1024">
                  <c:v>912</c:v>
                </c:pt>
                <c:pt idx="1025">
                  <c:v>913</c:v>
                </c:pt>
                <c:pt idx="1026">
                  <c:v>914</c:v>
                </c:pt>
                <c:pt idx="1027">
                  <c:v>915</c:v>
                </c:pt>
                <c:pt idx="1028">
                  <c:v>916</c:v>
                </c:pt>
                <c:pt idx="1029">
                  <c:v>917</c:v>
                </c:pt>
                <c:pt idx="1030">
                  <c:v>918</c:v>
                </c:pt>
                <c:pt idx="1031">
                  <c:v>919</c:v>
                </c:pt>
                <c:pt idx="1032">
                  <c:v>920</c:v>
                </c:pt>
                <c:pt idx="1033">
                  <c:v>921</c:v>
                </c:pt>
                <c:pt idx="1034">
                  <c:v>922</c:v>
                </c:pt>
                <c:pt idx="1035">
                  <c:v>923</c:v>
                </c:pt>
                <c:pt idx="1036">
                  <c:v>924</c:v>
                </c:pt>
                <c:pt idx="1037">
                  <c:v>925</c:v>
                </c:pt>
                <c:pt idx="1038">
                  <c:v>926</c:v>
                </c:pt>
                <c:pt idx="1039">
                  <c:v>927</c:v>
                </c:pt>
                <c:pt idx="1040">
                  <c:v>928</c:v>
                </c:pt>
                <c:pt idx="1041">
                  <c:v>929</c:v>
                </c:pt>
                <c:pt idx="1042">
                  <c:v>930</c:v>
                </c:pt>
                <c:pt idx="1043">
                  <c:v>931</c:v>
                </c:pt>
                <c:pt idx="1044">
                  <c:v>932</c:v>
                </c:pt>
                <c:pt idx="1045">
                  <c:v>933</c:v>
                </c:pt>
                <c:pt idx="1046">
                  <c:v>934</c:v>
                </c:pt>
                <c:pt idx="1047">
                  <c:v>935</c:v>
                </c:pt>
                <c:pt idx="1048">
                  <c:v>936</c:v>
                </c:pt>
                <c:pt idx="1049">
                  <c:v>937</c:v>
                </c:pt>
                <c:pt idx="1050">
                  <c:v>938</c:v>
                </c:pt>
                <c:pt idx="1051">
                  <c:v>939</c:v>
                </c:pt>
                <c:pt idx="1052">
                  <c:v>940</c:v>
                </c:pt>
                <c:pt idx="1053">
                  <c:v>941</c:v>
                </c:pt>
                <c:pt idx="1054">
                  <c:v>942</c:v>
                </c:pt>
                <c:pt idx="1055">
                  <c:v>943</c:v>
                </c:pt>
                <c:pt idx="1056">
                  <c:v>944</c:v>
                </c:pt>
                <c:pt idx="1057">
                  <c:v>945</c:v>
                </c:pt>
                <c:pt idx="1058">
                  <c:v>946</c:v>
                </c:pt>
                <c:pt idx="1059">
                  <c:v>947</c:v>
                </c:pt>
                <c:pt idx="1060">
                  <c:v>948</c:v>
                </c:pt>
                <c:pt idx="1061">
                  <c:v>949</c:v>
                </c:pt>
                <c:pt idx="1062">
                  <c:v>950</c:v>
                </c:pt>
                <c:pt idx="1063">
                  <c:v>951</c:v>
                </c:pt>
                <c:pt idx="1064">
                  <c:v>952</c:v>
                </c:pt>
                <c:pt idx="1065">
                  <c:v>953</c:v>
                </c:pt>
                <c:pt idx="1066">
                  <c:v>954</c:v>
                </c:pt>
                <c:pt idx="1067">
                  <c:v>955</c:v>
                </c:pt>
                <c:pt idx="1068">
                  <c:v>956</c:v>
                </c:pt>
                <c:pt idx="1069">
                  <c:v>957</c:v>
                </c:pt>
                <c:pt idx="1070">
                  <c:v>958</c:v>
                </c:pt>
                <c:pt idx="1071">
                  <c:v>959</c:v>
                </c:pt>
                <c:pt idx="1072">
                  <c:v>960</c:v>
                </c:pt>
                <c:pt idx="1073">
                  <c:v>961</c:v>
                </c:pt>
                <c:pt idx="1074">
                  <c:v>962</c:v>
                </c:pt>
                <c:pt idx="1075">
                  <c:v>963</c:v>
                </c:pt>
                <c:pt idx="1076">
                  <c:v>964</c:v>
                </c:pt>
                <c:pt idx="1077">
                  <c:v>965</c:v>
                </c:pt>
                <c:pt idx="1078">
                  <c:v>966</c:v>
                </c:pt>
                <c:pt idx="1079">
                  <c:v>967</c:v>
                </c:pt>
                <c:pt idx="1080">
                  <c:v>968</c:v>
                </c:pt>
                <c:pt idx="1081">
                  <c:v>969</c:v>
                </c:pt>
                <c:pt idx="1082">
                  <c:v>970</c:v>
                </c:pt>
                <c:pt idx="1083">
                  <c:v>971</c:v>
                </c:pt>
                <c:pt idx="1084">
                  <c:v>972</c:v>
                </c:pt>
                <c:pt idx="1085">
                  <c:v>973</c:v>
                </c:pt>
                <c:pt idx="1086">
                  <c:v>974</c:v>
                </c:pt>
                <c:pt idx="1087">
                  <c:v>975</c:v>
                </c:pt>
                <c:pt idx="1088">
                  <c:v>976</c:v>
                </c:pt>
                <c:pt idx="1089">
                  <c:v>977</c:v>
                </c:pt>
                <c:pt idx="1090">
                  <c:v>978</c:v>
                </c:pt>
                <c:pt idx="1091">
                  <c:v>979</c:v>
                </c:pt>
                <c:pt idx="1092">
                  <c:v>980</c:v>
                </c:pt>
                <c:pt idx="1093">
                  <c:v>981</c:v>
                </c:pt>
                <c:pt idx="1094">
                  <c:v>982</c:v>
                </c:pt>
                <c:pt idx="1095">
                  <c:v>983</c:v>
                </c:pt>
                <c:pt idx="1096">
                  <c:v>984</c:v>
                </c:pt>
                <c:pt idx="1097">
                  <c:v>985</c:v>
                </c:pt>
                <c:pt idx="1098">
                  <c:v>986</c:v>
                </c:pt>
                <c:pt idx="1099">
                  <c:v>987</c:v>
                </c:pt>
                <c:pt idx="1100">
                  <c:v>988</c:v>
                </c:pt>
                <c:pt idx="1101">
                  <c:v>989</c:v>
                </c:pt>
                <c:pt idx="1102">
                  <c:v>990</c:v>
                </c:pt>
                <c:pt idx="1103">
                  <c:v>991</c:v>
                </c:pt>
                <c:pt idx="1104">
                  <c:v>992</c:v>
                </c:pt>
                <c:pt idx="1105">
                  <c:v>993</c:v>
                </c:pt>
                <c:pt idx="1106">
                  <c:v>994</c:v>
                </c:pt>
                <c:pt idx="1107">
                  <c:v>995</c:v>
                </c:pt>
                <c:pt idx="1108">
                  <c:v>996</c:v>
                </c:pt>
                <c:pt idx="1109">
                  <c:v>997</c:v>
                </c:pt>
                <c:pt idx="1110">
                  <c:v>998</c:v>
                </c:pt>
                <c:pt idx="1111">
                  <c:v>999</c:v>
                </c:pt>
                <c:pt idx="1112">
                  <c:v>1000</c:v>
                </c:pt>
                <c:pt idx="1113">
                  <c:v>1001</c:v>
                </c:pt>
                <c:pt idx="1114">
                  <c:v>1002</c:v>
                </c:pt>
                <c:pt idx="1115">
                  <c:v>1003</c:v>
                </c:pt>
                <c:pt idx="1116">
                  <c:v>1004</c:v>
                </c:pt>
                <c:pt idx="1117">
                  <c:v>1005</c:v>
                </c:pt>
                <c:pt idx="1118">
                  <c:v>1006</c:v>
                </c:pt>
                <c:pt idx="1119">
                  <c:v>1007</c:v>
                </c:pt>
                <c:pt idx="1120">
                  <c:v>1008</c:v>
                </c:pt>
                <c:pt idx="1121">
                  <c:v>1009</c:v>
                </c:pt>
                <c:pt idx="1122">
                  <c:v>1010</c:v>
                </c:pt>
                <c:pt idx="1123">
                  <c:v>1011</c:v>
                </c:pt>
                <c:pt idx="1124">
                  <c:v>1012</c:v>
                </c:pt>
                <c:pt idx="1125">
                  <c:v>1013</c:v>
                </c:pt>
                <c:pt idx="1126">
                  <c:v>1014</c:v>
                </c:pt>
                <c:pt idx="1127">
                  <c:v>1015</c:v>
                </c:pt>
                <c:pt idx="1128">
                  <c:v>1016</c:v>
                </c:pt>
                <c:pt idx="1129">
                  <c:v>1017</c:v>
                </c:pt>
                <c:pt idx="1130">
                  <c:v>1018</c:v>
                </c:pt>
                <c:pt idx="1131">
                  <c:v>1019</c:v>
                </c:pt>
                <c:pt idx="1132">
                  <c:v>1020</c:v>
                </c:pt>
                <c:pt idx="1133">
                  <c:v>1021</c:v>
                </c:pt>
                <c:pt idx="1134">
                  <c:v>1022</c:v>
                </c:pt>
                <c:pt idx="1135">
                  <c:v>1023</c:v>
                </c:pt>
                <c:pt idx="1136">
                  <c:v>1024</c:v>
                </c:pt>
                <c:pt idx="1137">
                  <c:v>1025</c:v>
                </c:pt>
                <c:pt idx="1138">
                  <c:v>1026</c:v>
                </c:pt>
                <c:pt idx="1139">
                  <c:v>1027</c:v>
                </c:pt>
                <c:pt idx="1140">
                  <c:v>1028</c:v>
                </c:pt>
                <c:pt idx="1141">
                  <c:v>1029</c:v>
                </c:pt>
                <c:pt idx="1142">
                  <c:v>1030</c:v>
                </c:pt>
                <c:pt idx="1143">
                  <c:v>1031</c:v>
                </c:pt>
                <c:pt idx="1144">
                  <c:v>1032</c:v>
                </c:pt>
                <c:pt idx="1145">
                  <c:v>1033</c:v>
                </c:pt>
                <c:pt idx="1146">
                  <c:v>1034</c:v>
                </c:pt>
                <c:pt idx="1147">
                  <c:v>1035</c:v>
                </c:pt>
                <c:pt idx="1148">
                  <c:v>1036</c:v>
                </c:pt>
                <c:pt idx="1149">
                  <c:v>1037</c:v>
                </c:pt>
                <c:pt idx="1150">
                  <c:v>1038</c:v>
                </c:pt>
                <c:pt idx="1151">
                  <c:v>1039</c:v>
                </c:pt>
                <c:pt idx="1152">
                  <c:v>1040</c:v>
                </c:pt>
                <c:pt idx="1153">
                  <c:v>1041</c:v>
                </c:pt>
                <c:pt idx="1154">
                  <c:v>1042</c:v>
                </c:pt>
                <c:pt idx="1155">
                  <c:v>1043</c:v>
                </c:pt>
                <c:pt idx="1156">
                  <c:v>1044</c:v>
                </c:pt>
                <c:pt idx="1157">
                  <c:v>1045</c:v>
                </c:pt>
                <c:pt idx="1158">
                  <c:v>1046</c:v>
                </c:pt>
                <c:pt idx="1159">
                  <c:v>1047</c:v>
                </c:pt>
                <c:pt idx="1160">
                  <c:v>1048</c:v>
                </c:pt>
                <c:pt idx="1161">
                  <c:v>1049</c:v>
                </c:pt>
                <c:pt idx="1162">
                  <c:v>1050</c:v>
                </c:pt>
                <c:pt idx="1163">
                  <c:v>1051</c:v>
                </c:pt>
                <c:pt idx="1164">
                  <c:v>1052</c:v>
                </c:pt>
                <c:pt idx="1165">
                  <c:v>1053</c:v>
                </c:pt>
                <c:pt idx="1166">
                  <c:v>1054</c:v>
                </c:pt>
                <c:pt idx="1167">
                  <c:v>1055</c:v>
                </c:pt>
                <c:pt idx="1168">
                  <c:v>1056</c:v>
                </c:pt>
                <c:pt idx="1169">
                  <c:v>1057</c:v>
                </c:pt>
                <c:pt idx="1170">
                  <c:v>1058</c:v>
                </c:pt>
                <c:pt idx="1171">
                  <c:v>1059</c:v>
                </c:pt>
                <c:pt idx="1172">
                  <c:v>1060</c:v>
                </c:pt>
                <c:pt idx="1173">
                  <c:v>1061</c:v>
                </c:pt>
                <c:pt idx="1174">
                  <c:v>1062</c:v>
                </c:pt>
                <c:pt idx="1175">
                  <c:v>1063</c:v>
                </c:pt>
                <c:pt idx="1176">
                  <c:v>1064</c:v>
                </c:pt>
                <c:pt idx="1177">
                  <c:v>1065</c:v>
                </c:pt>
                <c:pt idx="1178">
                  <c:v>1066</c:v>
                </c:pt>
                <c:pt idx="1179">
                  <c:v>1067</c:v>
                </c:pt>
                <c:pt idx="1180">
                  <c:v>1068</c:v>
                </c:pt>
                <c:pt idx="1181">
                  <c:v>1069</c:v>
                </c:pt>
                <c:pt idx="1182">
                  <c:v>1070</c:v>
                </c:pt>
                <c:pt idx="1183">
                  <c:v>1071</c:v>
                </c:pt>
                <c:pt idx="1184">
                  <c:v>1072</c:v>
                </c:pt>
                <c:pt idx="1185">
                  <c:v>1073</c:v>
                </c:pt>
                <c:pt idx="1186">
                  <c:v>1074</c:v>
                </c:pt>
                <c:pt idx="1187">
                  <c:v>1075</c:v>
                </c:pt>
                <c:pt idx="1188">
                  <c:v>1076</c:v>
                </c:pt>
                <c:pt idx="1189">
                  <c:v>1077</c:v>
                </c:pt>
                <c:pt idx="1190">
                  <c:v>1078</c:v>
                </c:pt>
                <c:pt idx="1191">
                  <c:v>1079</c:v>
                </c:pt>
                <c:pt idx="1192">
                  <c:v>1080</c:v>
                </c:pt>
                <c:pt idx="1193">
                  <c:v>1081</c:v>
                </c:pt>
                <c:pt idx="1194">
                  <c:v>1082</c:v>
                </c:pt>
                <c:pt idx="1195">
                  <c:v>1083</c:v>
                </c:pt>
                <c:pt idx="1196">
                  <c:v>1084</c:v>
                </c:pt>
                <c:pt idx="1197">
                  <c:v>1085</c:v>
                </c:pt>
                <c:pt idx="1198">
                  <c:v>1086</c:v>
                </c:pt>
                <c:pt idx="1199">
                  <c:v>1087</c:v>
                </c:pt>
                <c:pt idx="1200">
                  <c:v>1088</c:v>
                </c:pt>
                <c:pt idx="1201">
                  <c:v>1089</c:v>
                </c:pt>
                <c:pt idx="1202">
                  <c:v>1090</c:v>
                </c:pt>
                <c:pt idx="1203">
                  <c:v>1091</c:v>
                </c:pt>
                <c:pt idx="1204">
                  <c:v>1092</c:v>
                </c:pt>
                <c:pt idx="1205">
                  <c:v>1093</c:v>
                </c:pt>
                <c:pt idx="1206">
                  <c:v>1094</c:v>
                </c:pt>
                <c:pt idx="1207">
                  <c:v>1095</c:v>
                </c:pt>
                <c:pt idx="1208">
                  <c:v>1096</c:v>
                </c:pt>
                <c:pt idx="1209">
                  <c:v>1097</c:v>
                </c:pt>
                <c:pt idx="1210">
                  <c:v>1098</c:v>
                </c:pt>
                <c:pt idx="1211">
                  <c:v>1099</c:v>
                </c:pt>
                <c:pt idx="1212">
                  <c:v>1100</c:v>
                </c:pt>
                <c:pt idx="1213">
                  <c:v>1101</c:v>
                </c:pt>
                <c:pt idx="1214">
                  <c:v>1102</c:v>
                </c:pt>
                <c:pt idx="1215">
                  <c:v>1103</c:v>
                </c:pt>
                <c:pt idx="1216">
                  <c:v>1104</c:v>
                </c:pt>
                <c:pt idx="1217">
                  <c:v>1105</c:v>
                </c:pt>
                <c:pt idx="1218">
                  <c:v>1106</c:v>
                </c:pt>
                <c:pt idx="1219">
                  <c:v>1107</c:v>
                </c:pt>
                <c:pt idx="1220">
                  <c:v>1108</c:v>
                </c:pt>
                <c:pt idx="1221">
                  <c:v>1109</c:v>
                </c:pt>
                <c:pt idx="1222">
                  <c:v>1110</c:v>
                </c:pt>
                <c:pt idx="1223">
                  <c:v>1111</c:v>
                </c:pt>
                <c:pt idx="1224">
                  <c:v>1112</c:v>
                </c:pt>
                <c:pt idx="1225">
                  <c:v>1113</c:v>
                </c:pt>
                <c:pt idx="1226">
                  <c:v>1114</c:v>
                </c:pt>
                <c:pt idx="1227">
                  <c:v>1115</c:v>
                </c:pt>
                <c:pt idx="1228">
                  <c:v>1116</c:v>
                </c:pt>
                <c:pt idx="1229">
                  <c:v>1117</c:v>
                </c:pt>
                <c:pt idx="1230">
                  <c:v>1118</c:v>
                </c:pt>
                <c:pt idx="1231">
                  <c:v>1119</c:v>
                </c:pt>
                <c:pt idx="1232">
                  <c:v>1120</c:v>
                </c:pt>
                <c:pt idx="1233">
                  <c:v>1121</c:v>
                </c:pt>
                <c:pt idx="1234">
                  <c:v>1122</c:v>
                </c:pt>
                <c:pt idx="1235">
                  <c:v>1123</c:v>
                </c:pt>
                <c:pt idx="1236">
                  <c:v>1124</c:v>
                </c:pt>
                <c:pt idx="1237">
                  <c:v>1125</c:v>
                </c:pt>
                <c:pt idx="1238">
                  <c:v>1126</c:v>
                </c:pt>
                <c:pt idx="1239">
                  <c:v>1127</c:v>
                </c:pt>
                <c:pt idx="1240">
                  <c:v>1128</c:v>
                </c:pt>
                <c:pt idx="1241">
                  <c:v>1129</c:v>
                </c:pt>
                <c:pt idx="1242">
                  <c:v>1130</c:v>
                </c:pt>
                <c:pt idx="1243">
                  <c:v>1131</c:v>
                </c:pt>
                <c:pt idx="1244">
                  <c:v>1132</c:v>
                </c:pt>
                <c:pt idx="1245">
                  <c:v>1133</c:v>
                </c:pt>
                <c:pt idx="1246">
                  <c:v>1134</c:v>
                </c:pt>
                <c:pt idx="1247">
                  <c:v>1135</c:v>
                </c:pt>
                <c:pt idx="1248">
                  <c:v>1136</c:v>
                </c:pt>
                <c:pt idx="1249">
                  <c:v>1137</c:v>
                </c:pt>
                <c:pt idx="1250">
                  <c:v>1138</c:v>
                </c:pt>
                <c:pt idx="1251">
                  <c:v>1139</c:v>
                </c:pt>
                <c:pt idx="1252">
                  <c:v>1140</c:v>
                </c:pt>
                <c:pt idx="1253">
                  <c:v>1141</c:v>
                </c:pt>
                <c:pt idx="1254">
                  <c:v>1142</c:v>
                </c:pt>
                <c:pt idx="1255">
                  <c:v>1143</c:v>
                </c:pt>
                <c:pt idx="1256">
                  <c:v>1144</c:v>
                </c:pt>
                <c:pt idx="1257">
                  <c:v>1145</c:v>
                </c:pt>
                <c:pt idx="1258">
                  <c:v>1146</c:v>
                </c:pt>
                <c:pt idx="1259">
                  <c:v>1147</c:v>
                </c:pt>
                <c:pt idx="1260">
                  <c:v>1148</c:v>
                </c:pt>
                <c:pt idx="1261">
                  <c:v>1149</c:v>
                </c:pt>
                <c:pt idx="1262">
                  <c:v>1150</c:v>
                </c:pt>
                <c:pt idx="1263">
                  <c:v>1151</c:v>
                </c:pt>
                <c:pt idx="1264">
                  <c:v>1152</c:v>
                </c:pt>
                <c:pt idx="1265">
                  <c:v>1153</c:v>
                </c:pt>
                <c:pt idx="1266">
                  <c:v>1154</c:v>
                </c:pt>
                <c:pt idx="1267">
                  <c:v>1155</c:v>
                </c:pt>
                <c:pt idx="1268">
                  <c:v>1156</c:v>
                </c:pt>
                <c:pt idx="1269">
                  <c:v>1157</c:v>
                </c:pt>
                <c:pt idx="1270">
                  <c:v>1158</c:v>
                </c:pt>
                <c:pt idx="1271">
                  <c:v>1159</c:v>
                </c:pt>
                <c:pt idx="1272">
                  <c:v>1160</c:v>
                </c:pt>
                <c:pt idx="1273">
                  <c:v>1161</c:v>
                </c:pt>
                <c:pt idx="1274">
                  <c:v>1162</c:v>
                </c:pt>
                <c:pt idx="1275">
                  <c:v>1163</c:v>
                </c:pt>
                <c:pt idx="1276">
                  <c:v>1164</c:v>
                </c:pt>
                <c:pt idx="1277">
                  <c:v>1165</c:v>
                </c:pt>
                <c:pt idx="1278">
                  <c:v>1166</c:v>
                </c:pt>
                <c:pt idx="1279">
                  <c:v>1167</c:v>
                </c:pt>
                <c:pt idx="1280">
                  <c:v>1168</c:v>
                </c:pt>
                <c:pt idx="1281">
                  <c:v>1169</c:v>
                </c:pt>
                <c:pt idx="1282">
                  <c:v>1170</c:v>
                </c:pt>
                <c:pt idx="1283">
                  <c:v>1171</c:v>
                </c:pt>
                <c:pt idx="1284">
                  <c:v>1172</c:v>
                </c:pt>
                <c:pt idx="1285">
                  <c:v>1173</c:v>
                </c:pt>
                <c:pt idx="1286">
                  <c:v>1174</c:v>
                </c:pt>
                <c:pt idx="1287">
                  <c:v>1175</c:v>
                </c:pt>
                <c:pt idx="1288">
                  <c:v>1176</c:v>
                </c:pt>
                <c:pt idx="1289">
                  <c:v>1177</c:v>
                </c:pt>
                <c:pt idx="1290">
                  <c:v>1178</c:v>
                </c:pt>
                <c:pt idx="1291">
                  <c:v>1179</c:v>
                </c:pt>
                <c:pt idx="1292">
                  <c:v>1180</c:v>
                </c:pt>
                <c:pt idx="1293">
                  <c:v>1181</c:v>
                </c:pt>
                <c:pt idx="1294">
                  <c:v>1182</c:v>
                </c:pt>
                <c:pt idx="1295">
                  <c:v>1183</c:v>
                </c:pt>
                <c:pt idx="1296">
                  <c:v>1184</c:v>
                </c:pt>
                <c:pt idx="1297">
                  <c:v>1185</c:v>
                </c:pt>
                <c:pt idx="1298">
                  <c:v>1186</c:v>
                </c:pt>
                <c:pt idx="1299">
                  <c:v>1187</c:v>
                </c:pt>
                <c:pt idx="1300">
                  <c:v>1188</c:v>
                </c:pt>
                <c:pt idx="1301">
                  <c:v>1189</c:v>
                </c:pt>
                <c:pt idx="1302">
                  <c:v>1190</c:v>
                </c:pt>
                <c:pt idx="1303">
                  <c:v>1191</c:v>
                </c:pt>
                <c:pt idx="1304">
                  <c:v>1192</c:v>
                </c:pt>
                <c:pt idx="1305">
                  <c:v>1193</c:v>
                </c:pt>
                <c:pt idx="1306">
                  <c:v>1194</c:v>
                </c:pt>
                <c:pt idx="1307">
                  <c:v>1195</c:v>
                </c:pt>
                <c:pt idx="1308">
                  <c:v>1196</c:v>
                </c:pt>
                <c:pt idx="1309">
                  <c:v>1197</c:v>
                </c:pt>
                <c:pt idx="1310">
                  <c:v>1198</c:v>
                </c:pt>
                <c:pt idx="1311">
                  <c:v>1199</c:v>
                </c:pt>
                <c:pt idx="1312">
                  <c:v>1200</c:v>
                </c:pt>
                <c:pt idx="1313">
                  <c:v>1201</c:v>
                </c:pt>
                <c:pt idx="1314">
                  <c:v>1202</c:v>
                </c:pt>
                <c:pt idx="1315">
                  <c:v>1203</c:v>
                </c:pt>
                <c:pt idx="1316">
                  <c:v>1204</c:v>
                </c:pt>
                <c:pt idx="1317">
                  <c:v>1205</c:v>
                </c:pt>
                <c:pt idx="1318">
                  <c:v>1206</c:v>
                </c:pt>
                <c:pt idx="1319">
                  <c:v>1207</c:v>
                </c:pt>
                <c:pt idx="1320">
                  <c:v>1208</c:v>
                </c:pt>
                <c:pt idx="1321">
                  <c:v>1209</c:v>
                </c:pt>
                <c:pt idx="1322">
                  <c:v>1210</c:v>
                </c:pt>
                <c:pt idx="1323">
                  <c:v>1211</c:v>
                </c:pt>
                <c:pt idx="1324">
                  <c:v>1212</c:v>
                </c:pt>
                <c:pt idx="1325">
                  <c:v>1213</c:v>
                </c:pt>
                <c:pt idx="1326">
                  <c:v>1214</c:v>
                </c:pt>
                <c:pt idx="1327">
                  <c:v>1215</c:v>
                </c:pt>
                <c:pt idx="1328">
                  <c:v>1216</c:v>
                </c:pt>
                <c:pt idx="1329">
                  <c:v>1217</c:v>
                </c:pt>
                <c:pt idx="1330">
                  <c:v>1218</c:v>
                </c:pt>
                <c:pt idx="1331">
                  <c:v>1219</c:v>
                </c:pt>
                <c:pt idx="1332">
                  <c:v>1220</c:v>
                </c:pt>
                <c:pt idx="1333">
                  <c:v>1221</c:v>
                </c:pt>
                <c:pt idx="1334">
                  <c:v>1222</c:v>
                </c:pt>
                <c:pt idx="1335">
                  <c:v>1223</c:v>
                </c:pt>
                <c:pt idx="1336">
                  <c:v>1224</c:v>
                </c:pt>
                <c:pt idx="1337">
                  <c:v>1225</c:v>
                </c:pt>
                <c:pt idx="1338">
                  <c:v>1226</c:v>
                </c:pt>
                <c:pt idx="1339">
                  <c:v>1227</c:v>
                </c:pt>
                <c:pt idx="1340">
                  <c:v>1228</c:v>
                </c:pt>
                <c:pt idx="1341">
                  <c:v>1229</c:v>
                </c:pt>
                <c:pt idx="1342">
                  <c:v>1230</c:v>
                </c:pt>
                <c:pt idx="1343">
                  <c:v>1231</c:v>
                </c:pt>
                <c:pt idx="1344">
                  <c:v>1232</c:v>
                </c:pt>
                <c:pt idx="1345">
                  <c:v>1233</c:v>
                </c:pt>
                <c:pt idx="1346">
                  <c:v>1234</c:v>
                </c:pt>
                <c:pt idx="1347">
                  <c:v>1235</c:v>
                </c:pt>
                <c:pt idx="1348">
                  <c:v>1236</c:v>
                </c:pt>
                <c:pt idx="1349">
                  <c:v>1237</c:v>
                </c:pt>
                <c:pt idx="1350">
                  <c:v>1238</c:v>
                </c:pt>
                <c:pt idx="1351">
                  <c:v>1239</c:v>
                </c:pt>
                <c:pt idx="1352">
                  <c:v>1240</c:v>
                </c:pt>
                <c:pt idx="1353">
                  <c:v>1241</c:v>
                </c:pt>
                <c:pt idx="1354">
                  <c:v>1242</c:v>
                </c:pt>
                <c:pt idx="1355">
                  <c:v>1243</c:v>
                </c:pt>
                <c:pt idx="1356">
                  <c:v>1244</c:v>
                </c:pt>
                <c:pt idx="1357">
                  <c:v>1245</c:v>
                </c:pt>
                <c:pt idx="1358">
                  <c:v>1246</c:v>
                </c:pt>
                <c:pt idx="1359">
                  <c:v>1247</c:v>
                </c:pt>
                <c:pt idx="1360">
                  <c:v>1248</c:v>
                </c:pt>
                <c:pt idx="1361">
                  <c:v>1249</c:v>
                </c:pt>
                <c:pt idx="1362">
                  <c:v>1250</c:v>
                </c:pt>
                <c:pt idx="1363">
                  <c:v>1251</c:v>
                </c:pt>
                <c:pt idx="1364">
                  <c:v>1252</c:v>
                </c:pt>
                <c:pt idx="1365">
                  <c:v>1253</c:v>
                </c:pt>
                <c:pt idx="1366">
                  <c:v>1254</c:v>
                </c:pt>
                <c:pt idx="1367">
                  <c:v>1255</c:v>
                </c:pt>
                <c:pt idx="1368">
                  <c:v>1256</c:v>
                </c:pt>
                <c:pt idx="1369">
                  <c:v>1257</c:v>
                </c:pt>
                <c:pt idx="1370">
                  <c:v>1258</c:v>
                </c:pt>
                <c:pt idx="1371">
                  <c:v>1259</c:v>
                </c:pt>
                <c:pt idx="1372">
                  <c:v>1260</c:v>
                </c:pt>
                <c:pt idx="1373">
                  <c:v>1261</c:v>
                </c:pt>
                <c:pt idx="1374">
                  <c:v>1262</c:v>
                </c:pt>
                <c:pt idx="1375">
                  <c:v>1263</c:v>
                </c:pt>
                <c:pt idx="1376">
                  <c:v>1264</c:v>
                </c:pt>
                <c:pt idx="1377">
                  <c:v>1265</c:v>
                </c:pt>
                <c:pt idx="1378">
                  <c:v>1266</c:v>
                </c:pt>
                <c:pt idx="1379">
                  <c:v>1267</c:v>
                </c:pt>
                <c:pt idx="1380">
                  <c:v>1268</c:v>
                </c:pt>
                <c:pt idx="1381">
                  <c:v>1269</c:v>
                </c:pt>
                <c:pt idx="1382">
                  <c:v>1270</c:v>
                </c:pt>
                <c:pt idx="1383">
                  <c:v>1271</c:v>
                </c:pt>
                <c:pt idx="1384">
                  <c:v>1272</c:v>
                </c:pt>
                <c:pt idx="1385">
                  <c:v>1273</c:v>
                </c:pt>
                <c:pt idx="1386">
                  <c:v>1274</c:v>
                </c:pt>
                <c:pt idx="1387">
                  <c:v>1275</c:v>
                </c:pt>
                <c:pt idx="1388">
                  <c:v>1276</c:v>
                </c:pt>
                <c:pt idx="1389">
                  <c:v>1277</c:v>
                </c:pt>
                <c:pt idx="1390">
                  <c:v>1278</c:v>
                </c:pt>
                <c:pt idx="1391">
                  <c:v>1279</c:v>
                </c:pt>
                <c:pt idx="1392">
                  <c:v>1280</c:v>
                </c:pt>
                <c:pt idx="1393">
                  <c:v>1281</c:v>
                </c:pt>
                <c:pt idx="1394">
                  <c:v>1282</c:v>
                </c:pt>
                <c:pt idx="1395">
                  <c:v>1283</c:v>
                </c:pt>
                <c:pt idx="1396">
                  <c:v>1284</c:v>
                </c:pt>
                <c:pt idx="1397">
                  <c:v>1285</c:v>
                </c:pt>
                <c:pt idx="1398">
                  <c:v>1286</c:v>
                </c:pt>
                <c:pt idx="1399">
                  <c:v>1287</c:v>
                </c:pt>
                <c:pt idx="1400">
                  <c:v>1288</c:v>
                </c:pt>
                <c:pt idx="1401">
                  <c:v>1289</c:v>
                </c:pt>
                <c:pt idx="1402">
                  <c:v>1290</c:v>
                </c:pt>
                <c:pt idx="1403">
                  <c:v>1291</c:v>
                </c:pt>
                <c:pt idx="1404">
                  <c:v>1292</c:v>
                </c:pt>
                <c:pt idx="1405">
                  <c:v>1293</c:v>
                </c:pt>
                <c:pt idx="1406">
                  <c:v>1294</c:v>
                </c:pt>
                <c:pt idx="1407">
                  <c:v>1295</c:v>
                </c:pt>
                <c:pt idx="1408">
                  <c:v>1296</c:v>
                </c:pt>
                <c:pt idx="1409">
                  <c:v>1297</c:v>
                </c:pt>
                <c:pt idx="1410">
                  <c:v>1298</c:v>
                </c:pt>
                <c:pt idx="1411">
                  <c:v>1299</c:v>
                </c:pt>
                <c:pt idx="1412">
                  <c:v>1300</c:v>
                </c:pt>
                <c:pt idx="1413">
                  <c:v>1301</c:v>
                </c:pt>
                <c:pt idx="1414">
                  <c:v>1302</c:v>
                </c:pt>
                <c:pt idx="1415">
                  <c:v>1303</c:v>
                </c:pt>
                <c:pt idx="1416">
                  <c:v>1304</c:v>
                </c:pt>
                <c:pt idx="1417">
                  <c:v>1305</c:v>
                </c:pt>
                <c:pt idx="1418">
                  <c:v>1306</c:v>
                </c:pt>
                <c:pt idx="1419">
                  <c:v>1307</c:v>
                </c:pt>
                <c:pt idx="1420">
                  <c:v>1308</c:v>
                </c:pt>
                <c:pt idx="1421">
                  <c:v>1309</c:v>
                </c:pt>
                <c:pt idx="1422">
                  <c:v>1310</c:v>
                </c:pt>
                <c:pt idx="1423">
                  <c:v>1311</c:v>
                </c:pt>
                <c:pt idx="1424">
                  <c:v>1312</c:v>
                </c:pt>
                <c:pt idx="1425">
                  <c:v>1313</c:v>
                </c:pt>
                <c:pt idx="1426">
                  <c:v>1314</c:v>
                </c:pt>
                <c:pt idx="1427">
                  <c:v>1315</c:v>
                </c:pt>
                <c:pt idx="1428">
                  <c:v>1316</c:v>
                </c:pt>
                <c:pt idx="1429">
                  <c:v>1317</c:v>
                </c:pt>
                <c:pt idx="1430">
                  <c:v>1318</c:v>
                </c:pt>
                <c:pt idx="1431">
                  <c:v>1319</c:v>
                </c:pt>
                <c:pt idx="1432">
                  <c:v>1320</c:v>
                </c:pt>
                <c:pt idx="1433">
                  <c:v>1321</c:v>
                </c:pt>
                <c:pt idx="1434">
                  <c:v>1322</c:v>
                </c:pt>
                <c:pt idx="1435">
                  <c:v>1323</c:v>
                </c:pt>
                <c:pt idx="1436">
                  <c:v>1324</c:v>
                </c:pt>
                <c:pt idx="1437">
                  <c:v>1325</c:v>
                </c:pt>
                <c:pt idx="1438">
                  <c:v>1326</c:v>
                </c:pt>
                <c:pt idx="1439">
                  <c:v>1327</c:v>
                </c:pt>
                <c:pt idx="1440">
                  <c:v>1328</c:v>
                </c:pt>
                <c:pt idx="1441">
                  <c:v>1329</c:v>
                </c:pt>
                <c:pt idx="1442">
                  <c:v>1330</c:v>
                </c:pt>
                <c:pt idx="1443">
                  <c:v>1331</c:v>
                </c:pt>
                <c:pt idx="1444">
                  <c:v>1332</c:v>
                </c:pt>
                <c:pt idx="1445">
                  <c:v>1333</c:v>
                </c:pt>
                <c:pt idx="1446">
                  <c:v>1334</c:v>
                </c:pt>
                <c:pt idx="1447">
                  <c:v>1335</c:v>
                </c:pt>
                <c:pt idx="1448">
                  <c:v>1336</c:v>
                </c:pt>
                <c:pt idx="1449">
                  <c:v>1337</c:v>
                </c:pt>
                <c:pt idx="1450">
                  <c:v>1338</c:v>
                </c:pt>
                <c:pt idx="1451">
                  <c:v>1339</c:v>
                </c:pt>
                <c:pt idx="1452">
                  <c:v>1340</c:v>
                </c:pt>
                <c:pt idx="1453">
                  <c:v>1341</c:v>
                </c:pt>
                <c:pt idx="1454">
                  <c:v>1342</c:v>
                </c:pt>
                <c:pt idx="1455">
                  <c:v>1343</c:v>
                </c:pt>
                <c:pt idx="1456">
                  <c:v>1344</c:v>
                </c:pt>
                <c:pt idx="1457">
                  <c:v>1345</c:v>
                </c:pt>
                <c:pt idx="1458">
                  <c:v>1346</c:v>
                </c:pt>
                <c:pt idx="1459">
                  <c:v>1347</c:v>
                </c:pt>
                <c:pt idx="1460">
                  <c:v>1348</c:v>
                </c:pt>
                <c:pt idx="1461">
                  <c:v>1349</c:v>
                </c:pt>
                <c:pt idx="1462">
                  <c:v>1350</c:v>
                </c:pt>
                <c:pt idx="1463">
                  <c:v>1351</c:v>
                </c:pt>
                <c:pt idx="1464">
                  <c:v>1352</c:v>
                </c:pt>
                <c:pt idx="1465">
                  <c:v>1353</c:v>
                </c:pt>
                <c:pt idx="1466">
                  <c:v>1354</c:v>
                </c:pt>
                <c:pt idx="1467">
                  <c:v>1355</c:v>
                </c:pt>
                <c:pt idx="1468">
                  <c:v>1356</c:v>
                </c:pt>
                <c:pt idx="1469">
                  <c:v>1357</c:v>
                </c:pt>
                <c:pt idx="1470">
                  <c:v>1358</c:v>
                </c:pt>
                <c:pt idx="1471">
                  <c:v>1359</c:v>
                </c:pt>
                <c:pt idx="1472">
                  <c:v>1360</c:v>
                </c:pt>
                <c:pt idx="1473">
                  <c:v>1361</c:v>
                </c:pt>
                <c:pt idx="1474">
                  <c:v>1362</c:v>
                </c:pt>
                <c:pt idx="1475">
                  <c:v>1363</c:v>
                </c:pt>
                <c:pt idx="1476">
                  <c:v>1364</c:v>
                </c:pt>
                <c:pt idx="1477">
                  <c:v>1365</c:v>
                </c:pt>
                <c:pt idx="1478">
                  <c:v>1366</c:v>
                </c:pt>
                <c:pt idx="1479">
                  <c:v>1367</c:v>
                </c:pt>
                <c:pt idx="1480">
                  <c:v>1368</c:v>
                </c:pt>
                <c:pt idx="1481">
                  <c:v>1369</c:v>
                </c:pt>
                <c:pt idx="1482">
                  <c:v>1370</c:v>
                </c:pt>
                <c:pt idx="1483">
                  <c:v>1371</c:v>
                </c:pt>
                <c:pt idx="1484">
                  <c:v>1372</c:v>
                </c:pt>
                <c:pt idx="1485">
                  <c:v>1373</c:v>
                </c:pt>
                <c:pt idx="1486">
                  <c:v>1374</c:v>
                </c:pt>
                <c:pt idx="1487">
                  <c:v>1375</c:v>
                </c:pt>
                <c:pt idx="1488">
                  <c:v>1376</c:v>
                </c:pt>
                <c:pt idx="1489">
                  <c:v>1377</c:v>
                </c:pt>
                <c:pt idx="1490">
                  <c:v>1378</c:v>
                </c:pt>
                <c:pt idx="1491">
                  <c:v>1379</c:v>
                </c:pt>
                <c:pt idx="1492">
                  <c:v>1380</c:v>
                </c:pt>
                <c:pt idx="1493">
                  <c:v>1381</c:v>
                </c:pt>
                <c:pt idx="1494">
                  <c:v>1382</c:v>
                </c:pt>
                <c:pt idx="1495">
                  <c:v>1383</c:v>
                </c:pt>
                <c:pt idx="1496">
                  <c:v>1384</c:v>
                </c:pt>
                <c:pt idx="1497">
                  <c:v>1385</c:v>
                </c:pt>
                <c:pt idx="1498">
                  <c:v>1386</c:v>
                </c:pt>
                <c:pt idx="1499">
                  <c:v>1387</c:v>
                </c:pt>
                <c:pt idx="1500">
                  <c:v>1388</c:v>
                </c:pt>
                <c:pt idx="1501">
                  <c:v>1389</c:v>
                </c:pt>
                <c:pt idx="1502">
                  <c:v>1390</c:v>
                </c:pt>
                <c:pt idx="1503">
                  <c:v>1391</c:v>
                </c:pt>
                <c:pt idx="1504">
                  <c:v>1392</c:v>
                </c:pt>
                <c:pt idx="1505">
                  <c:v>1393</c:v>
                </c:pt>
                <c:pt idx="1506">
                  <c:v>1394</c:v>
                </c:pt>
                <c:pt idx="1507">
                  <c:v>1395</c:v>
                </c:pt>
                <c:pt idx="1508">
                  <c:v>1396</c:v>
                </c:pt>
                <c:pt idx="1509">
                  <c:v>1397</c:v>
                </c:pt>
                <c:pt idx="1510">
                  <c:v>1398</c:v>
                </c:pt>
                <c:pt idx="1511">
                  <c:v>1399</c:v>
                </c:pt>
                <c:pt idx="1512">
                  <c:v>1400</c:v>
                </c:pt>
                <c:pt idx="1513">
                  <c:v>1401</c:v>
                </c:pt>
                <c:pt idx="1514">
                  <c:v>1402</c:v>
                </c:pt>
                <c:pt idx="1515">
                  <c:v>1403</c:v>
                </c:pt>
                <c:pt idx="1516">
                  <c:v>1404</c:v>
                </c:pt>
                <c:pt idx="1517">
                  <c:v>1405</c:v>
                </c:pt>
                <c:pt idx="1518">
                  <c:v>1406</c:v>
                </c:pt>
                <c:pt idx="1519">
                  <c:v>1407</c:v>
                </c:pt>
                <c:pt idx="1520">
                  <c:v>1408</c:v>
                </c:pt>
                <c:pt idx="1521">
                  <c:v>1409</c:v>
                </c:pt>
                <c:pt idx="1522">
                  <c:v>1410</c:v>
                </c:pt>
                <c:pt idx="1523">
                  <c:v>1411</c:v>
                </c:pt>
                <c:pt idx="1524">
                  <c:v>1412</c:v>
                </c:pt>
                <c:pt idx="1525">
                  <c:v>1413</c:v>
                </c:pt>
                <c:pt idx="1526">
                  <c:v>1414</c:v>
                </c:pt>
                <c:pt idx="1527">
                  <c:v>1415</c:v>
                </c:pt>
                <c:pt idx="1528">
                  <c:v>1416</c:v>
                </c:pt>
                <c:pt idx="1529">
                  <c:v>1417</c:v>
                </c:pt>
                <c:pt idx="1530">
                  <c:v>1418</c:v>
                </c:pt>
                <c:pt idx="1531">
                  <c:v>1419</c:v>
                </c:pt>
                <c:pt idx="1532">
                  <c:v>1420</c:v>
                </c:pt>
                <c:pt idx="1533">
                  <c:v>1421</c:v>
                </c:pt>
                <c:pt idx="1534">
                  <c:v>1422</c:v>
                </c:pt>
                <c:pt idx="1535">
                  <c:v>1423</c:v>
                </c:pt>
                <c:pt idx="1536">
                  <c:v>1424</c:v>
                </c:pt>
                <c:pt idx="1537">
                  <c:v>1425</c:v>
                </c:pt>
                <c:pt idx="1538">
                  <c:v>1426</c:v>
                </c:pt>
                <c:pt idx="1539">
                  <c:v>1427</c:v>
                </c:pt>
                <c:pt idx="1540">
                  <c:v>1428</c:v>
                </c:pt>
                <c:pt idx="1541">
                  <c:v>1429</c:v>
                </c:pt>
                <c:pt idx="1542">
                  <c:v>1430</c:v>
                </c:pt>
                <c:pt idx="1543">
                  <c:v>1431</c:v>
                </c:pt>
                <c:pt idx="1544">
                  <c:v>1432</c:v>
                </c:pt>
                <c:pt idx="1545">
                  <c:v>1433</c:v>
                </c:pt>
                <c:pt idx="1546">
                  <c:v>1434</c:v>
                </c:pt>
                <c:pt idx="1547">
                  <c:v>1435</c:v>
                </c:pt>
                <c:pt idx="1548">
                  <c:v>1436</c:v>
                </c:pt>
                <c:pt idx="1549">
                  <c:v>1437</c:v>
                </c:pt>
                <c:pt idx="1550">
                  <c:v>1438</c:v>
                </c:pt>
                <c:pt idx="1551">
                  <c:v>1439</c:v>
                </c:pt>
                <c:pt idx="1552">
                  <c:v>1440</c:v>
                </c:pt>
                <c:pt idx="1553">
                  <c:v>1441</c:v>
                </c:pt>
                <c:pt idx="1554">
                  <c:v>1442</c:v>
                </c:pt>
                <c:pt idx="1555">
                  <c:v>1443</c:v>
                </c:pt>
                <c:pt idx="1556">
                  <c:v>1444</c:v>
                </c:pt>
                <c:pt idx="1557">
                  <c:v>1445</c:v>
                </c:pt>
                <c:pt idx="1558">
                  <c:v>1446</c:v>
                </c:pt>
                <c:pt idx="1559">
                  <c:v>1447</c:v>
                </c:pt>
                <c:pt idx="1560">
                  <c:v>1448</c:v>
                </c:pt>
                <c:pt idx="1561">
                  <c:v>1449</c:v>
                </c:pt>
                <c:pt idx="1562">
                  <c:v>1450</c:v>
                </c:pt>
                <c:pt idx="1563">
                  <c:v>1451</c:v>
                </c:pt>
                <c:pt idx="1564">
                  <c:v>1452</c:v>
                </c:pt>
                <c:pt idx="1565">
                  <c:v>1453</c:v>
                </c:pt>
                <c:pt idx="1566">
                  <c:v>1454</c:v>
                </c:pt>
                <c:pt idx="1567">
                  <c:v>1455</c:v>
                </c:pt>
                <c:pt idx="1568">
                  <c:v>1456</c:v>
                </c:pt>
                <c:pt idx="1569">
                  <c:v>1457</c:v>
                </c:pt>
                <c:pt idx="1570">
                  <c:v>1458</c:v>
                </c:pt>
                <c:pt idx="1571">
                  <c:v>1459</c:v>
                </c:pt>
                <c:pt idx="1572">
                  <c:v>1460</c:v>
                </c:pt>
                <c:pt idx="1573">
                  <c:v>1461</c:v>
                </c:pt>
                <c:pt idx="1574">
                  <c:v>1462</c:v>
                </c:pt>
                <c:pt idx="1575">
                  <c:v>1463</c:v>
                </c:pt>
                <c:pt idx="1576">
                  <c:v>1464</c:v>
                </c:pt>
                <c:pt idx="1577">
                  <c:v>1465</c:v>
                </c:pt>
                <c:pt idx="1578">
                  <c:v>1466</c:v>
                </c:pt>
                <c:pt idx="1579">
                  <c:v>1467</c:v>
                </c:pt>
                <c:pt idx="1580">
                  <c:v>1468</c:v>
                </c:pt>
                <c:pt idx="1581">
                  <c:v>1469</c:v>
                </c:pt>
                <c:pt idx="1582">
                  <c:v>1470</c:v>
                </c:pt>
                <c:pt idx="1583">
                  <c:v>1471</c:v>
                </c:pt>
                <c:pt idx="1584">
                  <c:v>1472</c:v>
                </c:pt>
                <c:pt idx="1585">
                  <c:v>1473</c:v>
                </c:pt>
                <c:pt idx="1586">
                  <c:v>1474</c:v>
                </c:pt>
                <c:pt idx="1587">
                  <c:v>1475</c:v>
                </c:pt>
                <c:pt idx="1588">
                  <c:v>1476</c:v>
                </c:pt>
                <c:pt idx="1589">
                  <c:v>1477</c:v>
                </c:pt>
                <c:pt idx="1590">
                  <c:v>1478</c:v>
                </c:pt>
                <c:pt idx="1591">
                  <c:v>1479</c:v>
                </c:pt>
                <c:pt idx="1592">
                  <c:v>1480</c:v>
                </c:pt>
                <c:pt idx="1593">
                  <c:v>1481</c:v>
                </c:pt>
                <c:pt idx="1594">
                  <c:v>1482</c:v>
                </c:pt>
                <c:pt idx="1595">
                  <c:v>1483</c:v>
                </c:pt>
                <c:pt idx="1596">
                  <c:v>1484</c:v>
                </c:pt>
                <c:pt idx="1597">
                  <c:v>1485</c:v>
                </c:pt>
                <c:pt idx="1598">
                  <c:v>1486</c:v>
                </c:pt>
                <c:pt idx="1599">
                  <c:v>1487</c:v>
                </c:pt>
                <c:pt idx="1600">
                  <c:v>1488</c:v>
                </c:pt>
                <c:pt idx="1601">
                  <c:v>1489</c:v>
                </c:pt>
                <c:pt idx="1602">
                  <c:v>1490</c:v>
                </c:pt>
                <c:pt idx="1603">
                  <c:v>1491</c:v>
                </c:pt>
                <c:pt idx="1604">
                  <c:v>1492</c:v>
                </c:pt>
                <c:pt idx="1605">
                  <c:v>1493</c:v>
                </c:pt>
                <c:pt idx="1606">
                  <c:v>1494</c:v>
                </c:pt>
                <c:pt idx="1607">
                  <c:v>1495</c:v>
                </c:pt>
                <c:pt idx="1608">
                  <c:v>1496</c:v>
                </c:pt>
                <c:pt idx="1609">
                  <c:v>1497</c:v>
                </c:pt>
                <c:pt idx="1610">
                  <c:v>1498</c:v>
                </c:pt>
                <c:pt idx="1611">
                  <c:v>1499</c:v>
                </c:pt>
                <c:pt idx="1612">
                  <c:v>1500</c:v>
                </c:pt>
                <c:pt idx="1613">
                  <c:v>1501</c:v>
                </c:pt>
                <c:pt idx="1614">
                  <c:v>1502</c:v>
                </c:pt>
                <c:pt idx="1615">
                  <c:v>1503</c:v>
                </c:pt>
                <c:pt idx="1616">
                  <c:v>1504</c:v>
                </c:pt>
                <c:pt idx="1617">
                  <c:v>1505</c:v>
                </c:pt>
                <c:pt idx="1618">
                  <c:v>1506</c:v>
                </c:pt>
                <c:pt idx="1619">
                  <c:v>1507</c:v>
                </c:pt>
                <c:pt idx="1620">
                  <c:v>1508</c:v>
                </c:pt>
                <c:pt idx="1621">
                  <c:v>1509</c:v>
                </c:pt>
                <c:pt idx="1622">
                  <c:v>1510</c:v>
                </c:pt>
                <c:pt idx="1623">
                  <c:v>1511</c:v>
                </c:pt>
                <c:pt idx="1624">
                  <c:v>1512</c:v>
                </c:pt>
                <c:pt idx="1625">
                  <c:v>1513</c:v>
                </c:pt>
                <c:pt idx="1626">
                  <c:v>1514</c:v>
                </c:pt>
                <c:pt idx="1627">
                  <c:v>1515</c:v>
                </c:pt>
                <c:pt idx="1628">
                  <c:v>1516</c:v>
                </c:pt>
                <c:pt idx="1629">
                  <c:v>1517</c:v>
                </c:pt>
                <c:pt idx="1630">
                  <c:v>1518</c:v>
                </c:pt>
                <c:pt idx="1631">
                  <c:v>1519</c:v>
                </c:pt>
                <c:pt idx="1632">
                  <c:v>1520</c:v>
                </c:pt>
                <c:pt idx="1633">
                  <c:v>1521</c:v>
                </c:pt>
                <c:pt idx="1634">
                  <c:v>1522</c:v>
                </c:pt>
                <c:pt idx="1635">
                  <c:v>1523</c:v>
                </c:pt>
                <c:pt idx="1636">
                  <c:v>1524</c:v>
                </c:pt>
                <c:pt idx="1637">
                  <c:v>1525</c:v>
                </c:pt>
                <c:pt idx="1638">
                  <c:v>1526</c:v>
                </c:pt>
                <c:pt idx="1639">
                  <c:v>1527</c:v>
                </c:pt>
                <c:pt idx="1640">
                  <c:v>1528</c:v>
                </c:pt>
                <c:pt idx="1641">
                  <c:v>1529</c:v>
                </c:pt>
                <c:pt idx="1642">
                  <c:v>1530</c:v>
                </c:pt>
                <c:pt idx="1643">
                  <c:v>1531</c:v>
                </c:pt>
                <c:pt idx="1644">
                  <c:v>1532</c:v>
                </c:pt>
              </c:numCache>
            </c:numRef>
          </c:xVal>
          <c:yVal>
            <c:numRef>
              <c:f>data!$O$3:$O$4454</c:f>
              <c:numCache>
                <c:formatCode>0.00E+00</c:formatCode>
                <c:ptCount val="4452"/>
                <c:pt idx="0" formatCode="General">
                  <c:v>1</c:v>
                </c:pt>
                <c:pt idx="1">
                  <c:v>1.0006165827862317</c:v>
                </c:pt>
                <c:pt idx="2">
                  <c:v>1.0006781277671473</c:v>
                </c:pt>
                <c:pt idx="3">
                  <c:v>1.0007458148231148</c:v>
                </c:pt>
                <c:pt idx="4">
                  <c:v>1.0008202555594299</c:v>
                </c:pt>
                <c:pt idx="5">
                  <c:v>1.0009021221976413</c:v>
                </c:pt>
                <c:pt idx="6">
                  <c:v>1.0009921535235997</c:v>
                </c:pt>
                <c:pt idx="7">
                  <c:v>1.0010911614066969</c:v>
                </c:pt>
                <c:pt idx="8">
                  <c:v>1.0012000379425352</c:v>
                </c:pt>
                <c:pt idx="9">
                  <c:v>1.0013197632754876</c:v>
                </c:pt>
                <c:pt idx="10">
                  <c:v>1.0014514141620576</c:v>
                </c:pt>
                <c:pt idx="11">
                  <c:v>1.0015961733405954</c:v>
                </c:pt>
                <c:pt idx="12">
                  <c:v>1.0017553397777494</c:v>
                </c:pt>
                <c:pt idx="13">
                  <c:v>1.0019303398670001</c:v>
                </c:pt>
                <c:pt idx="14">
                  <c:v>1.0021227396596677</c:v>
                </c:pt>
                <c:pt idx="15">
                  <c:v>1.0023342582138555</c:v>
                </c:pt>
                <c:pt idx="16">
                  <c:v>1.0025667821517799</c:v>
                </c:pt>
                <c:pt idx="17">
                  <c:v>1.0028223815207431</c:v>
                </c:pt>
                <c:pt idx="18">
                  <c:v>1.0031033270574765</c:v>
                </c:pt>
                <c:pt idx="19">
                  <c:v>1.0034121089595363</c:v>
                </c:pt>
                <c:pt idx="20">
                  <c:v>1.0037514572706585</c:v>
                </c:pt>
                <c:pt idx="21">
                  <c:v>1.0041243639891975</c:v>
                </c:pt>
                <c:pt idx="22">
                  <c:v>1.0045341070096576</c:v>
                </c:pt>
                <c:pt idx="23">
                  <c:v>1.0049842760065064</c:v>
                </c:pt>
                <c:pt idx="24">
                  <c:v>1.005478800366443</c:v>
                </c:pt>
                <c:pt idx="25">
                  <c:v>1.006021979269579</c:v>
                </c:pt>
                <c:pt idx="26">
                  <c:v>1.0066185140109223</c:v>
                </c:pt>
                <c:pt idx="27">
                  <c:v>1.0072735426404216</c:v>
                </c:pt>
                <c:pt idx="28">
                  <c:v>1.0079926769818264</c:v>
                </c:pt>
                <c:pt idx="29">
                  <c:v>1.0087820420668037</c:v>
                </c:pt>
                <c:pt idx="30">
                  <c:v>1.0096483179901481</c:v>
                </c:pt>
                <c:pt idx="31">
                  <c:v>1.0105987841534034</c:v>
                </c:pt>
                <c:pt idx="32">
                  <c:v>1.0116413658166503</c:v>
                </c:pt>
                <c:pt idx="33">
                  <c:v>1.0127846828204039</c:v>
                </c:pt>
                <c:pt idx="34">
                  <c:v>1.0140381002703478</c:v>
                </c:pt>
                <c:pt idx="35">
                  <c:v>1.0154117808959231</c:v>
                </c:pt>
                <c:pt idx="36">
                  <c:v>1.0169167386986862</c:v>
                </c:pt>
                <c:pt idx="37">
                  <c:v>1.0185648933972411</c:v>
                </c:pt>
                <c:pt idx="38">
                  <c:v>1.0203691250522624</c:v>
                </c:pt>
                <c:pt idx="39">
                  <c:v>1.0223433281181085</c:v>
                </c:pt>
                <c:pt idx="40">
                  <c:v>1.0245024640180604</c:v>
                </c:pt>
                <c:pt idx="41">
                  <c:v>1.0268626111806354</c:v>
                </c:pt>
                <c:pt idx="42">
                  <c:v>1.0294410113083861</c:v>
                </c:pt>
                <c:pt idx="43">
                  <c:v>1.0322561104833128</c:v>
                </c:pt>
                <c:pt idx="44">
                  <c:v>1.0353275935515005</c:v>
                </c:pt>
                <c:pt idx="45">
                  <c:v>1.038676410082829</c:v>
                </c:pt>
                <c:pt idx="46">
                  <c:v>1.0423247900805981</c:v>
                </c:pt>
                <c:pt idx="47">
                  <c:v>1.0462962475336248</c:v>
                </c:pt>
                <c:pt idx="48">
                  <c:v>1.0506155698744202</c:v>
                </c:pt>
                <c:pt idx="49">
                  <c:v>1.0553087914471577</c:v>
                </c:pt>
                <c:pt idx="50">
                  <c:v>1.0604031492141881</c:v>
                </c:pt>
                <c:pt idx="51">
                  <c:v>1.0659270191547303</c:v>
                </c:pt>
                <c:pt idx="52">
                  <c:v>1.071909832146317</c:v>
                </c:pt>
                <c:pt idx="53">
                  <c:v>1.0783819685763651</c:v>
                </c:pt>
                <c:pt idx="54">
                  <c:v>1.0853746315091688</c:v>
                </c:pt>
                <c:pt idx="55">
                  <c:v>1.0929196989254268</c:v>
                </c:pt>
                <c:pt idx="56">
                  <c:v>1.1010495563397866</c:v>
                </c:pt>
                <c:pt idx="57">
                  <c:v>1.109796911958228</c:v>
                </c:pt>
                <c:pt idx="58">
                  <c:v>1.1191945974216624</c:v>
                </c:pt>
                <c:pt idx="59">
                  <c:v>1.1292753580450476</c:v>
                </c:pt>
                <c:pt idx="60">
                  <c:v>1.1400716372454964</c:v>
                </c:pt>
                <c:pt idx="61">
                  <c:v>1.1516153604978949</c:v>
                </c:pt>
                <c:pt idx="62">
                  <c:v>1.1639377246042772</c:v>
                </c:pt>
                <c:pt idx="63">
                  <c:v>1.1770689982636333</c:v>
                </c:pt>
                <c:pt idx="64">
                  <c:v>1.1910383398463342</c:v>
                </c:pt>
                <c:pt idx="65">
                  <c:v>1.2058736378958566</c:v>
                </c:pt>
                <c:pt idx="66">
                  <c:v>1.2216013792069347</c:v>
                </c:pt>
                <c:pt idx="67">
                  <c:v>1.2382465483947418</c:v>
                </c:pt>
                <c:pt idx="68">
                  <c:v>1.2558325617276649</c:v>
                </c:pt>
                <c:pt idx="69">
                  <c:v>1.2743812367180234</c:v>
                </c:pt>
                <c:pt idx="70">
                  <c:v>1.2939127976331901</c:v>
                </c:pt>
                <c:pt idx="71">
                  <c:v>1.3144459157895503</c:v>
                </c:pt>
                <c:pt idx="72">
                  <c:v>1.3359977823038496</c:v>
                </c:pt>
                <c:pt idx="73">
                  <c:v>1.3585842099683272</c:v>
                </c:pt>
                <c:pt idx="74">
                  <c:v>1.3822197601368882</c:v>
                </c:pt>
                <c:pt idx="75">
                  <c:v>1.406917889987408</c:v>
                </c:pt>
                <c:pt idx="76">
                  <c:v>1.4326911152661528</c:v>
                </c:pt>
                <c:pt idx="77">
                  <c:v>1.4595511836104873</c:v>
                </c:pt>
                <c:pt idx="78">
                  <c:v>1.4875092537556263</c:v>
                </c:pt>
                <c:pt idx="79">
                  <c:v>1.5165760763191398</c:v>
                </c:pt>
                <c:pt idx="80">
                  <c:v>1.5467621723762124</c:v>
                </c:pt>
                <c:pt idx="81">
                  <c:v>1.5780780066412505</c:v>
                </c:pt>
                <c:pt idx="82">
                  <c:v>1.6105341527122896</c:v>
                </c:pt>
                <c:pt idx="83">
                  <c:v>1.644141448474663</c:v>
                </c:pt>
                <c:pt idx="84">
                  <c:v>1.6789111403682255</c:v>
                </c:pt>
                <c:pt idx="85">
                  <c:v>1.7148550157750444</c:v>
                </c:pt>
                <c:pt idx="86">
                  <c:v>1.7519855232670913</c:v>
                </c:pt>
                <c:pt idx="87">
                  <c:v>1.7903158808585287</c:v>
                </c:pt>
                <c:pt idx="88">
                  <c:v>1.8298601727332497</c:v>
                </c:pt>
                <c:pt idx="89">
                  <c:v>1.8706334351685634</c:v>
                </c:pt>
                <c:pt idx="90">
                  <c:v>1.9126517325568055</c:v>
                </c:pt>
                <c:pt idx="91">
                  <c:v>1.9559322245466799</c:v>
                </c:pt>
                <c:pt idx="92">
                  <c:v>2.0004932253947558</c:v>
                </c:pt>
                <c:pt idx="93">
                  <c:v>2.0463542566444035</c:v>
                </c:pt>
                <c:pt idx="94">
                  <c:v>2.0935360942437349</c:v>
                </c:pt>
                <c:pt idx="95">
                  <c:v>2.1420608111842081</c:v>
                </c:pt>
                <c:pt idx="96">
                  <c:v>2.1919518166948131</c:v>
                </c:pt>
                <c:pt idx="97">
                  <c:v>2.2432338929694113</c:v>
                </c:pt>
                <c:pt idx="98">
                  <c:v>2.2959332303419622</c:v>
                </c:pt>
                <c:pt idx="99">
                  <c:v>2.3500774617601272</c:v>
                </c:pt>
                <c:pt idx="100">
                  <c:v>2.4056956973452581</c:v>
                </c:pt>
                <c:pt idx="101">
                  <c:v>2.4628185597683792</c:v>
                </c:pt>
                <c:pt idx="102">
                  <c:v>2.5214782211192155</c:v>
                </c:pt>
                <c:pt idx="103">
                  <c:v>2.5817084418997078</c:v>
                </c:pt>
                <c:pt idx="104">
                  <c:v>2.6435446127356079</c:v>
                </c:pt>
                <c:pt idx="105">
                  <c:v>2.7070237993700745</c:v>
                </c:pt>
                <c:pt idx="106">
                  <c:v>2.7721847914819566</c:v>
                </c:pt>
                <c:pt idx="107">
                  <c:v>2.8390681558587425</c:v>
                </c:pt>
                <c:pt idx="108">
                  <c:v>2.9077162944500192</c:v>
                </c:pt>
                <c:pt idx="109">
                  <c:v>2.9781735078316891</c:v>
                </c:pt>
                <c:pt idx="110">
                  <c:v>3.0504860646242058</c:v>
                </c:pt>
                <c:pt idx="111">
                  <c:v>3.1247022774297495</c:v>
                </c:pt>
                <c:pt idx="112">
                  <c:v>3.2008725858837326</c:v>
                </c:pt>
                <c:pt idx="113">
                  <c:v>3.279049647455599</c:v>
                </c:pt>
                <c:pt idx="114">
                  <c:v>3.3592884366828972</c:v>
                </c:pt>
                <c:pt idx="115">
                  <c:v>3.4416463535816724</c:v>
                </c:pt>
                <c:pt idx="116">
                  <c:v>3.526183342046012</c:v>
                </c:pt>
                <c:pt idx="117">
                  <c:v>3.6129620191310319</c:v>
                </c:pt>
                <c:pt idx="118">
                  <c:v>3.7020478162078501</c:v>
                </c:pt>
                <c:pt idx="119">
                  <c:v>3.7935091330875683</c:v>
                </c:pt>
                <c:pt idx="120">
                  <c:v>3.8874175063356735</c:v>
                </c:pt>
                <c:pt idx="121">
                  <c:v>3.9838477931406331</c:v>
                </c:pt>
                <c:pt idx="122">
                  <c:v>4.0617285384140089</c:v>
                </c:pt>
                <c:pt idx="123">
                  <c:v>4.1629218721736239</c:v>
                </c:pt>
                <c:pt idx="124">
                  <c:v>4.2574137054777381</c:v>
                </c:pt>
                <c:pt idx="125">
                  <c:v>4.3462033136284557</c:v>
                </c:pt>
                <c:pt idx="126">
                  <c:v>4.4300717609333899</c:v>
                </c:pt>
                <c:pt idx="127">
                  <c:v>4.5096425276942336</c:v>
                </c:pt>
                <c:pt idx="128">
                  <c:v>4.5854221737625966</c:v>
                </c:pt>
                <c:pt idx="129">
                  <c:v>4.6578285079309483</c:v>
                </c:pt>
                <c:pt idx="130">
                  <c:v>4.727210643361345</c:v>
                </c:pt>
                <c:pt idx="131">
                  <c:v>4.7938636154952272</c:v>
                </c:pt>
                <c:pt idx="132">
                  <c:v>4.8580392561477481</c:v>
                </c:pt>
                <c:pt idx="133">
                  <c:v>4.9199544285132664</c:v>
                </c:pt>
                <c:pt idx="134">
                  <c:v>4.9797973629249546</c:v>
                </c:pt>
                <c:pt idx="135">
                  <c:v>5.037732600506434</c:v>
                </c:pt>
                <c:pt idx="136">
                  <c:v>5.0939048995967084</c:v>
                </c:pt>
                <c:pt idx="137">
                  <c:v>5.1484423579143757</c:v>
                </c:pt>
                <c:pt idx="138">
                  <c:v>5.2014589338021766</c:v>
                </c:pt>
                <c:pt idx="139">
                  <c:v>5.2530565014446946</c:v>
                </c:pt>
                <c:pt idx="140">
                  <c:v>5.3033265406729848</c:v>
                </c:pt>
                <c:pt idx="141">
                  <c:v>5.3523515373452089</c:v>
                </c:pt>
                <c:pt idx="142">
                  <c:v>5.4002061523557465</c:v>
                </c:pt>
                <c:pt idx="143">
                  <c:v>5.4469582040926516</c:v>
                </c:pt>
                <c:pt idx="144">
                  <c:v>5.4926694992857445</c:v>
                </c:pt>
                <c:pt idx="145">
                  <c:v>5.5373965397339378</c:v>
                </c:pt>
                <c:pt idx="146">
                  <c:v>5.5811911267188208</c:v>
                </c:pt>
                <c:pt idx="147">
                  <c:v>5.6241008805400181</c:v>
                </c:pt>
                <c:pt idx="148">
                  <c:v>5.6661696892147848</c:v>
                </c:pt>
                <c:pt idx="149">
                  <c:v>5.707438097729125</c:v>
                </c:pt>
                <c:pt idx="150">
                  <c:v>5.7479436471339769</c:v>
                </c:pt>
                <c:pt idx="151">
                  <c:v>5.7877211711171173</c:v>
                </c:pt>
                <c:pt idx="152">
                  <c:v>5.8268030563517321</c:v>
                </c:pt>
                <c:pt idx="153">
                  <c:v>5.8652194718525834</c:v>
                </c:pt>
                <c:pt idx="154">
                  <c:v>5.9029985717044271</c:v>
                </c:pt>
                <c:pt idx="155">
                  <c:v>5.9401666748220219</c:v>
                </c:pt>
                <c:pt idx="156">
                  <c:v>5.9767484248236959</c:v>
                </c:pt>
                <c:pt idx="157">
                  <c:v>6.0127669326254143</c:v>
                </c:pt>
                <c:pt idx="158">
                  <c:v>6.0482439039695031</c:v>
                </c:pt>
                <c:pt idx="159">
                  <c:v>6.0831997537759781</c:v>
                </c:pt>
                <c:pt idx="160">
                  <c:v>6.1176537089322434</c:v>
                </c:pt>
                <c:pt idx="161">
                  <c:v>6.151623900908926</c:v>
                </c:pt>
                <c:pt idx="162">
                  <c:v>6.1851274493978217</c:v>
                </c:pt>
                <c:pt idx="163">
                  <c:v>6.2181805380059831</c:v>
                </c:pt>
                <c:pt idx="164">
                  <c:v>6.2507984829027654</c:v>
                </c:pt>
                <c:pt idx="165">
                  <c:v>6.2829957951999322</c:v>
                </c:pt>
                <c:pt idx="166">
                  <c:v>6.3147862377453405</c:v>
                </c:pt>
                <c:pt idx="167">
                  <c:v>6.3461828769255</c:v>
                </c:pt>
                <c:pt idx="168">
                  <c:v>6.3771981299990781</c:v>
                </c:pt>
                <c:pt idx="169">
                  <c:v>6.4078438084204192</c:v>
                </c:pt>
                <c:pt idx="170">
                  <c:v>6.4381311575576792</c:v>
                </c:pt>
                <c:pt idx="171">
                  <c:v>6.468070893163028</c:v>
                </c:pt>
                <c:pt idx="172">
                  <c:v>6.4976732349114394</c:v>
                </c:pt>
                <c:pt idx="173">
                  <c:v>6.5269479372889396</c:v>
                </c:pt>
                <c:pt idx="174">
                  <c:v>6.5559043180800662</c:v>
                </c:pt>
                <c:pt idx="175">
                  <c:v>6.5845512846770982</c:v>
                </c:pt>
                <c:pt idx="176">
                  <c:v>6.6128973584097421</c:v>
                </c:pt>
                <c:pt idx="177">
                  <c:v>6.6409506970730003</c:v>
                </c:pt>
                <c:pt idx="178">
                  <c:v>6.6687191158124861</c:v>
                </c:pt>
                <c:pt idx="179">
                  <c:v>6.6962101065101525</c:v>
                </c:pt>
                <c:pt idx="180">
                  <c:v>6.7234308557990081</c:v>
                </c:pt>
                <c:pt idx="181">
                  <c:v>6.7503882618226099</c:v>
                </c:pt>
                <c:pt idx="182">
                  <c:v>6.7770889498438232</c:v>
                </c:pt>
                <c:pt idx="183">
                  <c:v>6.8035392867972382</c:v>
                </c:pt>
                <c:pt idx="184">
                  <c:v>6.8297453948706881</c:v>
                </c:pt>
                <c:pt idx="185">
                  <c:v>6.8557131641932774</c:v>
                </c:pt>
                <c:pt idx="186">
                  <c:v>6.8814482647002029</c:v>
                </c:pt>
                <c:pt idx="187">
                  <c:v>6.9069561572382243</c:v>
                </c:pt>
                <c:pt idx="188">
                  <c:v>6.9322421039699016</c:v>
                </c:pt>
                <c:pt idx="189">
                  <c:v>6.9573111781295625</c:v>
                </c:pt>
                <c:pt idx="190">
                  <c:v>6.9821682731793233</c:v>
                </c:pt>
                <c:pt idx="191">
                  <c:v>7.0068181114093013</c:v>
                </c:pt>
                <c:pt idx="192">
                  <c:v>7.0312652520223997</c:v>
                </c:pt>
                <c:pt idx="193">
                  <c:v>7.055514098740634</c:v>
                </c:pt>
                <c:pt idx="194">
                  <c:v>7.0795689069668937</c:v>
                </c:pt>
                <c:pt idx="195">
                  <c:v>7.1034337905332503</c:v>
                </c:pt>
                <c:pt idx="196">
                  <c:v>7.1271127280643887</c:v>
                </c:pt>
                <c:pt idx="197">
                  <c:v>7.1506095689824507</c:v>
                </c:pt>
                <c:pt idx="198">
                  <c:v>7.1739280391774933</c:v>
                </c:pt>
                <c:pt idx="199">
                  <c:v>7.1970717463658636</c:v>
                </c:pt>
                <c:pt idx="200">
                  <c:v>7.2200441851570725</c:v>
                </c:pt>
                <c:pt idx="201">
                  <c:v>7.2428487418481646</c:v>
                </c:pt>
                <c:pt idx="202">
                  <c:v>7.2654886989631464</c:v>
                </c:pt>
                <c:pt idx="203">
                  <c:v>7.2879672395537245</c:v>
                </c:pt>
                <c:pt idx="204">
                  <c:v>7.3102874512763885</c:v>
                </c:pt>
                <c:pt idx="205">
                  <c:v>7.332452330259791</c:v>
                </c:pt>
                <c:pt idx="206">
                  <c:v>7.3544647847753497</c:v>
                </c:pt>
                <c:pt idx="207">
                  <c:v>7.3763276387230761</c:v>
                </c:pt>
                <c:pt idx="208">
                  <c:v>7.398043634943793</c:v>
                </c:pt>
                <c:pt idx="209">
                  <c:v>7.4196154383680959</c:v>
                </c:pt>
                <c:pt idx="210">
                  <c:v>7.4410456390117243</c:v>
                </c:pt>
                <c:pt idx="211">
                  <c:v>7.4623367548263202</c:v>
                </c:pt>
                <c:pt idx="212">
                  <c:v>7.4834912344139513</c:v>
                </c:pt>
                <c:pt idx="213">
                  <c:v>7.5045114596132114</c:v>
                </c:pt>
                <c:pt idx="214">
                  <c:v>7.525399747964185</c:v>
                </c:pt>
                <c:pt idx="215">
                  <c:v>7.5461583550590916</c:v>
                </c:pt>
                <c:pt idx="216">
                  <c:v>7.5667894767849617</c:v>
                </c:pt>
                <c:pt idx="217">
                  <c:v>7.5872952514643082</c:v>
                </c:pt>
                <c:pt idx="218">
                  <c:v>7.607677761899355</c:v>
                </c:pt>
                <c:pt idx="219">
                  <c:v>7.6279390373250378</c:v>
                </c:pt>
                <c:pt idx="220">
                  <c:v>7.6480810552756724</c:v>
                </c:pt>
                <c:pt idx="221">
                  <c:v>7.6681057433698614</c:v>
                </c:pt>
                <c:pt idx="222">
                  <c:v>7.6880149810179494</c:v>
                </c:pt>
                <c:pt idx="223">
                  <c:v>7.7078106010560576</c:v>
                </c:pt>
                <c:pt idx="224">
                  <c:v>7.7274943913104881</c:v>
                </c:pt>
                <c:pt idx="225">
                  <c:v>7.7470680960960649</c:v>
                </c:pt>
                <c:pt idx="226">
                  <c:v>7.7665334176517593</c:v>
                </c:pt>
                <c:pt idx="227">
                  <c:v>7.7858920175167556</c:v>
                </c:pt>
                <c:pt idx="228">
                  <c:v>7.8051455178499234</c:v>
                </c:pt>
                <c:pt idx="229">
                  <c:v>7.8242955026954935</c:v>
                </c:pt>
                <c:pt idx="230">
                  <c:v>7.8433435191975729</c:v>
                </c:pt>
                <c:pt idx="231">
                  <c:v>7.8622910787659812</c:v>
                </c:pt>
                <c:pt idx="232">
                  <c:v>7.8811396581957585</c:v>
                </c:pt>
                <c:pt idx="233">
                  <c:v>7.8998907007425503</c:v>
                </c:pt>
                <c:pt idx="234">
                  <c:v>7.9185456171559636</c:v>
                </c:pt>
                <c:pt idx="235">
                  <c:v>7.9371057866728689</c:v>
                </c:pt>
                <c:pt idx="236">
                  <c:v>7.9555725579725101</c:v>
                </c:pt>
                <c:pt idx="237">
                  <c:v>7.9739472500951907</c:v>
                </c:pt>
                <c:pt idx="238">
                  <c:v>7.9922311533262054</c:v>
                </c:pt>
                <c:pt idx="239">
                  <c:v>8.0104255300466001</c:v>
                </c:pt>
                <c:pt idx="240">
                  <c:v>8.0285316155522484</c:v>
                </c:pt>
                <c:pt idx="241">
                  <c:v>8.0465506188426748</c:v>
                </c:pt>
                <c:pt idx="242">
                  <c:v>8.0644837233809596</c:v>
                </c:pt>
                <c:pt idx="243">
                  <c:v>8.0823320878260034</c:v>
                </c:pt>
                <c:pt idx="244">
                  <c:v>8.1000968467383654</c:v>
                </c:pt>
                <c:pt idx="245">
                  <c:v>8.1177791112608038</c:v>
                </c:pt>
                <c:pt idx="246">
                  <c:v>8.1353799697746361</c:v>
                </c:pt>
                <c:pt idx="247">
                  <c:v>8.1529004885329339</c:v>
                </c:pt>
                <c:pt idx="248">
                  <c:v>8.1703417122715329</c:v>
                </c:pt>
                <c:pt idx="249">
                  <c:v>8.1877046647988116</c:v>
                </c:pt>
                <c:pt idx="250">
                  <c:v>8.2049903495651062</c:v>
                </c:pt>
                <c:pt idx="251">
                  <c:v>8.2221997502126207</c:v>
                </c:pt>
                <c:pt idx="252">
                  <c:v>8.2393338311066291</c:v>
                </c:pt>
                <c:pt idx="253">
                  <c:v>8.256393537848739</c:v>
                </c:pt>
                <c:pt idx="254">
                  <c:v>8.2733797977729431</c:v>
                </c:pt>
                <c:pt idx="255">
                  <c:v>8.2902935204251538</c:v>
                </c:pt>
                <c:pt idx="256">
                  <c:v>8.3071355980268855</c:v>
                </c:pt>
                <c:pt idx="257">
                  <c:v>8.3239069059237103</c:v>
                </c:pt>
                <c:pt idx="258">
                  <c:v>8.3406083030190903</c:v>
                </c:pt>
                <c:pt idx="259">
                  <c:v>8.3572406321941628</c:v>
                </c:pt>
                <c:pt idx="260">
                  <c:v>8.3738047207140234</c:v>
                </c:pt>
                <c:pt idx="261">
                  <c:v>8.3903013806210343</c:v>
                </c:pt>
                <c:pt idx="262">
                  <c:v>8.4067314091156451</c:v>
                </c:pt>
                <c:pt idx="263">
                  <c:v>8.4230955889252179</c:v>
                </c:pt>
                <c:pt idx="264">
                  <c:v>8.4393946886612987</c:v>
                </c:pt>
                <c:pt idx="265">
                  <c:v>8.4556294631657831</c:v>
                </c:pt>
                <c:pt idx="266">
                  <c:v>8.4718006538463779</c:v>
                </c:pt>
                <c:pt idx="267">
                  <c:v>8.487908989001772</c:v>
                </c:pt>
                <c:pt idx="268">
                  <c:v>8.503955184136883</c:v>
                </c:pt>
                <c:pt idx="269">
                  <c:v>8.5199399422685538</c:v>
                </c:pt>
                <c:pt idx="270">
                  <c:v>8.5358639542220427</c:v>
                </c:pt>
                <c:pt idx="271">
                  <c:v>8.551727898918644</c:v>
                </c:pt>
                <c:pt idx="272">
                  <c:v>8.5675324436547537</c:v>
                </c:pt>
                <c:pt idx="273">
                  <c:v>8.5832782443726909</c:v>
                </c:pt>
                <c:pt idx="274">
                  <c:v>8.5989659459235686</c:v>
                </c:pt>
                <c:pt idx="275">
                  <c:v>8.6145961823224937</c:v>
                </c:pt>
                <c:pt idx="276">
                  <c:v>8.6301695769963622</c:v>
                </c:pt>
                <c:pt idx="277">
                  <c:v>8.6456867430245126</c:v>
                </c:pt>
                <c:pt idx="278">
                  <c:v>8.6611482833724889</c:v>
                </c:pt>
                <c:pt idx="279">
                  <c:v>8.6765547911191412</c:v>
                </c:pt>
                <c:pt idx="280">
                  <c:v>8.6919068496772969</c:v>
                </c:pt>
                <c:pt idx="281">
                  <c:v>8.7072050330082291</c:v>
                </c:pt>
                <c:pt idx="282">
                  <c:v>8.7224499058301195</c:v>
                </c:pt>
                <c:pt idx="283">
                  <c:v>8.737642023820726</c:v>
                </c:pt>
                <c:pt idx="284">
                  <c:v>8.7527819338144539</c:v>
                </c:pt>
                <c:pt idx="285">
                  <c:v>8.7678701739939964</c:v>
                </c:pt>
                <c:pt idx="286">
                  <c:v>8.7829072740767558</c:v>
                </c:pt>
                <c:pt idx="287">
                  <c:v>8.7978937554961867</c:v>
                </c:pt>
                <c:pt idx="288">
                  <c:v>8.8128301315782469</c:v>
                </c:pt>
                <c:pt idx="289">
                  <c:v>8.8277169077131088</c:v>
                </c:pt>
                <c:pt idx="290">
                  <c:v>8.8425545815222844</c:v>
                </c:pt>
                <c:pt idx="291">
                  <c:v>8.8573436430213111</c:v>
                </c:pt>
                <c:pt idx="292">
                  <c:v>8.8720845747781389</c:v>
                </c:pt>
                <c:pt idx="293">
                  <c:v>8.8867778520673664</c:v>
                </c:pt>
                <c:pt idx="294">
                  <c:v>8.9014239430204398</c:v>
                </c:pt>
                <c:pt idx="295">
                  <c:v>8.9160233087719547</c:v>
                </c:pt>
                <c:pt idx="296">
                  <c:v>8.9305764036021777</c:v>
                </c:pt>
                <c:pt idx="297">
                  <c:v>8.9450836750759084</c:v>
                </c:pt>
                <c:pt idx="298">
                  <c:v>8.9595455641777946</c:v>
                </c:pt>
                <c:pt idx="299">
                  <c:v>8.9739625054442023</c:v>
                </c:pt>
                <c:pt idx="300">
                  <c:v>8.9883349270917581</c:v>
                </c:pt>
                <c:pt idx="301">
                  <c:v>9.002663251142657</c:v>
                </c:pt>
                <c:pt idx="302">
                  <c:v>9.0169478935468401</c:v>
                </c:pt>
                <c:pt idx="303">
                  <c:v>9.0311892643011245</c:v>
                </c:pt>
                <c:pt idx="304">
                  <c:v>9.0453877675653924</c:v>
                </c:pt>
                <c:pt idx="305">
                  <c:v>9.05954380177592</c:v>
                </c:pt>
                <c:pt idx="306">
                  <c:v>9.0736577597559265</c:v>
                </c:pt>
                <c:pt idx="307">
                  <c:v>9.0877300288234277</c:v>
                </c:pt>
                <c:pt idx="308">
                  <c:v>9.1017609908964854</c:v>
                </c:pt>
                <c:pt idx="309">
                  <c:v>9.1157510225959069</c:v>
                </c:pt>
                <c:pt idx="310">
                  <c:v>9.1297004953454888</c:v>
                </c:pt>
                <c:pt idx="311">
                  <c:v>9.1436097754698586</c:v>
                </c:pt>
                <c:pt idx="312">
                  <c:v>9.1574792242900056</c:v>
                </c:pt>
                <c:pt idx="313">
                  <c:v>9.1713091982165427</c:v>
                </c:pt>
                <c:pt idx="314">
                  <c:v>9.185100048840777</c:v>
                </c:pt>
                <c:pt idx="315">
                  <c:v>9.1988521230236557</c:v>
                </c:pt>
                <c:pt idx="316">
                  <c:v>9.2125657629826314</c:v>
                </c:pt>
                <c:pt idx="317">
                  <c:v>9.2262413063765241</c:v>
                </c:pt>
                <c:pt idx="318">
                  <c:v>9.2398790863884184</c:v>
                </c:pt>
                <c:pt idx="319">
                  <c:v>9.2534794318066655</c:v>
                </c:pt>
                <c:pt idx="320">
                  <c:v>9.2670426671040325</c:v>
                </c:pt>
                <c:pt idx="321">
                  <c:v>9.2805691125150478</c:v>
                </c:pt>
                <c:pt idx="322">
                  <c:v>9.2940590841116126</c:v>
                </c:pt>
                <c:pt idx="323">
                  <c:v>9.3075128938768898</c:v>
                </c:pt>
                <c:pt idx="324">
                  <c:v>9.3209308497775538</c:v>
                </c:pt>
                <c:pt idx="325">
                  <c:v>9.3343132558344255</c:v>
                </c:pt>
                <c:pt idx="326">
                  <c:v>9.3476604121915354</c:v>
                </c:pt>
                <c:pt idx="327">
                  <c:v>9.3609726151836661</c:v>
                </c:pt>
                <c:pt idx="328">
                  <c:v>9.3742501574024057</c:v>
                </c:pt>
                <c:pt idx="329">
                  <c:v>9.3874933277607617</c:v>
                </c:pt>
                <c:pt idx="330">
                  <c:v>9.4007024115563613</c:v>
                </c:pt>
                <c:pt idx="331">
                  <c:v>9.4138776905332868</c:v>
                </c:pt>
                <c:pt idx="332">
                  <c:v>9.4270194429425729</c:v>
                </c:pt>
                <c:pt idx="333">
                  <c:v>9.4401279436014036</c:v>
                </c:pt>
                <c:pt idx="334">
                  <c:v>9.4532034639510485</c:v>
                </c:pt>
                <c:pt idx="335">
                  <c:v>9.4662462721135583</c:v>
                </c:pt>
                <c:pt idx="336">
                  <c:v>9.4792566329472638</c:v>
                </c:pt>
                <c:pt idx="337">
                  <c:v>9.4922348081011023</c:v>
                </c:pt>
                <c:pt idx="338">
                  <c:v>9.5051810560678014</c:v>
                </c:pt>
                <c:pt idx="339">
                  <c:v>9.5180956322359531</c:v>
                </c:pt>
                <c:pt idx="340">
                  <c:v>9.5309787889410025</c:v>
                </c:pt>
                <c:pt idx="341">
                  <c:v>9.5438307755151808</c:v>
                </c:pt>
                <c:pt idx="342">
                  <c:v>9.5566518383364034</c:v>
                </c:pt>
                <c:pt idx="343">
                  <c:v>9.5694422208761676</c:v>
                </c:pt>
                <c:pt idx="344">
                  <c:v>9.5822021637464694</c:v>
                </c:pt>
                <c:pt idx="345">
                  <c:v>9.5949319047457635</c:v>
                </c:pt>
                <c:pt idx="346">
                  <c:v>9.6076316789039904</c:v>
                </c:pt>
                <c:pt idx="347">
                  <c:v>9.6203017185266972</c:v>
                </c:pt>
                <c:pt idx="348">
                  <c:v>9.6329422532382658</c:v>
                </c:pt>
                <c:pt idx="349">
                  <c:v>9.645553510024282</c:v>
                </c:pt>
                <c:pt idx="350">
                  <c:v>9.6581357132730545</c:v>
                </c:pt>
                <c:pt idx="351">
                  <c:v>9.6706890848163098</c:v>
                </c:pt>
                <c:pt idx="352">
                  <c:v>9.6832138439690869</c:v>
                </c:pt>
                <c:pt idx="353">
                  <c:v>9.6957102075688386</c:v>
                </c:pt>
                <c:pt idx="354">
                  <c:v>9.7081783900137744</c:v>
                </c:pt>
                <c:pt idx="355">
                  <c:v>9.7206186033004496</c:v>
                </c:pt>
                <c:pt idx="356">
                  <c:v>9.7330310570606215</c:v>
                </c:pt>
                <c:pt idx="357">
                  <c:v>9.7454159585974001</c:v>
                </c:pt>
                <c:pt idx="358">
                  <c:v>9.7577735129206893</c:v>
                </c:pt>
                <c:pt idx="359">
                  <c:v>9.7701039227819599</c:v>
                </c:pt>
                <c:pt idx="360">
                  <c:v>9.7824073887083465</c:v>
                </c:pt>
                <c:pt idx="361">
                  <c:v>9.794684109036103</c:v>
                </c:pt>
                <c:pt idx="362">
                  <c:v>9.8069342799434143</c:v>
                </c:pt>
                <c:pt idx="363">
                  <c:v>9.8191580954825959</c:v>
                </c:pt>
                <c:pt idx="364">
                  <c:v>9.8313557476116866</c:v>
                </c:pt>
                <c:pt idx="365">
                  <c:v>9.8435274262254406</c:v>
                </c:pt>
                <c:pt idx="366">
                  <c:v>9.8556733191857493</c:v>
                </c:pt>
                <c:pt idx="367">
                  <c:v>9.8677936123514947</c:v>
                </c:pt>
                <c:pt idx="368">
                  <c:v>9.8798884896078469</c:v>
                </c:pt>
                <c:pt idx="369">
                  <c:v>9.8919581328950219</c:v>
                </c:pt>
                <c:pt idx="370">
                  <c:v>9.9040027222365126</c:v>
                </c:pt>
                <c:pt idx="371">
                  <c:v>9.9160224357668021</c:v>
                </c:pt>
                <c:pt idx="372">
                  <c:v>9.9280174497585705</c:v>
                </c:pt>
                <c:pt idx="373">
                  <c:v>9.9399879386494021</c:v>
                </c:pt>
                <c:pt idx="374">
                  <c:v>9.9519340750680225</c:v>
                </c:pt>
                <c:pt idx="375">
                  <c:v>9.9638560298600467</c:v>
                </c:pt>
                <c:pt idx="376">
                  <c:v>9.9757539721132762</c:v>
                </c:pt>
                <c:pt idx="377">
                  <c:v>9.9876280691825361</c:v>
                </c:pt>
                <c:pt idx="378">
                  <c:v>9.9994784867140751</c:v>
                </c:pt>
                <c:pt idx="379">
                  <c:v>10.011305388669523</c:v>
                </c:pt>
                <c:pt idx="380">
                  <c:v>10.02310893734944</c:v>
                </c:pt>
                <c:pt idx="381">
                  <c:v>10.034889293416429</c:v>
                </c:pt>
                <c:pt idx="382">
                  <c:v>10.046646615917863</c:v>
                </c:pt>
                <c:pt idx="383">
                  <c:v>10.058381062308204</c:v>
                </c:pt>
                <c:pt idx="384">
                  <c:v>10.070092788470925</c:v>
                </c:pt>
                <c:pt idx="385">
                  <c:v>10.081781948740073</c:v>
                </c:pt>
                <c:pt idx="386">
                  <c:v>10.093448695921438</c:v>
                </c:pt>
                <c:pt idx="387">
                  <c:v>10.105093181313366</c:v>
                </c:pt>
                <c:pt idx="388">
                  <c:v>10.116715554727216</c:v>
                </c:pt>
                <c:pt idx="389">
                  <c:v>10.128315964507459</c:v>
                </c:pt>
                <c:pt idx="390">
                  <c:v>10.139894557551445</c:v>
                </c:pt>
                <c:pt idx="391">
                  <c:v>10.15145147932882</c:v>
                </c:pt>
                <c:pt idx="392">
                  <c:v>10.16298687390063</c:v>
                </c:pt>
                <c:pt idx="393">
                  <c:v>10.174500883938089</c:v>
                </c:pt>
                <c:pt idx="394">
                  <c:v>10.185993650741041</c:v>
                </c:pt>
                <c:pt idx="395">
                  <c:v>10.197465314256107</c:v>
                </c:pt>
                <c:pt idx="396">
                  <c:v>10.208916013094527</c:v>
                </c:pt>
                <c:pt idx="397">
                  <c:v>10.220345884549715</c:v>
                </c:pt>
                <c:pt idx="398">
                  <c:v>10.231755064614514</c:v>
                </c:pt>
                <c:pt idx="399">
                  <c:v>10.243143687998165</c:v>
                </c:pt>
                <c:pt idx="400">
                  <c:v>10.254511888143005</c:v>
                </c:pt>
                <c:pt idx="401">
                  <c:v>10.265859797240886</c:v>
                </c:pt>
                <c:pt idx="402">
                  <c:v>10.277187546249321</c:v>
                </c:pt>
                <c:pt idx="403">
                  <c:v>10.288495264907377</c:v>
                </c:pt>
                <c:pt idx="404">
                  <c:v>10.299783081751299</c:v>
                </c:pt>
                <c:pt idx="405">
                  <c:v>10.311051124129891</c:v>
                </c:pt>
                <c:pt idx="406">
                  <c:v>10.322299518219644</c:v>
                </c:pt>
                <c:pt idx="407">
                  <c:v>10.333528389039621</c:v>
                </c:pt>
                <c:pt idx="408">
                  <c:v>10.3447378604661</c:v>
                </c:pt>
                <c:pt idx="409">
                  <c:v>10.355928055246995</c:v>
                </c:pt>
                <c:pt idx="410">
                  <c:v>10.367099095016034</c:v>
                </c:pt>
                <c:pt idx="411">
                  <c:v>10.378251100306716</c:v>
                </c:pt>
                <c:pt idx="412">
                  <c:v>10.389384190566059</c:v>
                </c:pt>
                <c:pt idx="413">
                  <c:v>10.400498484168109</c:v>
                </c:pt>
                <c:pt idx="414">
                  <c:v>10.411594098427262</c:v>
                </c:pt>
                <c:pt idx="415">
                  <c:v>10.422671149611357</c:v>
                </c:pt>
                <c:pt idx="416">
                  <c:v>10.433729752954578</c:v>
                </c:pt>
                <c:pt idx="417">
                  <c:v>10.444770022670145</c:v>
                </c:pt>
                <c:pt idx="418">
                  <c:v>10.455792071962819</c:v>
                </c:pt>
                <c:pt idx="419">
                  <c:v>10.466796013041208</c:v>
                </c:pt>
                <c:pt idx="420">
                  <c:v>10.477781957129883</c:v>
                </c:pt>
                <c:pt idx="421">
                  <c:v>10.488750014481312</c:v>
                </c:pt>
                <c:pt idx="422">
                  <c:v>10.499700294387607</c:v>
                </c:pt>
                <c:pt idx="423">
                  <c:v>10.510632905192091</c:v>
                </c:pt>
                <c:pt idx="424">
                  <c:v>10.521547954300701</c:v>
                </c:pt>
                <c:pt idx="425">
                  <c:v>10.532445548193202</c:v>
                </c:pt>
                <c:pt idx="426">
                  <c:v>10.543325792434242</c:v>
                </c:pt>
                <c:pt idx="427">
                  <c:v>10.55418879168424</c:v>
                </c:pt>
                <c:pt idx="428">
                  <c:v>10.565034649710103</c:v>
                </c:pt>
                <c:pt idx="429">
                  <c:v>10.575863469395797</c:v>
                </c:pt>
                <c:pt idx="430">
                  <c:v>10.586675352752742</c:v>
                </c:pt>
                <c:pt idx="431">
                  <c:v>10.597470400930069</c:v>
                </c:pt>
                <c:pt idx="432">
                  <c:v>10.60824871422472</c:v>
                </c:pt>
                <c:pt idx="433">
                  <c:v>10.61901039209139</c:v>
                </c:pt>
                <c:pt idx="434">
                  <c:v>10.643008658855679</c:v>
                </c:pt>
                <c:pt idx="435">
                  <c:v>10.666925147554579</c:v>
                </c:pt>
                <c:pt idx="436">
                  <c:v>10.690760930407313</c:v>
                </c:pt>
                <c:pt idx="437">
                  <c:v>10.7145170599591</c:v>
                </c:pt>
                <c:pt idx="438">
                  <c:v>10.73819456958034</c:v>
                </c:pt>
                <c:pt idx="439">
                  <c:v>10.761794473949891</c:v>
                </c:pt>
                <c:pt idx="440">
                  <c:v>10.785317769523042</c:v>
                </c:pt>
                <c:pt idx="441">
                  <c:v>10.808765434984775</c:v>
                </c:pt>
                <c:pt idx="442">
                  <c:v>10.832138431688868</c:v>
                </c:pt>
                <c:pt idx="443">
                  <c:v>10.85543770408338</c:v>
                </c:pt>
                <c:pt idx="444">
                  <c:v>10.878664180123002</c:v>
                </c:pt>
                <c:pt idx="445">
                  <c:v>10.901818771668797</c:v>
                </c:pt>
                <c:pt idx="446">
                  <c:v>10.924902374875774</c:v>
                </c:pt>
                <c:pt idx="447">
                  <c:v>10.947915870568737</c:v>
                </c:pt>
                <c:pt idx="448">
                  <c:v>10.970860124606849</c:v>
                </c:pt>
                <c:pt idx="449">
                  <c:v>10.993735988237319</c:v>
                </c:pt>
                <c:pt idx="450">
                  <c:v>11.016544298438587</c:v>
                </c:pt>
                <c:pt idx="451">
                  <c:v>11.039285878253411</c:v>
                </c:pt>
                <c:pt idx="452">
                  <c:v>11.061961537112182</c:v>
                </c:pt>
                <c:pt idx="453">
                  <c:v>11.084572071146837</c:v>
                </c:pt>
                <c:pt idx="454">
                  <c:v>11.107118263495691</c:v>
                </c:pt>
                <c:pt idx="455">
                  <c:v>11.129600884599496</c:v>
                </c:pt>
                <c:pt idx="456">
                  <c:v>11.152020692489051</c:v>
                </c:pt>
                <c:pt idx="457">
                  <c:v>11.174378433064637</c:v>
                </c:pt>
                <c:pt idx="458">
                  <c:v>11.196674840367564</c:v>
                </c:pt>
                <c:pt idx="459">
                  <c:v>11.21891063684409</c:v>
                </c:pt>
                <c:pt idx="460">
                  <c:v>11.241086533601994</c:v>
                </c:pt>
                <c:pt idx="461">
                  <c:v>11.26320323066002</c:v>
                </c:pt>
                <c:pt idx="462">
                  <c:v>11.285261417190442</c:v>
                </c:pt>
                <c:pt idx="463">
                  <c:v>11.307261771754998</c:v>
                </c:pt>
                <c:pt idx="464">
                  <c:v>11.329204962534373</c:v>
                </c:pt>
                <c:pt idx="465">
                  <c:v>11.351091647551483</c:v>
                </c:pt>
                <c:pt idx="466">
                  <c:v>11.372922474888735</c:v>
                </c:pt>
                <c:pt idx="467">
                  <c:v>11.394698082899474</c:v>
                </c:pt>
                <c:pt idx="468">
                  <c:v>11.41641910041379</c:v>
                </c:pt>
                <c:pt idx="469">
                  <c:v>11.438086146938891</c:v>
                </c:pt>
                <c:pt idx="470">
                  <c:v>11.459699832854188</c:v>
                </c:pt>
                <c:pt idx="471">
                  <c:v>11.481260759601273</c:v>
                </c:pt>
                <c:pt idx="472">
                  <c:v>11.502769519868961</c:v>
                </c:pt>
                <c:pt idx="473">
                  <c:v>11.524226697773527</c:v>
                </c:pt>
                <c:pt idx="474">
                  <c:v>11.545632869034311</c:v>
                </c:pt>
                <c:pt idx="475">
                  <c:v>11.566988601144825</c:v>
                </c:pt>
                <c:pt idx="476">
                  <c:v>11.588294453539502</c:v>
                </c:pt>
                <c:pt idx="477">
                  <c:v>11.60955097775622</c:v>
                </c:pt>
                <c:pt idx="478">
                  <c:v>11.630758717594729</c:v>
                </c:pt>
                <c:pt idx="479">
                  <c:v>11.651918209271116</c:v>
                </c:pt>
                <c:pt idx="480">
                  <c:v>11.673029981568414</c:v>
                </c:pt>
                <c:pt idx="481">
                  <c:v>11.694094555983474</c:v>
                </c:pt>
                <c:pt idx="482">
                  <c:v>11.715112446870227</c:v>
                </c:pt>
                <c:pt idx="483">
                  <c:v>11.736084161579422</c:v>
                </c:pt>
                <c:pt idx="484">
                  <c:v>11.757010200594951</c:v>
                </c:pt>
                <c:pt idx="485">
                  <c:v>11.777891057666883</c:v>
                </c:pt>
                <c:pt idx="486">
                  <c:v>11.798727219941259</c:v>
                </c:pt>
                <c:pt idx="487">
                  <c:v>11.819519168086796</c:v>
                </c:pt>
                <c:pt idx="488">
                  <c:v>11.840267376418538</c:v>
                </c:pt>
                <c:pt idx="489">
                  <c:v>11.860972313018589</c:v>
                </c:pt>
                <c:pt idx="490">
                  <c:v>11.881634439853975</c:v>
                </c:pt>
                <c:pt idx="491">
                  <c:v>11.902254212891739</c:v>
                </c:pt>
                <c:pt idx="492">
                  <c:v>11.922832082211334</c:v>
                </c:pt>
                <c:pt idx="493">
                  <c:v>11.943368492114411</c:v>
                </c:pt>
                <c:pt idx="494">
                  <c:v>11.963863881232044</c:v>
                </c:pt>
                <c:pt idx="495">
                  <c:v>11.984318682629494</c:v>
                </c:pt>
                <c:pt idx="496">
                  <c:v>12.004733323908573</c:v>
                </c:pt>
                <c:pt idx="497">
                  <c:v>12.025108227307646</c:v>
                </c:pt>
                <c:pt idx="498">
                  <c:v>12.045443809799394</c:v>
                </c:pt>
                <c:pt idx="499">
                  <c:v>12.065740483186339</c:v>
                </c:pt>
                <c:pt idx="500">
                  <c:v>12.085998654194229</c:v>
                </c:pt>
                <c:pt idx="501">
                  <c:v>12.106218724563341</c:v>
                </c:pt>
                <c:pt idx="502">
                  <c:v>12.126401091137726</c:v>
                </c:pt>
                <c:pt idx="503">
                  <c:v>12.146546145952501</c:v>
                </c:pt>
                <c:pt idx="504">
                  <c:v>12.166654276319196</c:v>
                </c:pt>
                <c:pt idx="505">
                  <c:v>12.186725864909238</c:v>
                </c:pt>
                <c:pt idx="506">
                  <c:v>12.206761289835596</c:v>
                </c:pt>
                <c:pt idx="507">
                  <c:v>12.226760924732663</c:v>
                </c:pt>
                <c:pt idx="508">
                  <c:v>12.246725138834401</c:v>
                </c:pt>
                <c:pt idx="509">
                  <c:v>12.26665429705081</c:v>
                </c:pt>
                <c:pt idx="510">
                  <c:v>12.28654876004274</c:v>
                </c:pt>
                <c:pt idx="511">
                  <c:v>12.306408884295122</c:v>
                </c:pt>
                <c:pt idx="512">
                  <c:v>12.326235022188637</c:v>
                </c:pt>
                <c:pt idx="513">
                  <c:v>12.346027522069869</c:v>
                </c:pt>
                <c:pt idx="514">
                  <c:v>12.365786728319977</c:v>
                </c:pt>
                <c:pt idx="515">
                  <c:v>12.385512981421932</c:v>
                </c:pt>
                <c:pt idx="516">
                  <c:v>12.405206618026359</c:v>
                </c:pt>
                <c:pt idx="517">
                  <c:v>12.424867971015988</c:v>
                </c:pt>
                <c:pt idx="518">
                  <c:v>12.444497369568802</c:v>
                </c:pt>
                <c:pt idx="519">
                  <c:v>12.464095139219866</c:v>
                </c:pt>
                <c:pt idx="520">
                  <c:v>12.483661601921893</c:v>
                </c:pt>
                <c:pt idx="521">
                  <c:v>12.503197076104584</c:v>
                </c:pt>
                <c:pt idx="522">
                  <c:v>12.522701876732746</c:v>
                </c:pt>
                <c:pt idx="523">
                  <c:v>12.542176315363257</c:v>
                </c:pt>
                <c:pt idx="524">
                  <c:v>12.561620700200868</c:v>
                </c:pt>
                <c:pt idx="525">
                  <c:v>12.58103533615289</c:v>
                </c:pt>
                <c:pt idx="526">
                  <c:v>12.600420524882807</c:v>
                </c:pt>
                <c:pt idx="527">
                  <c:v>12.619776564862795</c:v>
                </c:pt>
                <c:pt idx="528">
                  <c:v>12.639103751425232</c:v>
                </c:pt>
                <c:pt idx="529">
                  <c:v>12.658402376813177</c:v>
                </c:pt>
                <c:pt idx="530">
                  <c:v>12.677672730229865</c:v>
                </c:pt>
                <c:pt idx="531">
                  <c:v>12.69691509788724</c:v>
                </c:pt>
                <c:pt idx="532">
                  <c:v>12.716129763053543</c:v>
                </c:pt>
                <c:pt idx="533">
                  <c:v>12.735317006099972</c:v>
                </c:pt>
                <c:pt idx="534">
                  <c:v>12.754477104546464</c:v>
                </c:pt>
                <c:pt idx="535">
                  <c:v>12.773610333106577</c:v>
                </c:pt>
                <c:pt idx="536">
                  <c:v>12.792716963731527</c:v>
                </c:pt>
                <c:pt idx="537">
                  <c:v>12.811797265653393</c:v>
                </c:pt>
                <c:pt idx="538">
                  <c:v>12.830851505427493</c:v>
                </c:pt>
                <c:pt idx="539">
                  <c:v>12.849879946973967</c:v>
                </c:pt>
                <c:pt idx="540">
                  <c:v>12.868882851618583</c:v>
                </c:pt>
                <c:pt idx="541">
                  <c:v>12.887860478132776</c:v>
                </c:pt>
                <c:pt idx="542">
                  <c:v>12.906813082772947</c:v>
                </c:pt>
                <c:pt idx="543">
                  <c:v>12.925740919319033</c:v>
                </c:pt>
                <c:pt idx="544">
                  <c:v>12.944644239112357</c:v>
                </c:pt>
                <c:pt idx="545">
                  <c:v>12.963523291092802</c:v>
                </c:pt>
                <c:pt idx="546">
                  <c:v>12.982378321835288</c:v>
                </c:pt>
                <c:pt idx="547">
                  <c:v>13.001209575585589</c:v>
                </c:pt>
                <c:pt idx="548">
                  <c:v>13.02001729429551</c:v>
                </c:pt>
                <c:pt idx="549">
                  <c:v>13.038801717657416</c:v>
                </c:pt>
                <c:pt idx="550">
                  <c:v>13.057563083138149</c:v>
                </c:pt>
                <c:pt idx="551">
                  <c:v>13.076301626012336</c:v>
                </c:pt>
                <c:pt idx="552">
                  <c:v>13.095017579395101</c:v>
                </c:pt>
                <c:pt idx="553">
                  <c:v>13.113711174274197</c:v>
                </c:pt>
                <c:pt idx="554">
                  <c:v>13.132382639541573</c:v>
                </c:pt>
                <c:pt idx="555">
                  <c:v>13.151032202024382</c:v>
                </c:pt>
                <c:pt idx="556">
                  <c:v>13.169660086515448</c:v>
                </c:pt>
                <c:pt idx="557">
                  <c:v>13.188266515803198</c:v>
                </c:pt>
                <c:pt idx="558">
                  <c:v>13.206851710701079</c:v>
                </c:pt>
                <c:pt idx="559">
                  <c:v>13.225415890076459</c:v>
                </c:pt>
                <c:pt idx="560">
                  <c:v>13.243959270879033</c:v>
                </c:pt>
                <c:pt idx="561">
                  <c:v>13.262482068168746</c:v>
                </c:pt>
                <c:pt idx="562">
                  <c:v>13.28098449514323</c:v>
                </c:pt>
                <c:pt idx="563">
                  <c:v>13.299466763164778</c:v>
                </c:pt>
                <c:pt idx="564">
                  <c:v>13.317929081786867</c:v>
                </c:pt>
                <c:pt idx="565">
                  <c:v>13.336371658780216</c:v>
                </c:pt>
                <c:pt idx="566">
                  <c:v>13.354794700158427</c:v>
                </c:pt>
                <c:pt idx="567">
                  <c:v>13.373198410203182</c:v>
                </c:pt>
                <c:pt idx="568">
                  <c:v>13.391582991489024</c:v>
                </c:pt>
                <c:pt idx="569">
                  <c:v>13.409948644907729</c:v>
                </c:pt>
                <c:pt idx="570">
                  <c:v>13.428295569692272</c:v>
                </c:pt>
                <c:pt idx="571">
                  <c:v>13.446623963440397</c:v>
                </c:pt>
                <c:pt idx="572">
                  <c:v>13.464934022137802</c:v>
                </c:pt>
                <c:pt idx="573">
                  <c:v>13.483225940180954</c:v>
                </c:pt>
                <c:pt idx="574">
                  <c:v>13.501499910399513</c:v>
                </c:pt>
                <c:pt idx="575">
                  <c:v>13.519756124078411</c:v>
                </c:pt>
                <c:pt idx="576">
                  <c:v>13.537994770979568</c:v>
                </c:pt>
                <c:pt idx="577">
                  <c:v>13.556216039363257</c:v>
                </c:pt>
                <c:pt idx="578">
                  <c:v>13.574420116009133</c:v>
                </c:pt>
                <c:pt idx="579">
                  <c:v>13.59260718623692</c:v>
                </c:pt>
                <c:pt idx="580">
                  <c:v>13.610777433926776</c:v>
                </c:pt>
                <c:pt idx="581">
                  <c:v>13.628931041539332</c:v>
                </c:pt>
                <c:pt idx="582">
                  <c:v>13.647068190135418</c:v>
                </c:pt>
                <c:pt idx="583">
                  <c:v>13.665189059395479</c:v>
                </c:pt>
                <c:pt idx="584">
                  <c:v>13.673295406847975</c:v>
                </c:pt>
                <c:pt idx="585">
                  <c:v>13.681398552915999</c:v>
                </c:pt>
                <c:pt idx="586">
                  <c:v>13.689498513420714</c:v>
                </c:pt>
                <c:pt idx="587">
                  <c:v>13.697595304130303</c:v>
                </c:pt>
                <c:pt idx="588">
                  <c:v>13.705688940760293</c:v>
                </c:pt>
                <c:pt idx="589">
                  <c:v>13.713779438973884</c:v>
                </c:pt>
                <c:pt idx="590">
                  <c:v>13.721866814382267</c:v>
                </c:pt>
                <c:pt idx="591">
                  <c:v>13.729951082544952</c:v>
                </c:pt>
                <c:pt idx="592">
                  <c:v>13.738032258970081</c:v>
                </c:pt>
                <c:pt idx="593">
                  <c:v>13.746110359114747</c:v>
                </c:pt>
                <c:pt idx="594">
                  <c:v>13.754185398385308</c:v>
                </c:pt>
                <c:pt idx="595">
                  <c:v>13.762257392137704</c:v>
                </c:pt>
                <c:pt idx="596">
                  <c:v>13.770326355677758</c:v>
                </c:pt>
                <c:pt idx="597">
                  <c:v>13.778392304261494</c:v>
                </c:pt>
                <c:pt idx="598">
                  <c:v>13.786455253095436</c:v>
                </c:pt>
                <c:pt idx="599">
                  <c:v>13.794515217336915</c:v>
                </c:pt>
                <c:pt idx="600">
                  <c:v>13.80257221209437</c:v>
                </c:pt>
                <c:pt idx="601">
                  <c:v>13.810626252427651</c:v>
                </c:pt>
                <c:pt idx="602">
                  <c:v>13.818677353348313</c:v>
                </c:pt>
                <c:pt idx="603">
                  <c:v>13.826725529819914</c:v>
                </c:pt>
                <c:pt idx="604">
                  <c:v>13.834770796758308</c:v>
                </c:pt>
                <c:pt idx="605">
                  <c:v>13.842813169031936</c:v>
                </c:pt>
                <c:pt idx="606">
                  <c:v>13.850852661462122</c:v>
                </c:pt>
                <c:pt idx="607">
                  <c:v>13.858889288823351</c:v>
                </c:pt>
                <c:pt idx="608">
                  <c:v>13.866923065843562</c:v>
                </c:pt>
                <c:pt idx="609">
                  <c:v>13.874954007204433</c:v>
                </c:pt>
                <c:pt idx="610">
                  <c:v>13.882982127541661</c:v>
                </c:pt>
                <c:pt idx="611">
                  <c:v>13.89100744144524</c:v>
                </c:pt>
                <c:pt idx="612">
                  <c:v>13.899029963459743</c:v>
                </c:pt>
                <c:pt idx="613">
                  <c:v>13.907049708084601</c:v>
                </c:pt>
                <c:pt idx="614">
                  <c:v>13.915066689774374</c:v>
                </c:pt>
                <c:pt idx="615">
                  <c:v>13.923080922939024</c:v>
                </c:pt>
                <c:pt idx="616">
                  <c:v>13.931092421944188</c:v>
                </c:pt>
                <c:pt idx="617">
                  <c:v>13.939101201111448</c:v>
                </c:pt>
                <c:pt idx="618">
                  <c:v>13.947107274718601</c:v>
                </c:pt>
                <c:pt idx="619">
                  <c:v>13.955110656999917</c:v>
                </c:pt>
                <c:pt idx="620">
                  <c:v>13.963111362146412</c:v>
                </c:pt>
                <c:pt idx="621">
                  <c:v>13.971109404306109</c:v>
                </c:pt>
                <c:pt idx="622">
                  <c:v>13.979104797584293</c:v>
                </c:pt>
                <c:pt idx="623">
                  <c:v>13.987097556043778</c:v>
                </c:pt>
                <c:pt idx="624">
                  <c:v>13.995087693705161</c:v>
                </c:pt>
                <c:pt idx="625">
                  <c:v>14.003075224547075</c:v>
                </c:pt>
                <c:pt idx="626">
                  <c:v>14.011060162506451</c:v>
                </c:pt>
                <c:pt idx="627">
                  <c:v>14.019042521478765</c:v>
                </c:pt>
                <c:pt idx="628">
                  <c:v>14.027022315318288</c:v>
                </c:pt>
                <c:pt idx="629">
                  <c:v>14.03499955783834</c:v>
                </c:pt>
                <c:pt idx="630">
                  <c:v>14.042974262811535</c:v>
                </c:pt>
                <c:pt idx="631">
                  <c:v>14.050946443970028</c:v>
                </c:pt>
                <c:pt idx="632">
                  <c:v>14.05891611500576</c:v>
                </c:pt>
                <c:pt idx="633">
                  <c:v>14.066883289570697</c:v>
                </c:pt>
                <c:pt idx="634">
                  <c:v>14.074847981277081</c:v>
                </c:pt>
                <c:pt idx="635">
                  <c:v>14.082810203697662</c:v>
                </c:pt>
                <c:pt idx="636">
                  <c:v>14.090769970365937</c:v>
                </c:pt>
                <c:pt idx="637">
                  <c:v>14.09872729477639</c:v>
                </c:pt>
                <c:pt idx="638">
                  <c:v>14.106682190384729</c:v>
                </c:pt>
                <c:pt idx="639">
                  <c:v>14.114634670608117</c:v>
                </c:pt>
                <c:pt idx="640">
                  <c:v>14.122584748825405</c:v>
                </c:pt>
                <c:pt idx="641">
                  <c:v>14.130532438377362</c:v>
                </c:pt>
                <c:pt idx="642">
                  <c:v>14.138477752566908</c:v>
                </c:pt>
                <c:pt idx="643">
                  <c:v>14.146420704659342</c:v>
                </c:pt>
                <c:pt idx="644">
                  <c:v>14.154361307882564</c:v>
                </c:pt>
                <c:pt idx="645">
                  <c:v>14.162299575427308</c:v>
                </c:pt>
                <c:pt idx="646">
                  <c:v>14.170235520447362</c:v>
                </c:pt>
                <c:pt idx="647">
                  <c:v>14.178169156059788</c:v>
                </c:pt>
                <c:pt idx="648">
                  <c:v>14.186100495345148</c:v>
                </c:pt>
                <c:pt idx="649">
                  <c:v>14.194029551347723</c:v>
                </c:pt>
                <c:pt idx="650">
                  <c:v>14.201956337075734</c:v>
                </c:pt>
                <c:pt idx="651">
                  <c:v>14.209880865501548</c:v>
                </c:pt>
                <c:pt idx="652">
                  <c:v>14.217803149561911</c:v>
                </c:pt>
                <c:pt idx="653">
                  <c:v>14.22572320215815</c:v>
                </c:pt>
                <c:pt idx="654">
                  <c:v>14.233641036156392</c:v>
                </c:pt>
                <c:pt idx="655">
                  <c:v>14.241556664387772</c:v>
                </c:pt>
                <c:pt idx="656">
                  <c:v>14.249470099648649</c:v>
                </c:pt>
                <c:pt idx="657">
                  <c:v>14.257381354700811</c:v>
                </c:pt>
                <c:pt idx="658">
                  <c:v>14.26529044227169</c:v>
                </c:pt>
                <c:pt idx="659">
                  <c:v>14.273197375054556</c:v>
                </c:pt>
                <c:pt idx="660">
                  <c:v>14.281102165708738</c:v>
                </c:pt>
                <c:pt idx="661">
                  <c:v>14.289004826859816</c:v>
                </c:pt>
                <c:pt idx="662">
                  <c:v>14.296905371099836</c:v>
                </c:pt>
                <c:pt idx="663">
                  <c:v>14.304803810987499</c:v>
                </c:pt>
                <c:pt idx="664">
                  <c:v>14.312700159048376</c:v>
                </c:pt>
                <c:pt idx="665">
                  <c:v>14.320594427775093</c:v>
                </c:pt>
                <c:pt idx="666">
                  <c:v>14.328486629627543</c:v>
                </c:pt>
                <c:pt idx="667">
                  <c:v>14.336376777033074</c:v>
                </c:pt>
                <c:pt idx="668">
                  <c:v>14.344264882386691</c:v>
                </c:pt>
                <c:pt idx="669">
                  <c:v>14.352150958051247</c:v>
                </c:pt>
                <c:pt idx="670">
                  <c:v>14.360035016357639</c:v>
                </c:pt>
                <c:pt idx="671">
                  <c:v>14.367917069604998</c:v>
                </c:pt>
                <c:pt idx="672">
                  <c:v>14.375797130060887</c:v>
                </c:pt>
                <c:pt idx="673">
                  <c:v>14.383675209961485</c:v>
                </c:pt>
                <c:pt idx="674">
                  <c:v>14.391551321511777</c:v>
                </c:pt>
                <c:pt idx="675">
                  <c:v>14.399425476885748</c:v>
                </c:pt>
                <c:pt idx="676">
                  <c:v>14.407297688226564</c:v>
                </c:pt>
                <c:pt idx="677">
                  <c:v>14.415167967646759</c:v>
                </c:pt>
                <c:pt idx="678">
                  <c:v>14.423036327228424</c:v>
                </c:pt>
                <c:pt idx="679">
                  <c:v>14.430902779023386</c:v>
                </c:pt>
                <c:pt idx="680">
                  <c:v>14.438767335053397</c:v>
                </c:pt>
                <c:pt idx="681">
                  <c:v>14.446630007310308</c:v>
                </c:pt>
                <c:pt idx="682">
                  <c:v>14.454490807756255</c:v>
                </c:pt>
                <c:pt idx="683">
                  <c:v>14.462349748323838</c:v>
                </c:pt>
                <c:pt idx="684">
                  <c:v>14.470206840916301</c:v>
                </c:pt>
                <c:pt idx="685">
                  <c:v>14.478062097407708</c:v>
                </c:pt>
                <c:pt idx="686">
                  <c:v>14.485915529643117</c:v>
                </c:pt>
                <c:pt idx="687">
                  <c:v>14.493767149438764</c:v>
                </c:pt>
                <c:pt idx="688">
                  <c:v>14.501616968582226</c:v>
                </c:pt>
                <c:pt idx="689">
                  <c:v>14.509464998832605</c:v>
                </c:pt>
                <c:pt idx="690">
                  <c:v>14.517311251920699</c:v>
                </c:pt>
                <c:pt idx="691">
                  <c:v>14.525155739549168</c:v>
                </c:pt>
                <c:pt idx="692">
                  <c:v>14.532998473392711</c:v>
                </c:pt>
                <c:pt idx="693">
                  <c:v>14.540839465098232</c:v>
                </c:pt>
                <c:pt idx="694">
                  <c:v>14.548678726285013</c:v>
                </c:pt>
                <c:pt idx="695">
                  <c:v>14.556516268544877</c:v>
                </c:pt>
                <c:pt idx="696">
                  <c:v>14.56435210344236</c:v>
                </c:pt>
                <c:pt idx="697">
                  <c:v>14.572186242514874</c:v>
                </c:pt>
                <c:pt idx="698">
                  <c:v>14.580018697272873</c:v>
                </c:pt>
                <c:pt idx="699">
                  <c:v>14.587849479200017</c:v>
                </c:pt>
                <c:pt idx="700">
                  <c:v>14.595678599753334</c:v>
                </c:pt>
                <c:pt idx="701">
                  <c:v>14.603506070363391</c:v>
                </c:pt>
                <c:pt idx="702">
                  <c:v>14.611331902434442</c:v>
                </c:pt>
                <c:pt idx="703">
                  <c:v>14.619156107344599</c:v>
                </c:pt>
                <c:pt idx="704">
                  <c:v>14.62697869644599</c:v>
                </c:pt>
                <c:pt idx="705">
                  <c:v>14.634799681064914</c:v>
                </c:pt>
                <c:pt idx="706">
                  <c:v>14.642619072502002</c:v>
                </c:pt>
                <c:pt idx="707">
                  <c:v>14.650436882032377</c:v>
                </c:pt>
                <c:pt idx="708">
                  <c:v>14.658253120905805</c:v>
                </c:pt>
                <c:pt idx="709">
                  <c:v>14.666067800346854</c:v>
                </c:pt>
                <c:pt idx="710">
                  <c:v>14.673880931555049</c:v>
                </c:pt>
                <c:pt idx="711">
                  <c:v>14.681692525705024</c:v>
                </c:pt>
                <c:pt idx="712">
                  <c:v>14.689502593946678</c:v>
                </c:pt>
                <c:pt idx="713">
                  <c:v>14.697311147405321</c:v>
                </c:pt>
                <c:pt idx="714">
                  <c:v>14.705118197181836</c:v>
                </c:pt>
                <c:pt idx="715">
                  <c:v>14.712923754352818</c:v>
                </c:pt>
                <c:pt idx="716">
                  <c:v>14.720727829970736</c:v>
                </c:pt>
                <c:pt idx="717">
                  <c:v>14.728530435064069</c:v>
                </c:pt>
                <c:pt idx="718">
                  <c:v>14.736331580637465</c:v>
                </c:pt>
                <c:pt idx="719">
                  <c:v>14.744131277671883</c:v>
                </c:pt>
                <c:pt idx="720">
                  <c:v>14.751929537124743</c:v>
                </c:pt>
                <c:pt idx="721">
                  <c:v>14.759726369930071</c:v>
                </c:pt>
                <c:pt idx="722">
                  <c:v>14.767521786998641</c:v>
                </c:pt>
                <c:pt idx="723">
                  <c:v>14.775315799218122</c:v>
                </c:pt>
                <c:pt idx="724">
                  <c:v>14.783108417453226</c:v>
                </c:pt>
                <c:pt idx="725">
                  <c:v>14.790899652545843</c:v>
                </c:pt>
                <c:pt idx="726">
                  <c:v>14.798689515315189</c:v>
                </c:pt>
                <c:pt idx="727">
                  <c:v>14.806478016557945</c:v>
                </c:pt>
                <c:pt idx="728">
                  <c:v>14.814265167048399</c:v>
                </c:pt>
                <c:pt idx="729">
                  <c:v>14.822050977538586</c:v>
                </c:pt>
                <c:pt idx="730">
                  <c:v>14.829835458758426</c:v>
                </c:pt>
                <c:pt idx="731">
                  <c:v>14.837618621415864</c:v>
                </c:pt>
                <c:pt idx="732">
                  <c:v>14.845400476197009</c:v>
                </c:pt>
                <c:pt idx="733">
                  <c:v>14.853181033766269</c:v>
                </c:pt>
                <c:pt idx="734">
                  <c:v>14.860960304766488</c:v>
                </c:pt>
                <c:pt idx="735">
                  <c:v>14.868738299819084</c:v>
                </c:pt>
                <c:pt idx="736">
                  <c:v>14.886106897677235</c:v>
                </c:pt>
                <c:pt idx="737">
                  <c:v>14.90346926847894</c:v>
                </c:pt>
                <c:pt idx="738">
                  <c:v>14.920825529592612</c:v>
                </c:pt>
                <c:pt idx="739">
                  <c:v>14.93817579787213</c:v>
                </c:pt>
                <c:pt idx="740">
                  <c:v>14.955520189664123</c:v>
                </c:pt>
                <c:pt idx="741">
                  <c:v>14.972858820815173</c:v>
                </c:pt>
                <c:pt idx="742">
                  <c:v>14.990191806678954</c:v>
                </c:pt>
                <c:pt idx="743">
                  <c:v>15.007519262123276</c:v>
                </c:pt>
                <c:pt idx="744">
                  <c:v>15.024841301537066</c:v>
                </c:pt>
                <c:pt idx="745">
                  <c:v>15.042158038837263</c:v>
                </c:pt>
                <c:pt idx="746">
                  <c:v>15.059469587475656</c:v>
                </c:pt>
                <c:pt idx="747">
                  <c:v>15.076776060445633</c:v>
                </c:pt>
                <c:pt idx="748">
                  <c:v>15.094077570288869</c:v>
                </c:pt>
                <c:pt idx="749">
                  <c:v>15.111374229101946</c:v>
                </c:pt>
                <c:pt idx="750">
                  <c:v>15.128666148542894</c:v>
                </c:pt>
                <c:pt idx="751">
                  <c:v>15.145953439837678</c:v>
                </c:pt>
                <c:pt idx="752">
                  <c:v>15.163236213786611</c:v>
                </c:pt>
                <c:pt idx="753">
                  <c:v>15.180514580770703</c:v>
                </c:pt>
                <c:pt idx="754">
                  <c:v>15.197788650757948</c:v>
                </c:pt>
                <c:pt idx="755">
                  <c:v>15.215058533309547</c:v>
                </c:pt>
                <c:pt idx="756">
                  <c:v>15.232324337586071</c:v>
                </c:pt>
                <c:pt idx="757">
                  <c:v>15.249586172353562</c:v>
                </c:pt>
                <c:pt idx="758">
                  <c:v>15.266844145989571</c:v>
                </c:pt>
                <c:pt idx="759">
                  <c:v>15.28409836648915</c:v>
                </c:pt>
                <c:pt idx="760">
                  <c:v>15.301348941470771</c:v>
                </c:pt>
                <c:pt idx="761">
                  <c:v>15.318595978182193</c:v>
                </c:pt>
                <c:pt idx="762">
                  <c:v>15.335839583506287</c:v>
                </c:pt>
                <c:pt idx="763">
                  <c:v>15.353079863966784</c:v>
                </c:pt>
                <c:pt idx="764">
                  <c:v>15.370316925733986</c:v>
                </c:pt>
                <c:pt idx="765">
                  <c:v>15.387550874630419</c:v>
                </c:pt>
                <c:pt idx="766">
                  <c:v>15.404781816136429</c:v>
                </c:pt>
                <c:pt idx="767">
                  <c:v>15.422009855395745</c:v>
                </c:pt>
                <c:pt idx="768">
                  <c:v>15.439235097220962</c:v>
                </c:pt>
                <c:pt idx="769">
                  <c:v>15.456457646099006</c:v>
                </c:pt>
                <c:pt idx="770">
                  <c:v>15.473677606196532</c:v>
                </c:pt>
                <c:pt idx="771">
                  <c:v>15.490895081365277</c:v>
                </c:pt>
                <c:pt idx="772">
                  <c:v>15.508110175147378</c:v>
                </c:pt>
                <c:pt idx="773">
                  <c:v>15.525322990780623</c:v>
                </c:pt>
                <c:pt idx="774">
                  <c:v>15.542533631203678</c:v>
                </c:pt>
                <c:pt idx="775">
                  <c:v>15.559742199061258</c:v>
                </c:pt>
                <c:pt idx="776">
                  <c:v>15.576948796709258</c:v>
                </c:pt>
                <c:pt idx="777">
                  <c:v>15.594153526219843</c:v>
                </c:pt>
                <c:pt idx="778">
                  <c:v>15.611356489386491</c:v>
                </c:pt>
                <c:pt idx="779">
                  <c:v>15.628557787729003</c:v>
                </c:pt>
                <c:pt idx="780">
                  <c:v>15.64575752249846</c:v>
                </c:pt>
                <c:pt idx="781">
                  <c:v>15.662955794682158</c:v>
                </c:pt>
                <c:pt idx="782">
                  <c:v>15.68015270500849</c:v>
                </c:pt>
                <c:pt idx="783">
                  <c:v>15.69734835395179</c:v>
                </c:pt>
                <c:pt idx="784">
                  <c:v>15.714542841737153</c:v>
                </c:pt>
                <c:pt idx="785">
                  <c:v>15.731736268345198</c:v>
                </c:pt>
                <c:pt idx="786">
                  <c:v>15.748928733516816</c:v>
                </c:pt>
                <c:pt idx="787">
                  <c:v>15.766120336757869</c:v>
                </c:pt>
                <c:pt idx="788">
                  <c:v>15.783311177343851</c:v>
                </c:pt>
                <c:pt idx="789">
                  <c:v>15.800501354324531</c:v>
                </c:pt>
                <c:pt idx="790">
                  <c:v>15.81769096652855</c:v>
                </c:pt>
                <c:pt idx="791">
                  <c:v>15.834880112567987</c:v>
                </c:pt>
                <c:pt idx="792">
                  <c:v>15.85206889084289</c:v>
                </c:pt>
                <c:pt idx="793">
                  <c:v>15.86925739954579</c:v>
                </c:pt>
                <c:pt idx="794">
                  <c:v>15.886445736666159</c:v>
                </c:pt>
                <c:pt idx="795">
                  <c:v>15.903633999994868</c:v>
                </c:pt>
                <c:pt idx="796">
                  <c:v>15.920822287128585</c:v>
                </c:pt>
                <c:pt idx="797">
                  <c:v>15.938010695474166</c:v>
                </c:pt>
                <c:pt idx="798">
                  <c:v>15.955199322253007</c:v>
                </c:pt>
                <c:pt idx="799">
                  <c:v>15.972388264505369</c:v>
                </c:pt>
                <c:pt idx="800">
                  <c:v>15.98957761909468</c:v>
                </c:pt>
                <c:pt idx="801">
                  <c:v>16.006767482711801</c:v>
                </c:pt>
                <c:pt idx="802">
                  <c:v>16.023957951879279</c:v>
                </c:pt>
                <c:pt idx="803">
                  <c:v>16.041149122955559</c:v>
                </c:pt>
                <c:pt idx="804">
                  <c:v>16.058341092139187</c:v>
                </c:pt>
                <c:pt idx="805">
                  <c:v>16.07553395547297</c:v>
                </c:pt>
                <c:pt idx="806">
                  <c:v>16.092727808848124</c:v>
                </c:pt>
                <c:pt idx="807">
                  <c:v>16.109922748008401</c:v>
                </c:pt>
                <c:pt idx="808">
                  <c:v>16.127118868554181</c:v>
                </c:pt>
                <c:pt idx="809">
                  <c:v>16.144316265946554</c:v>
                </c:pt>
                <c:pt idx="810">
                  <c:v>16.161515035511364</c:v>
                </c:pt>
                <c:pt idx="811">
                  <c:v>16.178715272443252</c:v>
                </c:pt>
                <c:pt idx="812">
                  <c:v>16.195917071809653</c:v>
                </c:pt>
                <c:pt idx="813">
                  <c:v>16.213120528554803</c:v>
                </c:pt>
                <c:pt idx="814">
                  <c:v>16.230325737503691</c:v>
                </c:pt>
                <c:pt idx="815">
                  <c:v>16.24753279336602</c:v>
                </c:pt>
                <c:pt idx="816">
                  <c:v>16.264741790740135</c:v>
                </c:pt>
                <c:pt idx="817">
                  <c:v>16.281952824116935</c:v>
                </c:pt>
                <c:pt idx="818">
                  <c:v>16.299165987883764</c:v>
                </c:pt>
                <c:pt idx="819">
                  <c:v>16.316381376328287</c:v>
                </c:pt>
                <c:pt idx="820">
                  <c:v>16.333599083642351</c:v>
                </c:pt>
                <c:pt idx="821">
                  <c:v>16.350819203925823</c:v>
                </c:pt>
                <c:pt idx="822">
                  <c:v>16.368041831190418</c:v>
                </c:pt>
                <c:pt idx="823">
                  <c:v>16.3852670593635</c:v>
                </c:pt>
                <c:pt idx="824">
                  <c:v>16.402494982291884</c:v>
                </c:pt>
                <c:pt idx="825">
                  <c:v>16.419725693745605</c:v>
                </c:pt>
                <c:pt idx="826">
                  <c:v>16.43695928742169</c:v>
                </c:pt>
                <c:pt idx="827">
                  <c:v>16.454195856947898</c:v>
                </c:pt>
                <c:pt idx="828">
                  <c:v>16.471435495886453</c:v>
                </c:pt>
                <c:pt idx="829">
                  <c:v>16.488678297737778</c:v>
                </c:pt>
                <c:pt idx="830">
                  <c:v>16.505924355944185</c:v>
                </c:pt>
                <c:pt idx="831">
                  <c:v>16.523173763893585</c:v>
                </c:pt>
                <c:pt idx="832">
                  <c:v>16.54042661492316</c:v>
                </c:pt>
                <c:pt idx="833">
                  <c:v>16.557683002323035</c:v>
                </c:pt>
                <c:pt idx="834">
                  <c:v>16.574943019339948</c:v>
                </c:pt>
                <c:pt idx="835">
                  <c:v>16.592206759180883</c:v>
                </c:pt>
                <c:pt idx="836">
                  <c:v>16.609474315016712</c:v>
                </c:pt>
                <c:pt idx="837">
                  <c:v>16.626745779985832</c:v>
                </c:pt>
                <c:pt idx="838">
                  <c:v>16.64402124719777</c:v>
                </c:pt>
                <c:pt idx="839">
                  <c:v>16.661300809736794</c:v>
                </c:pt>
                <c:pt idx="840">
                  <c:v>16.678584560665513</c:v>
                </c:pt>
                <c:pt idx="841">
                  <c:v>16.695872593028469</c:v>
                </c:pt>
                <c:pt idx="842">
                  <c:v>16.713164999855707</c:v>
                </c:pt>
                <c:pt idx="843">
                  <c:v>16.730461874166359</c:v>
                </c:pt>
                <c:pt idx="844">
                  <c:v>16.747763308972214</c:v>
                </c:pt>
                <c:pt idx="845">
                  <c:v>16.765069397281259</c:v>
                </c:pt>
                <c:pt idx="846">
                  <c:v>16.782380232101243</c:v>
                </c:pt>
                <c:pt idx="847">
                  <c:v>16.799695906443223</c:v>
                </c:pt>
                <c:pt idx="848">
                  <c:v>16.817016513325093</c:v>
                </c:pt>
                <c:pt idx="849">
                  <c:v>16.834342145775128</c:v>
                </c:pt>
                <c:pt idx="850">
                  <c:v>16.851672896835506</c:v>
                </c:pt>
                <c:pt idx="851">
                  <c:v>16.869008859565824</c:v>
                </c:pt>
                <c:pt idx="852">
                  <c:v>16.886350127046626</c:v>
                </c:pt>
                <c:pt idx="853">
                  <c:v>16.903696792382917</c:v>
                </c:pt>
                <c:pt idx="854">
                  <c:v>16.921048948707661</c:v>
                </c:pt>
                <c:pt idx="855">
                  <c:v>16.9384066891853</c:v>
                </c:pt>
                <c:pt idx="856">
                  <c:v>16.955770107015244</c:v>
                </c:pt>
                <c:pt idx="857">
                  <c:v>16.973139295435381</c:v>
                </c:pt>
                <c:pt idx="858">
                  <c:v>16.990514347725565</c:v>
                </c:pt>
                <c:pt idx="859">
                  <c:v>17.007895357211122</c:v>
                </c:pt>
                <c:pt idx="860">
                  <c:v>17.025282417266332</c:v>
                </c:pt>
                <c:pt idx="861">
                  <c:v>17.042675621317922</c:v>
                </c:pt>
                <c:pt idx="862">
                  <c:v>17.060075062848561</c:v>
                </c:pt>
                <c:pt idx="863">
                  <c:v>17.077480835400351</c:v>
                </c:pt>
                <c:pt idx="864">
                  <c:v>17.094893032578305</c:v>
                </c:pt>
                <c:pt idx="865">
                  <c:v>17.112311748053845</c:v>
                </c:pt>
                <c:pt idx="866">
                  <c:v>17.12973707556829</c:v>
                </c:pt>
                <c:pt idx="867">
                  <c:v>17.147169108936339</c:v>
                </c:pt>
                <c:pt idx="868">
                  <c:v>17.164607942049571</c:v>
                </c:pt>
                <c:pt idx="869">
                  <c:v>17.182053668879931</c:v>
                </c:pt>
                <c:pt idx="870">
                  <c:v>17.199506383483222</c:v>
                </c:pt>
                <c:pt idx="871">
                  <c:v>17.216966180002604</c:v>
                </c:pt>
                <c:pt idx="872">
                  <c:v>17.234433152672086</c:v>
                </c:pt>
                <c:pt idx="873">
                  <c:v>17.251907395820034</c:v>
                </c:pt>
                <c:pt idx="874">
                  <c:v>17.269389003872664</c:v>
                </c:pt>
                <c:pt idx="875">
                  <c:v>17.28687807135756</c:v>
                </c:pt>
                <c:pt idx="876">
                  <c:v>17.304374692907167</c:v>
                </c:pt>
                <c:pt idx="877">
                  <c:v>17.321878963262328</c:v>
                </c:pt>
                <c:pt idx="878">
                  <c:v>17.33939097727578</c:v>
                </c:pt>
                <c:pt idx="879">
                  <c:v>17.356910829915691</c:v>
                </c:pt>
                <c:pt idx="880">
                  <c:v>17.374438616269181</c:v>
                </c:pt>
                <c:pt idx="881">
                  <c:v>17.391974431545858</c:v>
                </c:pt>
                <c:pt idx="882">
                  <c:v>17.409518371081358</c:v>
                </c:pt>
                <c:pt idx="883">
                  <c:v>17.427070530340885</c:v>
                </c:pt>
                <c:pt idx="884">
                  <c:v>17.434933172186348</c:v>
                </c:pt>
                <c:pt idx="885">
                  <c:v>17.442797495173362</c:v>
                </c:pt>
                <c:pt idx="886">
                  <c:v>17.450663507904309</c:v>
                </c:pt>
                <c:pt idx="887">
                  <c:v>17.45853121898725</c:v>
                </c:pt>
                <c:pt idx="888">
                  <c:v>17.466400637035992</c:v>
                </c:pt>
                <c:pt idx="889">
                  <c:v>17.47427177067015</c:v>
                </c:pt>
                <c:pt idx="890">
                  <c:v>17.482144628515211</c:v>
                </c:pt>
                <c:pt idx="891">
                  <c:v>17.490019219202605</c:v>
                </c:pt>
                <c:pt idx="892">
                  <c:v>17.497895551369758</c:v>
                </c:pt>
                <c:pt idx="893">
                  <c:v>17.505773633660166</c:v>
                </c:pt>
                <c:pt idx="894">
                  <c:v>17.513653474723455</c:v>
                </c:pt>
                <c:pt idx="895">
                  <c:v>17.521535083215451</c:v>
                </c:pt>
                <c:pt idx="896">
                  <c:v>17.529418467798241</c:v>
                </c:pt>
                <c:pt idx="897">
                  <c:v>17.537303637140237</c:v>
                </c:pt>
                <c:pt idx="898">
                  <c:v>17.545190599916243</c:v>
                </c:pt>
                <c:pt idx="899">
                  <c:v>17.55307936480752</c:v>
                </c:pt>
                <c:pt idx="900">
                  <c:v>17.560969940501849</c:v>
                </c:pt>
                <c:pt idx="901">
                  <c:v>17.568862335693598</c:v>
                </c:pt>
                <c:pt idx="902">
                  <c:v>17.576756559083794</c:v>
                </c:pt>
                <c:pt idx="903">
                  <c:v>17.584652619380172</c:v>
                </c:pt>
                <c:pt idx="904">
                  <c:v>17.592550525297256</c:v>
                </c:pt>
                <c:pt idx="905">
                  <c:v>17.600450285556416</c:v>
                </c:pt>
                <c:pt idx="906">
                  <c:v>17.60835190888594</c:v>
                </c:pt>
                <c:pt idx="907">
                  <c:v>17.616255404021093</c:v>
                </c:pt>
                <c:pt idx="908">
                  <c:v>17.624160779704184</c:v>
                </c:pt>
                <c:pt idx="909">
                  <c:v>17.63206804468464</c:v>
                </c:pt>
                <c:pt idx="910">
                  <c:v>17.639977207719063</c:v>
                </c:pt>
                <c:pt idx="911">
                  <c:v>17.647888277571298</c:v>
                </c:pt>
                <c:pt idx="912">
                  <c:v>17.655801263012499</c:v>
                </c:pt>
                <c:pt idx="913">
                  <c:v>17.6637161728212</c:v>
                </c:pt>
                <c:pt idx="914">
                  <c:v>17.671633015783375</c:v>
                </c:pt>
                <c:pt idx="915">
                  <c:v>17.679551800692504</c:v>
                </c:pt>
                <c:pt idx="916">
                  <c:v>17.687472536349652</c:v>
                </c:pt>
                <c:pt idx="917">
                  <c:v>17.69539523156352</c:v>
                </c:pt>
                <c:pt idx="918">
                  <c:v>17.703319895150521</c:v>
                </c:pt>
                <c:pt idx="919">
                  <c:v>17.711246535934841</c:v>
                </c:pt>
                <c:pt idx="920">
                  <c:v>17.71917516274851</c:v>
                </c:pt>
                <c:pt idx="921">
                  <c:v>17.727105784431469</c:v>
                </c:pt>
                <c:pt idx="922">
                  <c:v>17.735038409831635</c:v>
                </c:pt>
                <c:pt idx="923">
                  <c:v>17.74297304780497</c:v>
                </c:pt>
                <c:pt idx="924">
                  <c:v>17.750909707215552</c:v>
                </c:pt>
                <c:pt idx="925">
                  <c:v>17.75884839693563</c:v>
                </c:pt>
                <c:pt idx="926">
                  <c:v>17.766789125845705</c:v>
                </c:pt>
                <c:pt idx="927">
                  <c:v>17.774731902834592</c:v>
                </c:pt>
                <c:pt idx="928">
                  <c:v>17.782676736799491</c:v>
                </c:pt>
                <c:pt idx="929">
                  <c:v>17.79062363664605</c:v>
                </c:pt>
                <c:pt idx="930">
                  <c:v>17.798572611288431</c:v>
                </c:pt>
                <c:pt idx="931">
                  <c:v>17.80652366964939</c:v>
                </c:pt>
                <c:pt idx="932">
                  <c:v>17.814476820660335</c:v>
                </c:pt>
                <c:pt idx="933">
                  <c:v>17.822432073261396</c:v>
                </c:pt>
                <c:pt idx="934">
                  <c:v>17.830389436401497</c:v>
                </c:pt>
                <c:pt idx="935">
                  <c:v>17.83834891903842</c:v>
                </c:pt>
                <c:pt idx="936">
                  <c:v>17.846310530138879</c:v>
                </c:pt>
                <c:pt idx="937">
                  <c:v>17.854274278678584</c:v>
                </c:pt>
                <c:pt idx="938">
                  <c:v>17.862240173642313</c:v>
                </c:pt>
                <c:pt idx="939">
                  <c:v>17.87020822402398</c:v>
                </c:pt>
                <c:pt idx="940">
                  <c:v>17.878178438826705</c:v>
                </c:pt>
                <c:pt idx="941">
                  <c:v>17.886150827062885</c:v>
                </c:pt>
                <c:pt idx="942">
                  <c:v>17.894125397754255</c:v>
                </c:pt>
                <c:pt idx="943">
                  <c:v>17.902102159931971</c:v>
                </c:pt>
                <c:pt idx="944">
                  <c:v>17.910081122636669</c:v>
                </c:pt>
                <c:pt idx="945">
                  <c:v>17.918062294918542</c:v>
                </c:pt>
                <c:pt idx="946">
                  <c:v>17.926045685837405</c:v>
                </c:pt>
                <c:pt idx="947">
                  <c:v>17.934031304462764</c:v>
                </c:pt>
                <c:pt idx="948">
                  <c:v>17.942019159873897</c:v>
                </c:pt>
                <c:pt idx="949">
                  <c:v>17.950009261159913</c:v>
                </c:pt>
                <c:pt idx="950">
                  <c:v>17.958001617419825</c:v>
                </c:pt>
                <c:pt idx="951">
                  <c:v>17.965996237762624</c:v>
                </c:pt>
                <c:pt idx="952">
                  <c:v>17.973993131307353</c:v>
                </c:pt>
                <c:pt idx="953">
                  <c:v>17.981992307183166</c:v>
                </c:pt>
                <c:pt idx="954">
                  <c:v>17.98999377452941</c:v>
                </c:pt>
                <c:pt idx="955">
                  <c:v>17.997997542495693</c:v>
                </c:pt>
                <c:pt idx="956">
                  <c:v>18.006003620241955</c:v>
                </c:pt>
                <c:pt idx="957">
                  <c:v>18.014012016938544</c:v>
                </c:pt>
                <c:pt idx="958">
                  <c:v>18.022022741766278</c:v>
                </c:pt>
                <c:pt idx="959">
                  <c:v>18.03003580391653</c:v>
                </c:pt>
                <c:pt idx="960">
                  <c:v>18.038051212591288</c:v>
                </c:pt>
                <c:pt idx="961">
                  <c:v>18.046068977003234</c:v>
                </c:pt>
                <c:pt idx="962">
                  <c:v>18.054089106375816</c:v>
                </c:pt>
                <c:pt idx="963">
                  <c:v>18.062111609943319</c:v>
                </c:pt>
                <c:pt idx="964">
                  <c:v>18.070136496950941</c:v>
                </c:pt>
                <c:pt idx="965">
                  <c:v>18.078163776654858</c:v>
                </c:pt>
                <c:pt idx="966">
                  <c:v>18.086193458322306</c:v>
                </c:pt>
                <c:pt idx="967">
                  <c:v>18.094225551231652</c:v>
                </c:pt>
                <c:pt idx="968">
                  <c:v>18.102260064672464</c:v>
                </c:pt>
                <c:pt idx="969">
                  <c:v>18.11029700794559</c:v>
                </c:pt>
                <c:pt idx="970">
                  <c:v>18.118336390363226</c:v>
                </c:pt>
                <c:pt idx="971">
                  <c:v>18.126378221248991</c:v>
                </c:pt>
                <c:pt idx="972">
                  <c:v>18.134422509938009</c:v>
                </c:pt>
                <c:pt idx="973">
                  <c:v>18.142469265776974</c:v>
                </c:pt>
                <c:pt idx="974">
                  <c:v>18.150518498124224</c:v>
                </c:pt>
                <c:pt idx="975">
                  <c:v>18.15857021634983</c:v>
                </c:pt>
                <c:pt idx="976">
                  <c:v>18.166624429835647</c:v>
                </c:pt>
                <c:pt idx="977">
                  <c:v>18.174681147975413</c:v>
                </c:pt>
                <c:pt idx="978">
                  <c:v>18.182740380174806</c:v>
                </c:pt>
                <c:pt idx="979">
                  <c:v>18.190802135851534</c:v>
                </c:pt>
                <c:pt idx="980">
                  <c:v>18.198866424435398</c:v>
                </c:pt>
                <c:pt idx="981">
                  <c:v>18.206933255368376</c:v>
                </c:pt>
                <c:pt idx="982">
                  <c:v>18.2150026381047</c:v>
                </c:pt>
                <c:pt idx="983">
                  <c:v>18.223074582110922</c:v>
                </c:pt>
                <c:pt idx="984">
                  <c:v>18.231149096866002</c:v>
                </c:pt>
                <c:pt idx="985">
                  <c:v>18.239226191861377</c:v>
                </c:pt>
                <c:pt idx="986">
                  <c:v>18.247305876601043</c:v>
                </c:pt>
                <c:pt idx="987">
                  <c:v>18.255388160601626</c:v>
                </c:pt>
                <c:pt idx="988">
                  <c:v>18.263473053392467</c:v>
                </c:pt>
                <c:pt idx="989">
                  <c:v>18.271560564515692</c:v>
                </c:pt>
                <c:pt idx="990">
                  <c:v>18.27965070352629</c:v>
                </c:pt>
                <c:pt idx="991">
                  <c:v>18.287743479992198</c:v>
                </c:pt>
                <c:pt idx="992">
                  <c:v>18.295838903494374</c:v>
                </c:pt>
                <c:pt idx="993">
                  <c:v>18.303936983626876</c:v>
                </c:pt>
                <c:pt idx="994">
                  <c:v>18.312037729996938</c:v>
                </c:pt>
                <c:pt idx="995">
                  <c:v>18.320141152225048</c:v>
                </c:pt>
                <c:pt idx="996">
                  <c:v>18.328247259945034</c:v>
                </c:pt>
                <c:pt idx="997">
                  <c:v>18.336356062804139</c:v>
                </c:pt>
                <c:pt idx="998">
                  <c:v>18.344467570463095</c:v>
                </c:pt>
                <c:pt idx="999">
                  <c:v>18.352581792596215</c:v>
                </c:pt>
                <c:pt idx="1000">
                  <c:v>18.360698738891458</c:v>
                </c:pt>
                <c:pt idx="1001">
                  <c:v>18.368818419050516</c:v>
                </c:pt>
                <c:pt idx="1002">
                  <c:v>18.376940842788901</c:v>
                </c:pt>
                <c:pt idx="1003">
                  <c:v>18.38506601983601</c:v>
                </c:pt>
                <c:pt idx="1004">
                  <c:v>18.393193959935221</c:v>
                </c:pt>
                <c:pt idx="1005">
                  <c:v>18.401324672843966</c:v>
                </c:pt>
                <c:pt idx="1006">
                  <c:v>18.40945816833381</c:v>
                </c:pt>
                <c:pt idx="1007">
                  <c:v>18.417594456190535</c:v>
                </c:pt>
                <c:pt idx="1008">
                  <c:v>18.425733546214225</c:v>
                </c:pt>
                <c:pt idx="1009">
                  <c:v>18.433875448219347</c:v>
                </c:pt>
                <c:pt idx="1010">
                  <c:v>18.442020172034823</c:v>
                </c:pt>
                <c:pt idx="1011">
                  <c:v>18.450167727504127</c:v>
                </c:pt>
                <c:pt idx="1012">
                  <c:v>18.458318124485359</c:v>
                </c:pt>
                <c:pt idx="1013">
                  <c:v>18.466471372851327</c:v>
                </c:pt>
                <c:pt idx="1014">
                  <c:v>18.474627482489637</c:v>
                </c:pt>
                <c:pt idx="1015">
                  <c:v>18.482786463302766</c:v>
                </c:pt>
                <c:pt idx="1016">
                  <c:v>18.490948325208155</c:v>
                </c:pt>
                <c:pt idx="1017">
                  <c:v>18.499113078138286</c:v>
                </c:pt>
                <c:pt idx="1018">
                  <c:v>18.507280732040773</c:v>
                </c:pt>
                <c:pt idx="1019">
                  <c:v>18.515451296878435</c:v>
                </c:pt>
                <c:pt idx="1020">
                  <c:v>18.523624782629398</c:v>
                </c:pt>
                <c:pt idx="1021">
                  <c:v>18.531801199287159</c:v>
                </c:pt>
                <c:pt idx="1022">
                  <c:v>18.539980556860687</c:v>
                </c:pt>
                <c:pt idx="1023">
                  <c:v>18.548162865374501</c:v>
                </c:pt>
                <c:pt idx="1024">
                  <c:v>18.55634813486876</c:v>
                </c:pt>
                <c:pt idx="1025">
                  <c:v>18.564536375399342</c:v>
                </c:pt>
                <c:pt idx="1026">
                  <c:v>18.57272759703794</c:v>
                </c:pt>
                <c:pt idx="1027">
                  <c:v>18.580921809872134</c:v>
                </c:pt>
                <c:pt idx="1028">
                  <c:v>18.589119024005495</c:v>
                </c:pt>
                <c:pt idx="1029">
                  <c:v>18.597319249557657</c:v>
                </c:pt>
                <c:pt idx="1030">
                  <c:v>18.605522496664413</c:v>
                </c:pt>
                <c:pt idx="1031">
                  <c:v>18.613728775477803</c:v>
                </c:pt>
                <c:pt idx="1032">
                  <c:v>18.62193809616619</c:v>
                </c:pt>
                <c:pt idx="1033">
                  <c:v>18.630150468914366</c:v>
                </c:pt>
                <c:pt idx="1034">
                  <c:v>18.648498874004495</c:v>
                </c:pt>
                <c:pt idx="1035">
                  <c:v>18.6668626328733</c:v>
                </c:pt>
                <c:pt idx="1036">
                  <c:v>18.685241859693299</c:v>
                </c:pt>
                <c:pt idx="1037">
                  <c:v>18.703636669057655</c:v>
                </c:pt>
                <c:pt idx="1038">
                  <c:v>18.722047175985182</c:v>
                </c:pt>
                <c:pt idx="1039">
                  <c:v>18.740473495925379</c:v>
                </c:pt>
                <c:pt idx="1040">
                  <c:v>18.758915744763517</c:v>
                </c:pt>
                <c:pt idx="1041">
                  <c:v>18.777374038825744</c:v>
                </c:pt>
                <c:pt idx="1042">
                  <c:v>18.795848494884254</c:v>
                </c:pt>
                <c:pt idx="1043">
                  <c:v>18.814339230162471</c:v>
                </c:pt>
                <c:pt idx="1044">
                  <c:v>18.832846362340284</c:v>
                </c:pt>
                <c:pt idx="1045">
                  <c:v>18.851370009559325</c:v>
                </c:pt>
                <c:pt idx="1046">
                  <c:v>18.869910290428294</c:v>
                </c:pt>
                <c:pt idx="1047">
                  <c:v>18.888467324028305</c:v>
                </c:pt>
                <c:pt idx="1048">
                  <c:v>18.907041229918292</c:v>
                </c:pt>
                <c:pt idx="1049">
                  <c:v>18.925632128140464</c:v>
                </c:pt>
                <c:pt idx="1050">
                  <c:v>18.94424013922578</c:v>
                </c:pt>
                <c:pt idx="1051">
                  <c:v>18.962865384199496</c:v>
                </c:pt>
                <c:pt idx="1052">
                  <c:v>18.981507984586738</c:v>
                </c:pt>
                <c:pt idx="1053">
                  <c:v>19.000168062418123</c:v>
                </c:pt>
                <c:pt idx="1054">
                  <c:v>19.018845740235445</c:v>
                </c:pt>
                <c:pt idx="1055">
                  <c:v>19.037541141097382</c:v>
                </c:pt>
                <c:pt idx="1056">
                  <c:v>19.05625438858527</c:v>
                </c:pt>
                <c:pt idx="1057">
                  <c:v>19.074985606808923</c:v>
                </c:pt>
                <c:pt idx="1058">
                  <c:v>19.093734920412494</c:v>
                </c:pt>
                <c:pt idx="1059">
                  <c:v>19.112502454580394</c:v>
                </c:pt>
                <c:pt idx="1060">
                  <c:v>19.131288335043262</c:v>
                </c:pt>
                <c:pt idx="1061">
                  <c:v>19.150092688083983</c:v>
                </c:pt>
                <c:pt idx="1062">
                  <c:v>19.168915640543762</c:v>
                </c:pt>
                <c:pt idx="1063">
                  <c:v>19.187757319828254</c:v>
                </c:pt>
                <c:pt idx="1064">
                  <c:v>19.206617853913734</c:v>
                </c:pt>
                <c:pt idx="1065">
                  <c:v>19.225497371353345</c:v>
                </c:pt>
                <c:pt idx="1066">
                  <c:v>19.244396001283384</c:v>
                </c:pt>
                <c:pt idx="1067">
                  <c:v>19.263313873429649</c:v>
                </c:pt>
                <c:pt idx="1068">
                  <c:v>19.282251118113848</c:v>
                </c:pt>
                <c:pt idx="1069">
                  <c:v>19.301207866260057</c:v>
                </c:pt>
                <c:pt idx="1070">
                  <c:v>19.320184249401255</c:v>
                </c:pt>
                <c:pt idx="1071">
                  <c:v>19.33918039968589</c:v>
                </c:pt>
                <c:pt idx="1072">
                  <c:v>19.358196449884542</c:v>
                </c:pt>
                <c:pt idx="1073">
                  <c:v>19.377232533396615</c:v>
                </c:pt>
                <c:pt idx="1074">
                  <c:v>19.39628878425712</c:v>
                </c:pt>
                <c:pt idx="1075">
                  <c:v>19.415365337143491</c:v>
                </c:pt>
                <c:pt idx="1076">
                  <c:v>19.434462327382501</c:v>
                </c:pt>
                <c:pt idx="1077">
                  <c:v>19.453579890957208</c:v>
                </c:pt>
                <c:pt idx="1078">
                  <c:v>19.472718164513996</c:v>
                </c:pt>
                <c:pt idx="1079">
                  <c:v>19.491877285369664</c:v>
                </c:pt>
                <c:pt idx="1080">
                  <c:v>19.511057391518605</c:v>
                </c:pt>
                <c:pt idx="1081">
                  <c:v>19.530258621640026</c:v>
                </c:pt>
                <c:pt idx="1082">
                  <c:v>19.549481115105266</c:v>
                </c:pt>
                <c:pt idx="1083">
                  <c:v>19.568725011985165</c:v>
                </c:pt>
                <c:pt idx="1084">
                  <c:v>19.587990453057518</c:v>
                </c:pt>
                <c:pt idx="1085">
                  <c:v>19.6072775798146</c:v>
                </c:pt>
                <c:pt idx="1086">
                  <c:v>19.626586534470757</c:v>
                </c:pt>
                <c:pt idx="1087">
                  <c:v>19.645917459970097</c:v>
                </c:pt>
                <c:pt idx="1088">
                  <c:v>19.665270499994225</c:v>
                </c:pt>
                <c:pt idx="1089">
                  <c:v>19.684645798970081</c:v>
                </c:pt>
                <c:pt idx="1090">
                  <c:v>19.704043502077845</c:v>
                </c:pt>
                <c:pt idx="1091">
                  <c:v>19.72346375525893</c:v>
                </c:pt>
                <c:pt idx="1092">
                  <c:v>19.742906705224055</c:v>
                </c:pt>
                <c:pt idx="1093">
                  <c:v>19.762372499461392</c:v>
                </c:pt>
                <c:pt idx="1094">
                  <c:v>19.781861286244812</c:v>
                </c:pt>
                <c:pt idx="1095">
                  <c:v>19.801373214642204</c:v>
                </c:pt>
                <c:pt idx="1096">
                  <c:v>19.820908434523883</c:v>
                </c:pt>
                <c:pt idx="1097">
                  <c:v>19.840467096571089</c:v>
                </c:pt>
                <c:pt idx="1098">
                  <c:v>19.860049352284584</c:v>
                </c:pt>
                <c:pt idx="1099">
                  <c:v>19.879655353993314</c:v>
                </c:pt>
                <c:pt idx="1100">
                  <c:v>19.899285254863187</c:v>
                </c:pt>
                <c:pt idx="1101">
                  <c:v>19.918939208905936</c:v>
                </c:pt>
                <c:pt idx="1102">
                  <c:v>19.938617370988069</c:v>
                </c:pt>
                <c:pt idx="1103">
                  <c:v>19.958319896839935</c:v>
                </c:pt>
                <c:pt idx="1104">
                  <c:v>19.978046943064864</c:v>
                </c:pt>
                <c:pt idx="1105">
                  <c:v>19.997798667148416</c:v>
                </c:pt>
                <c:pt idx="1106">
                  <c:v>20.017575227467738</c:v>
                </c:pt>
                <c:pt idx="1107">
                  <c:v>20.037376783301006</c:v>
                </c:pt>
                <c:pt idx="1108">
                  <c:v>20.05720349483699</c:v>
                </c:pt>
                <c:pt idx="1109">
                  <c:v>20.077055523184704</c:v>
                </c:pt>
                <c:pt idx="1110">
                  <c:v>20.09693303038318</c:v>
                </c:pt>
                <c:pt idx="1111">
                  <c:v>20.116836179411344</c:v>
                </c:pt>
                <c:pt idx="1112">
                  <c:v>20.136765134197983</c:v>
                </c:pt>
                <c:pt idx="1113">
                  <c:v>20.156720059631862</c:v>
                </c:pt>
                <c:pt idx="1114">
                  <c:v>20.17670112157192</c:v>
                </c:pt>
                <c:pt idx="1115">
                  <c:v>20.196708486857592</c:v>
                </c:pt>
                <c:pt idx="1116">
                  <c:v>20.216742323319256</c:v>
                </c:pt>
                <c:pt idx="1117">
                  <c:v>20.236802799788787</c:v>
                </c:pt>
                <c:pt idx="1118">
                  <c:v>20.256890086110232</c:v>
                </c:pt>
                <c:pt idx="1119">
                  <c:v>20.277004353150616</c:v>
                </c:pt>
                <c:pt idx="1120">
                  <c:v>20.297145772810854</c:v>
                </c:pt>
                <c:pt idx="1121">
                  <c:v>20.317314518036813</c:v>
                </c:pt>
                <c:pt idx="1122">
                  <c:v>20.337510762830483</c:v>
                </c:pt>
                <c:pt idx="1123">
                  <c:v>20.357734682261274</c:v>
                </c:pt>
                <c:pt idx="1124">
                  <c:v>20.377986452477469</c:v>
                </c:pt>
                <c:pt idx="1125">
                  <c:v>20.398266250717786</c:v>
                </c:pt>
                <c:pt idx="1126">
                  <c:v>20.41857425532308</c:v>
                </c:pt>
                <c:pt idx="1127">
                  <c:v>20.438910645748198</c:v>
                </c:pt>
                <c:pt idx="1128">
                  <c:v>20.45927560257395</c:v>
                </c:pt>
                <c:pt idx="1129">
                  <c:v>20.479669307519242</c:v>
                </c:pt>
                <c:pt idx="1130">
                  <c:v>20.500091943453342</c:v>
                </c:pt>
                <c:pt idx="1131">
                  <c:v>20.5205436944083</c:v>
                </c:pt>
                <c:pt idx="1132">
                  <c:v>20.54102474559151</c:v>
                </c:pt>
                <c:pt idx="1133">
                  <c:v>20.56153528339842</c:v>
                </c:pt>
                <c:pt idx="1134">
                  <c:v>20.582075495425403</c:v>
                </c:pt>
                <c:pt idx="1135">
                  <c:v>20.602645570482789</c:v>
                </c:pt>
                <c:pt idx="1136">
                  <c:v>20.623245698608031</c:v>
                </c:pt>
                <c:pt idx="1137">
                  <c:v>20.643876071079063</c:v>
                </c:pt>
                <c:pt idx="1138">
                  <c:v>20.6645368804278</c:v>
                </c:pt>
                <c:pt idx="1139">
                  <c:v>20.685228320453806</c:v>
                </c:pt>
                <c:pt idx="1140">
                  <c:v>20.705950586238131</c:v>
                </c:pt>
                <c:pt idx="1141">
                  <c:v>20.726703874157334</c:v>
                </c:pt>
                <c:pt idx="1142">
                  <c:v>20.747488381897657</c:v>
                </c:pt>
                <c:pt idx="1143">
                  <c:v>20.768304308469382</c:v>
                </c:pt>
                <c:pt idx="1144">
                  <c:v>20.789151854221384</c:v>
                </c:pt>
                <c:pt idx="1145">
                  <c:v>20.810031220855841</c:v>
                </c:pt>
                <c:pt idx="1146">
                  <c:v>20.830942611443142</c:v>
                </c:pt>
                <c:pt idx="1147">
                  <c:v>20.851886230436989</c:v>
                </c:pt>
                <c:pt idx="1148">
                  <c:v>20.872862283689674</c:v>
                </c:pt>
                <c:pt idx="1149">
                  <c:v>20.893870978467564</c:v>
                </c:pt>
                <c:pt idx="1150">
                  <c:v>20.914912523466779</c:v>
                </c:pt>
                <c:pt idx="1151">
                  <c:v>20.935987128829058</c:v>
                </c:pt>
                <c:pt idx="1152">
                  <c:v>20.957095006157857</c:v>
                </c:pt>
                <c:pt idx="1153">
                  <c:v>20.97823636853462</c:v>
                </c:pt>
                <c:pt idx="1154">
                  <c:v>20.999411430535293</c:v>
                </c:pt>
                <c:pt idx="1155">
                  <c:v>21.020620408247016</c:v>
                </c:pt>
                <c:pt idx="1156">
                  <c:v>21.041863519285076</c:v>
                </c:pt>
                <c:pt idx="1157">
                  <c:v>21.063140982810037</c:v>
                </c:pt>
                <c:pt idx="1158">
                  <c:v>21.084453019545123</c:v>
                </c:pt>
                <c:pt idx="1159">
                  <c:v>21.105799851793819</c:v>
                </c:pt>
                <c:pt idx="1160">
                  <c:v>21.127181703457705</c:v>
                </c:pt>
                <c:pt idx="1161">
                  <c:v>21.148598800054529</c:v>
                </c:pt>
                <c:pt idx="1162">
                  <c:v>21.170051368736509</c:v>
                </c:pt>
                <c:pt idx="1163">
                  <c:v>21.191539638308896</c:v>
                </c:pt>
                <c:pt idx="1164">
                  <c:v>21.213063839248772</c:v>
                </c:pt>
                <c:pt idx="1165">
                  <c:v>21.234624203724096</c:v>
                </c:pt>
                <c:pt idx="1166">
                  <c:v>21.256220965613021</c:v>
                </c:pt>
                <c:pt idx="1167">
                  <c:v>21.277854360523467</c:v>
                </c:pt>
                <c:pt idx="1168">
                  <c:v>21.299524625812943</c:v>
                </c:pt>
                <c:pt idx="1169">
                  <c:v>21.32123200060866</c:v>
                </c:pt>
                <c:pt idx="1170">
                  <c:v>21.342976725827906</c:v>
                </c:pt>
                <c:pt idx="1171">
                  <c:v>21.36475904419871</c:v>
                </c:pt>
                <c:pt idx="1172">
                  <c:v>21.386579200280764</c:v>
                </c:pt>
                <c:pt idx="1173">
                  <c:v>21.408437440486665</c:v>
                </c:pt>
                <c:pt idx="1174">
                  <c:v>21.430334013103433</c:v>
                </c:pt>
                <c:pt idx="1175">
                  <c:v>21.452269168314327</c:v>
                </c:pt>
                <c:pt idx="1176">
                  <c:v>21.474243158220972</c:v>
                </c:pt>
                <c:pt idx="1177">
                  <c:v>21.496256236865779</c:v>
                </c:pt>
                <c:pt idx="1178">
                  <c:v>21.518308660254704</c:v>
                </c:pt>
                <c:pt idx="1179">
                  <c:v>21.540400686380295</c:v>
                </c:pt>
                <c:pt idx="1180">
                  <c:v>21.5625325752451</c:v>
                </c:pt>
                <c:pt idx="1181">
                  <c:v>21.584704588885373</c:v>
                </c:pt>
                <c:pt idx="1182">
                  <c:v>21.606916991395131</c:v>
                </c:pt>
                <c:pt idx="1183">
                  <c:v>21.616880721060234</c:v>
                </c:pt>
                <c:pt idx="1184">
                  <c:v>21.626852644153072</c:v>
                </c:pt>
                <c:pt idx="1185">
                  <c:v>21.63683278487413</c:v>
                </c:pt>
                <c:pt idx="1186">
                  <c:v>21.646821167509987</c:v>
                </c:pt>
                <c:pt idx="1187">
                  <c:v>21.656817816433769</c:v>
                </c:pt>
                <c:pt idx="1188">
                  <c:v>21.666822756105606</c:v>
                </c:pt>
                <c:pt idx="1189">
                  <c:v>21.67683601107311</c:v>
                </c:pt>
                <c:pt idx="1190">
                  <c:v>21.686857605971834</c:v>
                </c:pt>
                <c:pt idx="1191">
                  <c:v>21.696887565525749</c:v>
                </c:pt>
                <c:pt idx="1192">
                  <c:v>21.70692591454771</c:v>
                </c:pt>
                <c:pt idx="1193">
                  <c:v>21.71697267793995</c:v>
                </c:pt>
                <c:pt idx="1194">
                  <c:v>21.727027880694536</c:v>
                </c:pt>
                <c:pt idx="1195">
                  <c:v>21.737091547893872</c:v>
                </c:pt>
                <c:pt idx="1196">
                  <c:v>21.747163704711184</c:v>
                </c:pt>
                <c:pt idx="1197">
                  <c:v>21.757244376410998</c:v>
                </c:pt>
                <c:pt idx="1198">
                  <c:v>21.767333588349643</c:v>
                </c:pt>
                <c:pt idx="1199">
                  <c:v>21.777431365975747</c:v>
                </c:pt>
                <c:pt idx="1200">
                  <c:v>21.787537734830735</c:v>
                </c:pt>
                <c:pt idx="1201">
                  <c:v>21.79765272054933</c:v>
                </c:pt>
                <c:pt idx="1202">
                  <c:v>21.807776348860056</c:v>
                </c:pt>
                <c:pt idx="1203">
                  <c:v>21.81790864558576</c:v>
                </c:pt>
                <c:pt idx="1204">
                  <c:v>21.828049636644113</c:v>
                </c:pt>
                <c:pt idx="1205">
                  <c:v>21.838199348048132</c:v>
                </c:pt>
                <c:pt idx="1206">
                  <c:v>21.848357805906694</c:v>
                </c:pt>
                <c:pt idx="1207">
                  <c:v>21.858525036425068</c:v>
                </c:pt>
                <c:pt idx="1208">
                  <c:v>21.868701065905434</c:v>
                </c:pt>
                <c:pt idx="1209">
                  <c:v>21.878885920747415</c:v>
                </c:pt>
                <c:pt idx="1210">
                  <c:v>21.889079627448613</c:v>
                </c:pt>
                <c:pt idx="1211">
                  <c:v>21.89928221260514</c:v>
                </c:pt>
                <c:pt idx="1212">
                  <c:v>21.909493702912169</c:v>
                </c:pt>
                <c:pt idx="1213">
                  <c:v>21.919714125164468</c:v>
                </c:pt>
                <c:pt idx="1214">
                  <c:v>21.929943506256954</c:v>
                </c:pt>
                <c:pt idx="1215">
                  <c:v>21.940181873185242</c:v>
                </c:pt>
                <c:pt idx="1216">
                  <c:v>21.950429253046202</c:v>
                </c:pt>
                <c:pt idx="1217">
                  <c:v>21.960685673038519</c:v>
                </c:pt>
                <c:pt idx="1218">
                  <c:v>21.970951160463247</c:v>
                </c:pt>
                <c:pt idx="1219">
                  <c:v>21.981225742724391</c:v>
                </c:pt>
                <c:pt idx="1220">
                  <c:v>21.991509447329467</c:v>
                </c:pt>
                <c:pt idx="1221">
                  <c:v>22.001802301890077</c:v>
                </c:pt>
                <c:pt idx="1222">
                  <c:v>22.012104334122487</c:v>
                </c:pt>
                <c:pt idx="1223">
                  <c:v>22.022415571848217</c:v>
                </c:pt>
                <c:pt idx="1224">
                  <c:v>22.032736042994614</c:v>
                </c:pt>
                <c:pt idx="1225">
                  <c:v>22.043065775595455</c:v>
                </c:pt>
                <c:pt idx="1226">
                  <c:v>22.053404797791529</c:v>
                </c:pt>
                <c:pt idx="1227">
                  <c:v>22.063753137831245</c:v>
                </c:pt>
                <c:pt idx="1228">
                  <c:v>22.07411082407123</c:v>
                </c:pt>
                <c:pt idx="1229">
                  <c:v>22.084477884976938</c:v>
                </c:pt>
                <c:pt idx="1230">
                  <c:v>22.094854349123253</c:v>
                </c:pt>
                <c:pt idx="1231">
                  <c:v>22.105240245195112</c:v>
                </c:pt>
                <c:pt idx="1232">
                  <c:v>22.115635601988121</c:v>
                </c:pt>
                <c:pt idx="1233">
                  <c:v>22.126040448409174</c:v>
                </c:pt>
                <c:pt idx="1234">
                  <c:v>22.136454813477094</c:v>
                </c:pt>
                <c:pt idx="1235">
                  <c:v>22.146878726323248</c:v>
                </c:pt>
                <c:pt idx="1236">
                  <c:v>22.157312216192189</c:v>
                </c:pt>
                <c:pt idx="1237">
                  <c:v>22.167755312442303</c:v>
                </c:pt>
                <c:pt idx="1238">
                  <c:v>22.178208044546448</c:v>
                </c:pt>
                <c:pt idx="1239">
                  <c:v>22.188670442092601</c:v>
                </c:pt>
                <c:pt idx="1240">
                  <c:v>22.199142534784521</c:v>
                </c:pt>
                <c:pt idx="1241">
                  <c:v>22.2096243524424</c:v>
                </c:pt>
                <c:pt idx="1242">
                  <c:v>22.22011592500353</c:v>
                </c:pt>
                <c:pt idx="1243">
                  <c:v>22.230617282522964</c:v>
                </c:pt>
                <c:pt idx="1244">
                  <c:v>22.241128455174199</c:v>
                </c:pt>
                <c:pt idx="1245">
                  <c:v>22.251649473249849</c:v>
                </c:pt>
                <c:pt idx="1246">
                  <c:v>22.262180367162323</c:v>
                </c:pt>
                <c:pt idx="1247">
                  <c:v>22.272721167444512</c:v>
                </c:pt>
                <c:pt idx="1248">
                  <c:v>22.283271904750492</c:v>
                </c:pt>
                <c:pt idx="1249">
                  <c:v>22.293832609856207</c:v>
                </c:pt>
                <c:pt idx="1250">
                  <c:v>22.304403313660174</c:v>
                </c:pt>
                <c:pt idx="1251">
                  <c:v>22.314984047184197</c:v>
                </c:pt>
                <c:pt idx="1252">
                  <c:v>22.325574841574063</c:v>
                </c:pt>
                <c:pt idx="1253">
                  <c:v>22.33617572810028</c:v>
                </c:pt>
                <c:pt idx="1254">
                  <c:v>22.346786738158773</c:v>
                </c:pt>
                <c:pt idx="1255">
                  <c:v>22.357407903271636</c:v>
                </c:pt>
                <c:pt idx="1256">
                  <c:v>22.36803925508784</c:v>
                </c:pt>
                <c:pt idx="1257">
                  <c:v>22.378680825383995</c:v>
                </c:pt>
                <c:pt idx="1258">
                  <c:v>22.389332646065071</c:v>
                </c:pt>
                <c:pt idx="1259">
                  <c:v>22.39999474916516</c:v>
                </c:pt>
                <c:pt idx="1260">
                  <c:v>22.410667166848214</c:v>
                </c:pt>
                <c:pt idx="1261">
                  <c:v>22.421349931408823</c:v>
                </c:pt>
                <c:pt idx="1262">
                  <c:v>22.432043075272965</c:v>
                </c:pt>
                <c:pt idx="1263">
                  <c:v>22.44274663099878</c:v>
                </c:pt>
                <c:pt idx="1264">
                  <c:v>22.453460631277345</c:v>
                </c:pt>
                <c:pt idx="1265">
                  <c:v>22.464185108933449</c:v>
                </c:pt>
                <c:pt idx="1266">
                  <c:v>22.474920096926393</c:v>
                </c:pt>
                <c:pt idx="1267">
                  <c:v>22.48566562835077</c:v>
                </c:pt>
                <c:pt idx="1268">
                  <c:v>22.496421736437263</c:v>
                </c:pt>
                <c:pt idx="1269">
                  <c:v>22.507188454553454</c:v>
                </c:pt>
                <c:pt idx="1270">
                  <c:v>22.517965816204637</c:v>
                </c:pt>
                <c:pt idx="1271">
                  <c:v>22.528753855034619</c:v>
                </c:pt>
                <c:pt idx="1272">
                  <c:v>22.539552604826554</c:v>
                </c:pt>
                <c:pt idx="1273">
                  <c:v>22.550362099503769</c:v>
                </c:pt>
                <c:pt idx="1274">
                  <c:v>22.561182373130592</c:v>
                </c:pt>
                <c:pt idx="1275">
                  <c:v>22.572013459913197</c:v>
                </c:pt>
                <c:pt idx="1276">
                  <c:v>22.58285539420045</c:v>
                </c:pt>
                <c:pt idx="1277">
                  <c:v>22.593708210484753</c:v>
                </c:pt>
                <c:pt idx="1278">
                  <c:v>22.604571943402906</c:v>
                </c:pt>
                <c:pt idx="1279">
                  <c:v>22.615446627736983</c:v>
                </c:pt>
                <c:pt idx="1280">
                  <c:v>22.626332298415186</c:v>
                </c:pt>
                <c:pt idx="1281">
                  <c:v>22.637228990512732</c:v>
                </c:pt>
                <c:pt idx="1282">
                  <c:v>22.648136739252735</c:v>
                </c:pt>
                <c:pt idx="1283">
                  <c:v>22.659055580007099</c:v>
                </c:pt>
                <c:pt idx="1284">
                  <c:v>22.669985548297412</c:v>
                </c:pt>
                <c:pt idx="1285">
                  <c:v>22.680926679795853</c:v>
                </c:pt>
                <c:pt idx="1286">
                  <c:v>22.691879010326097</c:v>
                </c:pt>
                <c:pt idx="1287">
                  <c:v>22.702842575864242</c:v>
                </c:pt>
                <c:pt idx="1288">
                  <c:v>22.713817412539726</c:v>
                </c:pt>
                <c:pt idx="1289">
                  <c:v>22.72480355663626</c:v>
                </c:pt>
                <c:pt idx="1290">
                  <c:v>22.735801044592769</c:v>
                </c:pt>
                <c:pt idx="1291">
                  <c:v>22.746809913004334</c:v>
                </c:pt>
                <c:pt idx="1292">
                  <c:v>22.75783019862315</c:v>
                </c:pt>
                <c:pt idx="1293">
                  <c:v>22.768861938359478</c:v>
                </c:pt>
                <c:pt idx="1294">
                  <c:v>22.779905169282618</c:v>
                </c:pt>
                <c:pt idx="1295">
                  <c:v>22.790959928621884</c:v>
                </c:pt>
                <c:pt idx="1296">
                  <c:v>22.80202625376759</c:v>
                </c:pt>
                <c:pt idx="1297">
                  <c:v>22.813104182272021</c:v>
                </c:pt>
                <c:pt idx="1298">
                  <c:v>22.824193751850455</c:v>
                </c:pt>
                <c:pt idx="1299">
                  <c:v>22.835295000382146</c:v>
                </c:pt>
                <c:pt idx="1300">
                  <c:v>22.846407965911354</c:v>
                </c:pt>
                <c:pt idx="1301">
                  <c:v>22.857532686648355</c:v>
                </c:pt>
                <c:pt idx="1302">
                  <c:v>22.868669200970469</c:v>
                </c:pt>
                <c:pt idx="1303">
                  <c:v>22.879817547423098</c:v>
                </c:pt>
                <c:pt idx="1304">
                  <c:v>22.89097776472077</c:v>
                </c:pt>
                <c:pt idx="1305">
                  <c:v>22.902149891748195</c:v>
                </c:pt>
                <c:pt idx="1306">
                  <c:v>22.913333967561318</c:v>
                </c:pt>
                <c:pt idx="1307">
                  <c:v>22.92453003138839</c:v>
                </c:pt>
                <c:pt idx="1308">
                  <c:v>22.935738122631044</c:v>
                </c:pt>
                <c:pt idx="1309">
                  <c:v>22.946958280865381</c:v>
                </c:pt>
                <c:pt idx="1310">
                  <c:v>22.958190545843067</c:v>
                </c:pt>
                <c:pt idx="1311">
                  <c:v>22.969434957492425</c:v>
                </c:pt>
                <c:pt idx="1312">
                  <c:v>22.980691555919559</c:v>
                </c:pt>
                <c:pt idx="1313">
                  <c:v>22.991960381409459</c:v>
                </c:pt>
                <c:pt idx="1314">
                  <c:v>23.003241474427142</c:v>
                </c:pt>
                <c:pt idx="1315">
                  <c:v>23.014534875618779</c:v>
                </c:pt>
                <c:pt idx="1316">
                  <c:v>23.025840625812847</c:v>
                </c:pt>
                <c:pt idx="1317">
                  <c:v>23.037158766021282</c:v>
                </c:pt>
                <c:pt idx="1318">
                  <c:v>23.048489337440643</c:v>
                </c:pt>
                <c:pt idx="1319">
                  <c:v>23.05983238145328</c:v>
                </c:pt>
                <c:pt idx="1320">
                  <c:v>23.071187939628526</c:v>
                </c:pt>
                <c:pt idx="1321">
                  <c:v>23.082556053723888</c:v>
                </c:pt>
                <c:pt idx="1322">
                  <c:v>23.093936765686234</c:v>
                </c:pt>
                <c:pt idx="1323">
                  <c:v>23.105330117653025</c:v>
                </c:pt>
                <c:pt idx="1324">
                  <c:v>23.116736151953521</c:v>
                </c:pt>
                <c:pt idx="1325">
                  <c:v>23.128154911110013</c:v>
                </c:pt>
                <c:pt idx="1326">
                  <c:v>23.139586437839068</c:v>
                </c:pt>
                <c:pt idx="1327">
                  <c:v>23.151030775052778</c:v>
                </c:pt>
                <c:pt idx="1328">
                  <c:v>23.16248796586002</c:v>
                </c:pt>
                <c:pt idx="1329">
                  <c:v>23.17395805356772</c:v>
                </c:pt>
                <c:pt idx="1330">
                  <c:v>23.185441081682143</c:v>
                </c:pt>
                <c:pt idx="1331">
                  <c:v>23.196937093910179</c:v>
                </c:pt>
                <c:pt idx="1332">
                  <c:v>23.208446134160646</c:v>
                </c:pt>
                <c:pt idx="1333">
                  <c:v>23.219968246545598</c:v>
                </c:pt>
                <c:pt idx="1334">
                  <c:v>23.245731100399684</c:v>
                </c:pt>
                <c:pt idx="1335">
                  <c:v>23.271559693822827</c:v>
                </c:pt>
                <c:pt idx="1336">
                  <c:v>23.297454527055926</c:v>
                </c:pt>
                <c:pt idx="1337">
                  <c:v>23.323416105575056</c:v>
                </c:pt>
                <c:pt idx="1338">
                  <c:v>23.349444940168532</c:v>
                </c:pt>
                <c:pt idx="1339">
                  <c:v>23.375541547015381</c:v>
                </c:pt>
                <c:pt idx="1340">
                  <c:v>23.401706447765299</c:v>
                </c:pt>
                <c:pt idx="1341">
                  <c:v>23.427940169620058</c:v>
                </c:pt>
                <c:pt idx="1342">
                  <c:v>23.454243245416453</c:v>
                </c:pt>
                <c:pt idx="1343">
                  <c:v>23.480616213710803</c:v>
                </c:pt>
                <c:pt idx="1344">
                  <c:v>23.507059618865032</c:v>
                </c:pt>
                <c:pt idx="1345">
                  <c:v>23.53357401113438</c:v>
                </c:pt>
                <c:pt idx="1346">
                  <c:v>23.560159946756777</c:v>
                </c:pt>
                <c:pt idx="1347">
                  <c:v>23.586817988043919</c:v>
                </c:pt>
                <c:pt idx="1348">
                  <c:v>23.613548703474081</c:v>
                </c:pt>
                <c:pt idx="1349">
                  <c:v>23.640352667786715</c:v>
                </c:pt>
                <c:pt idx="1350">
                  <c:v>23.667230462078869</c:v>
                </c:pt>
                <c:pt idx="1351">
                  <c:v>23.694182673903477</c:v>
                </c:pt>
                <c:pt idx="1352">
                  <c:v>23.721209897369548</c:v>
                </c:pt>
                <c:pt idx="1353">
                  <c:v>23.748312733244312</c:v>
                </c:pt>
                <c:pt idx="1354">
                  <c:v>23.775491789057376</c:v>
                </c:pt>
                <c:pt idx="1355">
                  <c:v>23.802747679206927</c:v>
                </c:pt>
                <c:pt idx="1356">
                  <c:v>23.830081025068012</c:v>
                </c:pt>
                <c:pt idx="1357">
                  <c:v>23.857492455102999</c:v>
                </c:pt>
                <c:pt idx="1358">
                  <c:v>23.884982604974219</c:v>
                </c:pt>
                <c:pt idx="1359">
                  <c:v>23.912552117658851</c:v>
                </c:pt>
                <c:pt idx="1360">
                  <c:v>23.940201643566141</c:v>
                </c:pt>
                <c:pt idx="1361">
                  <c:v>23.967931840656966</c:v>
                </c:pt>
                <c:pt idx="1362">
                  <c:v>23.99574337456583</c:v>
                </c:pt>
                <c:pt idx="1363">
                  <c:v>24.023636918725334</c:v>
                </c:pt>
                <c:pt idx="1364">
                  <c:v>24.0516131544932</c:v>
                </c:pt>
                <c:pt idx="1365">
                  <c:v>24.079672771281896</c:v>
                </c:pt>
                <c:pt idx="1366">
                  <c:v>24.107816466690924</c:v>
                </c:pt>
                <c:pt idx="1367">
                  <c:v>24.136044946641867</c:v>
                </c:pt>
                <c:pt idx="1368">
                  <c:v>24.164358925516233</c:v>
                </c:pt>
                <c:pt idx="1369">
                  <c:v>24.192759126296167</c:v>
                </c:pt>
                <c:pt idx="1370">
                  <c:v>24.22124628070814</c:v>
                </c:pt>
                <c:pt idx="1371">
                  <c:v>24.249821129369643</c:v>
                </c:pt>
                <c:pt idx="1372">
                  <c:v>24.278484421938995</c:v>
                </c:pt>
                <c:pt idx="1373">
                  <c:v>24.307236917268337</c:v>
                </c:pt>
                <c:pt idx="1374">
                  <c:v>24.336079383559891</c:v>
                </c:pt>
                <c:pt idx="1375">
                  <c:v>24.365012598525567</c:v>
                </c:pt>
                <c:pt idx="1376">
                  <c:v>24.394037349550025</c:v>
                </c:pt>
                <c:pt idx="1377">
                  <c:v>24.423154433857249</c:v>
                </c:pt>
                <c:pt idx="1378">
                  <c:v>24.452364658680747</c:v>
                </c:pt>
                <c:pt idx="1379">
                  <c:v>24.481668841437475</c:v>
                </c:pt>
                <c:pt idx="1380">
                  <c:v>24.51106780990558</c:v>
                </c:pt>
                <c:pt idx="1381">
                  <c:v>24.540562402406053</c:v>
                </c:pt>
                <c:pt idx="1382">
                  <c:v>24.570153467988415</c:v>
                </c:pt>
                <c:pt idx="1383">
                  <c:v>24.59984186662053</c:v>
                </c:pt>
                <c:pt idx="1384">
                  <c:v>24.629628469382659</c:v>
                </c:pt>
                <c:pt idx="1385">
                  <c:v>24.659514158665893</c:v>
                </c:pt>
                <c:pt idx="1386">
                  <c:v>24.689499828375038</c:v>
                </c:pt>
                <c:pt idx="1387">
                  <c:v>24.719586384136118</c:v>
                </c:pt>
                <c:pt idx="1388">
                  <c:v>24.749774743508613</c:v>
                </c:pt>
                <c:pt idx="1389">
                  <c:v>24.780065836202532</c:v>
                </c:pt>
                <c:pt idx="1390">
                  <c:v>24.810460604300513</c:v>
                </c:pt>
                <c:pt idx="1391">
                  <c:v>24.840960002485033</c:v>
                </c:pt>
                <c:pt idx="1392">
                  <c:v>24.871564998270912</c:v>
                </c:pt>
                <c:pt idx="1393">
                  <c:v>24.902276572243242</c:v>
                </c:pt>
                <c:pt idx="1394">
                  <c:v>24.933095718300894</c:v>
                </c:pt>
                <c:pt idx="1395">
                  <c:v>24.964023443905774</c:v>
                </c:pt>
                <c:pt idx="1396">
                  <c:v>24.995060770337979</c:v>
                </c:pt>
                <c:pt idx="1397">
                  <c:v>25.026208732957045</c:v>
                </c:pt>
                <c:pt idx="1398">
                  <c:v>25.057468381469434</c:v>
                </c:pt>
                <c:pt idx="1399">
                  <c:v>25.08884078020245</c:v>
                </c:pt>
                <c:pt idx="1400">
                  <c:v>25.120327008384805</c:v>
                </c:pt>
                <c:pt idx="1401">
                  <c:v>25.151928160433982</c:v>
                </c:pt>
                <c:pt idx="1402">
                  <c:v>25.183645346250625</c:v>
                </c:pt>
                <c:pt idx="1403">
                  <c:v>25.215479691520152</c:v>
                </c:pt>
                <c:pt idx="1404">
                  <c:v>25.247432338021827</c:v>
                </c:pt>
                <c:pt idx="1405">
                  <c:v>25.279504443945488</c:v>
                </c:pt>
                <c:pt idx="1406">
                  <c:v>25.311697184216175</c:v>
                </c:pt>
                <c:pt idx="1407">
                  <c:v>25.344011750826908</c:v>
                </c:pt>
                <c:pt idx="1408">
                  <c:v>25.37644935317984</c:v>
                </c:pt>
                <c:pt idx="1409">
                  <c:v>25.409011218436067</c:v>
                </c:pt>
                <c:pt idx="1410">
                  <c:v>25.441698591874339</c:v>
                </c:pt>
                <c:pt idx="1411">
                  <c:v>25.474512737258966</c:v>
                </c:pt>
                <c:pt idx="1412">
                  <c:v>25.507454937217197</c:v>
                </c:pt>
                <c:pt idx="1413">
                  <c:v>25.607454937217199</c:v>
                </c:pt>
                <c:pt idx="1414">
                  <c:v>25.7074549372172</c:v>
                </c:pt>
                <c:pt idx="1415">
                  <c:v>25.807454937217202</c:v>
                </c:pt>
                <c:pt idx="1416">
                  <c:v>25.907454937217203</c:v>
                </c:pt>
                <c:pt idx="1417">
                  <c:v>26.007454937217204</c:v>
                </c:pt>
                <c:pt idx="1418">
                  <c:v>26.107454937217206</c:v>
                </c:pt>
                <c:pt idx="1419">
                  <c:v>26.207454937217207</c:v>
                </c:pt>
                <c:pt idx="1420">
                  <c:v>26.307454937217209</c:v>
                </c:pt>
                <c:pt idx="1421">
                  <c:v>26.40745493721721</c:v>
                </c:pt>
                <c:pt idx="1422">
                  <c:v>26.507454937217211</c:v>
                </c:pt>
                <c:pt idx="1423">
                  <c:v>26.607454937217213</c:v>
                </c:pt>
                <c:pt idx="1424">
                  <c:v>26.707454937217214</c:v>
                </c:pt>
                <c:pt idx="1425">
                  <c:v>26.807454937217216</c:v>
                </c:pt>
                <c:pt idx="1426">
                  <c:v>26.907454937217217</c:v>
                </c:pt>
                <c:pt idx="1427">
                  <c:v>27.007454937217219</c:v>
                </c:pt>
                <c:pt idx="1428">
                  <c:v>27.10745493721722</c:v>
                </c:pt>
                <c:pt idx="1429">
                  <c:v>27.207454937217221</c:v>
                </c:pt>
                <c:pt idx="1430">
                  <c:v>27.307454937217223</c:v>
                </c:pt>
                <c:pt idx="1431">
                  <c:v>27.407454937217224</c:v>
                </c:pt>
                <c:pt idx="1432">
                  <c:v>27.507454937217226</c:v>
                </c:pt>
                <c:pt idx="1433">
                  <c:v>27.607454937217227</c:v>
                </c:pt>
                <c:pt idx="1434">
                  <c:v>27.707454937217229</c:v>
                </c:pt>
                <c:pt idx="1435">
                  <c:v>27.80745493721723</c:v>
                </c:pt>
                <c:pt idx="1436">
                  <c:v>27.907454937217231</c:v>
                </c:pt>
                <c:pt idx="1437">
                  <c:v>28.007454937217233</c:v>
                </c:pt>
                <c:pt idx="1438">
                  <c:v>28.107454937217234</c:v>
                </c:pt>
                <c:pt idx="1439">
                  <c:v>28.207454937217236</c:v>
                </c:pt>
                <c:pt idx="1440">
                  <c:v>28.307454937217237</c:v>
                </c:pt>
                <c:pt idx="1441">
                  <c:v>28.407454937217238</c:v>
                </c:pt>
                <c:pt idx="1442">
                  <c:v>28.50745493721724</c:v>
                </c:pt>
                <c:pt idx="1443">
                  <c:v>28.607454937217241</c:v>
                </c:pt>
                <c:pt idx="1444">
                  <c:v>28.707454937217243</c:v>
                </c:pt>
                <c:pt idx="1445">
                  <c:v>28.807454937217244</c:v>
                </c:pt>
                <c:pt idx="1446">
                  <c:v>28.907454937217246</c:v>
                </c:pt>
                <c:pt idx="1447">
                  <c:v>29.007454937217247</c:v>
                </c:pt>
                <c:pt idx="1448">
                  <c:v>29.107454937217248</c:v>
                </c:pt>
                <c:pt idx="1449">
                  <c:v>29.20745493721725</c:v>
                </c:pt>
                <c:pt idx="1450">
                  <c:v>29.307454937217251</c:v>
                </c:pt>
                <c:pt idx="1451">
                  <c:v>29.407454937217253</c:v>
                </c:pt>
                <c:pt idx="1452">
                  <c:v>29.507454937217254</c:v>
                </c:pt>
                <c:pt idx="1453">
                  <c:v>29.607454937217256</c:v>
                </c:pt>
                <c:pt idx="1454">
                  <c:v>29.707454937217257</c:v>
                </c:pt>
                <c:pt idx="1455">
                  <c:v>29.807454937217258</c:v>
                </c:pt>
                <c:pt idx="1456">
                  <c:v>29.90745493721726</c:v>
                </c:pt>
                <c:pt idx="1457">
                  <c:v>30.007454937217261</c:v>
                </c:pt>
                <c:pt idx="1458">
                  <c:v>30.107454937217263</c:v>
                </c:pt>
                <c:pt idx="1459">
                  <c:v>30.207454937217264</c:v>
                </c:pt>
                <c:pt idx="1460">
                  <c:v>30.307454937217265</c:v>
                </c:pt>
                <c:pt idx="1461">
                  <c:v>30.407454937217267</c:v>
                </c:pt>
                <c:pt idx="1462">
                  <c:v>30.507454937217268</c:v>
                </c:pt>
                <c:pt idx="1463">
                  <c:v>30.60745493721727</c:v>
                </c:pt>
                <c:pt idx="1464">
                  <c:v>30.707454937217271</c:v>
                </c:pt>
                <c:pt idx="1465">
                  <c:v>30.807454937217273</c:v>
                </c:pt>
                <c:pt idx="1466">
                  <c:v>30.907454937217274</c:v>
                </c:pt>
                <c:pt idx="1467">
                  <c:v>31.007454937217275</c:v>
                </c:pt>
                <c:pt idx="1468">
                  <c:v>31.107454937217277</c:v>
                </c:pt>
                <c:pt idx="1469">
                  <c:v>31.207454937217278</c:v>
                </c:pt>
                <c:pt idx="1470">
                  <c:v>31.30745493721728</c:v>
                </c:pt>
                <c:pt idx="1471">
                  <c:v>31.407454937217281</c:v>
                </c:pt>
                <c:pt idx="1472">
                  <c:v>31.507454937217283</c:v>
                </c:pt>
                <c:pt idx="1473">
                  <c:v>31.607454937217284</c:v>
                </c:pt>
                <c:pt idx="1474">
                  <c:v>31.707454937217285</c:v>
                </c:pt>
                <c:pt idx="1475">
                  <c:v>31.807454937217287</c:v>
                </c:pt>
                <c:pt idx="1476">
                  <c:v>31.907454937217288</c:v>
                </c:pt>
                <c:pt idx="1477">
                  <c:v>32.00745493721729</c:v>
                </c:pt>
                <c:pt idx="1478">
                  <c:v>32.107454937217291</c:v>
                </c:pt>
                <c:pt idx="1479">
                  <c:v>32.207454937217292</c:v>
                </c:pt>
                <c:pt idx="1480">
                  <c:v>32.307454937217294</c:v>
                </c:pt>
                <c:pt idx="1481">
                  <c:v>32.407454937217295</c:v>
                </c:pt>
                <c:pt idx="1482">
                  <c:v>32.507454937217297</c:v>
                </c:pt>
                <c:pt idx="1483">
                  <c:v>32.607454937217298</c:v>
                </c:pt>
                <c:pt idx="1484">
                  <c:v>32.7074549372173</c:v>
                </c:pt>
                <c:pt idx="1485">
                  <c:v>32.807454937217301</c:v>
                </c:pt>
                <c:pt idx="1486">
                  <c:v>32.907454937217302</c:v>
                </c:pt>
                <c:pt idx="1487">
                  <c:v>33.007454937217304</c:v>
                </c:pt>
                <c:pt idx="1488">
                  <c:v>33.107454937217305</c:v>
                </c:pt>
                <c:pt idx="1489">
                  <c:v>33.207454937217307</c:v>
                </c:pt>
                <c:pt idx="1490">
                  <c:v>33.307454937217308</c:v>
                </c:pt>
                <c:pt idx="1491">
                  <c:v>33.40745493721731</c:v>
                </c:pt>
                <c:pt idx="1492">
                  <c:v>33.507454937217311</c:v>
                </c:pt>
                <c:pt idx="1493">
                  <c:v>33.607454937217312</c:v>
                </c:pt>
                <c:pt idx="1494">
                  <c:v>33.707454937217314</c:v>
                </c:pt>
                <c:pt idx="1495">
                  <c:v>33.807454937217315</c:v>
                </c:pt>
                <c:pt idx="1496">
                  <c:v>33.907454937217317</c:v>
                </c:pt>
                <c:pt idx="1497">
                  <c:v>34.007454937217318</c:v>
                </c:pt>
                <c:pt idx="1498">
                  <c:v>34.107454937217319</c:v>
                </c:pt>
                <c:pt idx="1499">
                  <c:v>34.207454937217321</c:v>
                </c:pt>
                <c:pt idx="1500">
                  <c:v>34.307454937217322</c:v>
                </c:pt>
                <c:pt idx="1501">
                  <c:v>34.407454937217324</c:v>
                </c:pt>
                <c:pt idx="1502">
                  <c:v>34.507454937217325</c:v>
                </c:pt>
                <c:pt idx="1503">
                  <c:v>34.607454937217327</c:v>
                </c:pt>
                <c:pt idx="1504">
                  <c:v>34.707454937217328</c:v>
                </c:pt>
                <c:pt idx="1505">
                  <c:v>34.807454937217329</c:v>
                </c:pt>
                <c:pt idx="1506">
                  <c:v>34.907454937217331</c:v>
                </c:pt>
                <c:pt idx="1507">
                  <c:v>35.007454937217332</c:v>
                </c:pt>
                <c:pt idx="1508">
                  <c:v>35.107454937217334</c:v>
                </c:pt>
                <c:pt idx="1509">
                  <c:v>35.207454937217335</c:v>
                </c:pt>
                <c:pt idx="1510">
                  <c:v>35.307454937217337</c:v>
                </c:pt>
                <c:pt idx="1511">
                  <c:v>35.407454937217338</c:v>
                </c:pt>
                <c:pt idx="1512">
                  <c:v>35.507454937217339</c:v>
                </c:pt>
                <c:pt idx="1513">
                  <c:v>35.607454937217341</c:v>
                </c:pt>
                <c:pt idx="1514">
                  <c:v>35.707454937217342</c:v>
                </c:pt>
                <c:pt idx="1515">
                  <c:v>35.807454937217344</c:v>
                </c:pt>
                <c:pt idx="1516">
                  <c:v>35.907454937217345</c:v>
                </c:pt>
                <c:pt idx="1517">
                  <c:v>36.007454937217346</c:v>
                </c:pt>
                <c:pt idx="1518">
                  <c:v>36.107454937217348</c:v>
                </c:pt>
                <c:pt idx="1519">
                  <c:v>36.207454937217349</c:v>
                </c:pt>
                <c:pt idx="1520">
                  <c:v>36.307454937217351</c:v>
                </c:pt>
                <c:pt idx="1521">
                  <c:v>36.407454937217352</c:v>
                </c:pt>
                <c:pt idx="1522">
                  <c:v>36.507454937217354</c:v>
                </c:pt>
                <c:pt idx="1523">
                  <c:v>36.607454937217355</c:v>
                </c:pt>
                <c:pt idx="1524">
                  <c:v>36.707454937217356</c:v>
                </c:pt>
                <c:pt idx="1525">
                  <c:v>36.807454937217358</c:v>
                </c:pt>
                <c:pt idx="1526">
                  <c:v>36.907454937217359</c:v>
                </c:pt>
                <c:pt idx="1527">
                  <c:v>37.007454937217361</c:v>
                </c:pt>
                <c:pt idx="1528">
                  <c:v>37.107454937217362</c:v>
                </c:pt>
                <c:pt idx="1529">
                  <c:v>37.207454937217364</c:v>
                </c:pt>
                <c:pt idx="1530">
                  <c:v>37.307454937217365</c:v>
                </c:pt>
                <c:pt idx="1531">
                  <c:v>37.407454937217366</c:v>
                </c:pt>
                <c:pt idx="1532">
                  <c:v>37.507454937217368</c:v>
                </c:pt>
                <c:pt idx="1533">
                  <c:v>37.607454937217369</c:v>
                </c:pt>
                <c:pt idx="1534">
                  <c:v>37.707454937217371</c:v>
                </c:pt>
                <c:pt idx="1535">
                  <c:v>37.807454937217372</c:v>
                </c:pt>
                <c:pt idx="1536">
                  <c:v>37.907454937217373</c:v>
                </c:pt>
                <c:pt idx="1537">
                  <c:v>38.007454937217375</c:v>
                </c:pt>
                <c:pt idx="1538">
                  <c:v>38.107454937217376</c:v>
                </c:pt>
                <c:pt idx="1539">
                  <c:v>38.207454937217378</c:v>
                </c:pt>
                <c:pt idx="1540">
                  <c:v>38.307454937217379</c:v>
                </c:pt>
                <c:pt idx="1541">
                  <c:v>38.407454937217381</c:v>
                </c:pt>
                <c:pt idx="1542">
                  <c:v>38.507454937217382</c:v>
                </c:pt>
                <c:pt idx="1543">
                  <c:v>38.607454937217383</c:v>
                </c:pt>
                <c:pt idx="1544">
                  <c:v>38.707454937217385</c:v>
                </c:pt>
                <c:pt idx="1545">
                  <c:v>38.807454937217386</c:v>
                </c:pt>
                <c:pt idx="1546">
                  <c:v>38.907454937217388</c:v>
                </c:pt>
                <c:pt idx="1547">
                  <c:v>39.007454937217389</c:v>
                </c:pt>
                <c:pt idx="1548">
                  <c:v>39.107454937217391</c:v>
                </c:pt>
                <c:pt idx="1549">
                  <c:v>39.207454937217392</c:v>
                </c:pt>
                <c:pt idx="1550">
                  <c:v>39.307454937217393</c:v>
                </c:pt>
                <c:pt idx="1551">
                  <c:v>39.407454937217395</c:v>
                </c:pt>
                <c:pt idx="1552">
                  <c:v>39.507454937217396</c:v>
                </c:pt>
                <c:pt idx="1553">
                  <c:v>39.607454937217398</c:v>
                </c:pt>
                <c:pt idx="1554">
                  <c:v>39.707454937217399</c:v>
                </c:pt>
                <c:pt idx="1555">
                  <c:v>39.8074549372174</c:v>
                </c:pt>
                <c:pt idx="1556">
                  <c:v>39.907454937217402</c:v>
                </c:pt>
                <c:pt idx="1557">
                  <c:v>40.007454937217403</c:v>
                </c:pt>
                <c:pt idx="1558">
                  <c:v>40.107454937217405</c:v>
                </c:pt>
                <c:pt idx="1559">
                  <c:v>40.207454937217406</c:v>
                </c:pt>
                <c:pt idx="1560">
                  <c:v>40.307454937217408</c:v>
                </c:pt>
                <c:pt idx="1561">
                  <c:v>40.407454937217409</c:v>
                </c:pt>
                <c:pt idx="1562">
                  <c:v>40.50745493721741</c:v>
                </c:pt>
                <c:pt idx="1563">
                  <c:v>40.607454937217412</c:v>
                </c:pt>
                <c:pt idx="1564">
                  <c:v>40.707454937217413</c:v>
                </c:pt>
                <c:pt idx="1565">
                  <c:v>40.807454937217415</c:v>
                </c:pt>
                <c:pt idx="1566">
                  <c:v>40.907454937217416</c:v>
                </c:pt>
                <c:pt idx="1567">
                  <c:v>41.007454937217418</c:v>
                </c:pt>
                <c:pt idx="1568">
                  <c:v>41.107454937217419</c:v>
                </c:pt>
                <c:pt idx="1569">
                  <c:v>41.20745493721742</c:v>
                </c:pt>
                <c:pt idx="1570">
                  <c:v>41.307454937217422</c:v>
                </c:pt>
                <c:pt idx="1571">
                  <c:v>41.407454937217423</c:v>
                </c:pt>
                <c:pt idx="1572">
                  <c:v>41.507454937217425</c:v>
                </c:pt>
                <c:pt idx="1573">
                  <c:v>41.607454937217426</c:v>
                </c:pt>
                <c:pt idx="1574">
                  <c:v>41.707454937217427</c:v>
                </c:pt>
                <c:pt idx="1575">
                  <c:v>41.807454937217429</c:v>
                </c:pt>
                <c:pt idx="1576">
                  <c:v>41.90745493721743</c:v>
                </c:pt>
                <c:pt idx="1577">
                  <c:v>42.007454937217432</c:v>
                </c:pt>
                <c:pt idx="1578">
                  <c:v>42.107454937217433</c:v>
                </c:pt>
                <c:pt idx="1579">
                  <c:v>42.207454937217435</c:v>
                </c:pt>
                <c:pt idx="1580">
                  <c:v>42.307454937217436</c:v>
                </c:pt>
                <c:pt idx="1581">
                  <c:v>42.407454937217437</c:v>
                </c:pt>
                <c:pt idx="1582">
                  <c:v>42.507454937217439</c:v>
                </c:pt>
                <c:pt idx="1583">
                  <c:v>42.60745493721744</c:v>
                </c:pt>
                <c:pt idx="1584">
                  <c:v>42.707454937217442</c:v>
                </c:pt>
                <c:pt idx="1585">
                  <c:v>42.807454937217443</c:v>
                </c:pt>
                <c:pt idx="1586">
                  <c:v>42.907454937217445</c:v>
                </c:pt>
                <c:pt idx="1587">
                  <c:v>43.007454937217446</c:v>
                </c:pt>
                <c:pt idx="1588">
                  <c:v>43.107454937217447</c:v>
                </c:pt>
                <c:pt idx="1589">
                  <c:v>43.207454937217449</c:v>
                </c:pt>
                <c:pt idx="1590">
                  <c:v>43.30745493721745</c:v>
                </c:pt>
                <c:pt idx="1591">
                  <c:v>43.407454937217452</c:v>
                </c:pt>
                <c:pt idx="1592">
                  <c:v>43.507454937217453</c:v>
                </c:pt>
                <c:pt idx="1593">
                  <c:v>43.607454937217454</c:v>
                </c:pt>
                <c:pt idx="1594">
                  <c:v>43.707454937217456</c:v>
                </c:pt>
                <c:pt idx="1595">
                  <c:v>43.807454937217457</c:v>
                </c:pt>
                <c:pt idx="1596">
                  <c:v>43.907454937217459</c:v>
                </c:pt>
                <c:pt idx="1597">
                  <c:v>44.00745493721746</c:v>
                </c:pt>
                <c:pt idx="1598">
                  <c:v>44.107454937217462</c:v>
                </c:pt>
                <c:pt idx="1599">
                  <c:v>44.207454937217463</c:v>
                </c:pt>
                <c:pt idx="1600">
                  <c:v>44.307454937217464</c:v>
                </c:pt>
                <c:pt idx="1601">
                  <c:v>44.407454937217466</c:v>
                </c:pt>
                <c:pt idx="1602">
                  <c:v>44.507454937217467</c:v>
                </c:pt>
                <c:pt idx="1603">
                  <c:v>44.607454937217469</c:v>
                </c:pt>
                <c:pt idx="1604">
                  <c:v>44.70745493721747</c:v>
                </c:pt>
                <c:pt idx="1605">
                  <c:v>44.807454937217472</c:v>
                </c:pt>
                <c:pt idx="1606">
                  <c:v>44.907454937217473</c:v>
                </c:pt>
                <c:pt idx="1607">
                  <c:v>45.007454937217474</c:v>
                </c:pt>
                <c:pt idx="1608">
                  <c:v>45.107454937217476</c:v>
                </c:pt>
                <c:pt idx="1609">
                  <c:v>45.207454937217477</c:v>
                </c:pt>
                <c:pt idx="1610">
                  <c:v>45.307454937217479</c:v>
                </c:pt>
                <c:pt idx="1611">
                  <c:v>45.40745493721748</c:v>
                </c:pt>
                <c:pt idx="1612">
                  <c:v>45.507454937217481</c:v>
                </c:pt>
                <c:pt idx="1613">
                  <c:v>45.607454937217483</c:v>
                </c:pt>
                <c:pt idx="1614">
                  <c:v>45.707454937217484</c:v>
                </c:pt>
                <c:pt idx="1615">
                  <c:v>45.807454937217486</c:v>
                </c:pt>
                <c:pt idx="1616">
                  <c:v>45.907454937217487</c:v>
                </c:pt>
                <c:pt idx="1617">
                  <c:v>46.007454937217489</c:v>
                </c:pt>
                <c:pt idx="1618">
                  <c:v>46.10745493721749</c:v>
                </c:pt>
                <c:pt idx="1619">
                  <c:v>46.207454937217491</c:v>
                </c:pt>
                <c:pt idx="1620">
                  <c:v>46.307454937217493</c:v>
                </c:pt>
                <c:pt idx="1621">
                  <c:v>46.407454937217494</c:v>
                </c:pt>
                <c:pt idx="1622">
                  <c:v>46.507454937217496</c:v>
                </c:pt>
                <c:pt idx="1623">
                  <c:v>46.607454937217497</c:v>
                </c:pt>
                <c:pt idx="1624">
                  <c:v>46.707454937217499</c:v>
                </c:pt>
                <c:pt idx="1625">
                  <c:v>46.8074549372175</c:v>
                </c:pt>
                <c:pt idx="1626">
                  <c:v>46.907454937217501</c:v>
                </c:pt>
                <c:pt idx="1627">
                  <c:v>47.007454937217503</c:v>
                </c:pt>
                <c:pt idx="1628">
                  <c:v>47.107454937217504</c:v>
                </c:pt>
                <c:pt idx="1629">
                  <c:v>47.207454937217506</c:v>
                </c:pt>
                <c:pt idx="1630">
                  <c:v>47.307454937217507</c:v>
                </c:pt>
                <c:pt idx="1631">
                  <c:v>47.407454937217508</c:v>
                </c:pt>
                <c:pt idx="1632">
                  <c:v>47.50745493721751</c:v>
                </c:pt>
                <c:pt idx="1633">
                  <c:v>47.607454937217511</c:v>
                </c:pt>
                <c:pt idx="1634">
                  <c:v>47.707454937217513</c:v>
                </c:pt>
                <c:pt idx="1635">
                  <c:v>47.807454937217514</c:v>
                </c:pt>
                <c:pt idx="1636">
                  <c:v>47.907454937217516</c:v>
                </c:pt>
                <c:pt idx="1637">
                  <c:v>48.007454937217517</c:v>
                </c:pt>
                <c:pt idx="1638">
                  <c:v>48.107454937217518</c:v>
                </c:pt>
                <c:pt idx="1639">
                  <c:v>48.20745493721752</c:v>
                </c:pt>
                <c:pt idx="1640">
                  <c:v>48.307454937217521</c:v>
                </c:pt>
                <c:pt idx="1641">
                  <c:v>48.407454937217523</c:v>
                </c:pt>
                <c:pt idx="1642">
                  <c:v>48.507454937217524</c:v>
                </c:pt>
                <c:pt idx="1643">
                  <c:v>48.607454937217526</c:v>
                </c:pt>
                <c:pt idx="1644">
                  <c:v>48.707454937217527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data!$I$2</c:f>
              <c:strCache>
                <c:ptCount val="1"/>
                <c:pt idx="0">
                  <c:v>dh/dt</c:v>
                </c:pt>
              </c:strCache>
            </c:strRef>
          </c:tx>
          <c:marker>
            <c:symbol val="none"/>
          </c:marker>
          <c:xVal>
            <c:numRef>
              <c:f>data!$H$3:$H$4454</c:f>
              <c:numCache>
                <c:formatCode>0.00E+00</c:formatCode>
                <c:ptCount val="4452"/>
                <c:pt idx="0" formatCode="General">
                  <c:v>0</c:v>
                </c:pt>
                <c:pt idx="1">
                  <c:v>1E-4</c:v>
                </c:pt>
                <c:pt idx="2">
                  <c:v>1.1000000000000002E-4</c:v>
                </c:pt>
                <c:pt idx="3">
                  <c:v>1.2100000000000003E-4</c:v>
                </c:pt>
                <c:pt idx="4">
                  <c:v>1.3310000000000004E-4</c:v>
                </c:pt>
                <c:pt idx="5">
                  <c:v>1.4641000000000006E-4</c:v>
                </c:pt>
                <c:pt idx="6">
                  <c:v>1.6105100000000008E-4</c:v>
                </c:pt>
                <c:pt idx="7">
                  <c:v>1.771561000000001E-4</c:v>
                </c:pt>
                <c:pt idx="8">
                  <c:v>1.9487171000000012E-4</c:v>
                </c:pt>
                <c:pt idx="9">
                  <c:v>2.1435888100000014E-4</c:v>
                </c:pt>
                <c:pt idx="10">
                  <c:v>2.3579476910000016E-4</c:v>
                </c:pt>
                <c:pt idx="11">
                  <c:v>2.5937424601000017E-4</c:v>
                </c:pt>
                <c:pt idx="12">
                  <c:v>2.8531167061100022E-4</c:v>
                </c:pt>
                <c:pt idx="13">
                  <c:v>3.1384283767210024E-4</c:v>
                </c:pt>
                <c:pt idx="14">
                  <c:v>3.452271214393103E-4</c:v>
                </c:pt>
                <c:pt idx="15">
                  <c:v>3.7974983358324136E-4</c:v>
                </c:pt>
                <c:pt idx="16">
                  <c:v>4.1772481694156552E-4</c:v>
                </c:pt>
                <c:pt idx="17">
                  <c:v>4.5949729863572212E-4</c:v>
                </c:pt>
                <c:pt idx="18">
                  <c:v>5.0544702849929441E-4</c:v>
                </c:pt>
                <c:pt idx="19">
                  <c:v>5.5599173134922395E-4</c:v>
                </c:pt>
                <c:pt idx="20">
                  <c:v>6.115909044841464E-4</c:v>
                </c:pt>
                <c:pt idx="21">
                  <c:v>6.7274999493256108E-4</c:v>
                </c:pt>
                <c:pt idx="22">
                  <c:v>7.4002499442581723E-4</c:v>
                </c:pt>
                <c:pt idx="23">
                  <c:v>8.1402749386839902E-4</c:v>
                </c:pt>
                <c:pt idx="24">
                  <c:v>8.9543024325523899E-4</c:v>
                </c:pt>
                <c:pt idx="25">
                  <c:v>9.8497326758076298E-4</c:v>
                </c:pt>
                <c:pt idx="26">
                  <c:v>1.0834705943388394E-3</c:v>
                </c:pt>
                <c:pt idx="27">
                  <c:v>1.1918176537727234E-3</c:v>
                </c:pt>
                <c:pt idx="28">
                  <c:v>1.3109994191499959E-3</c:v>
                </c:pt>
                <c:pt idx="29">
                  <c:v>1.4420993610649957E-3</c:v>
                </c:pt>
                <c:pt idx="30">
                  <c:v>1.5863092971714955E-3</c:v>
                </c:pt>
                <c:pt idx="31">
                  <c:v>1.7449402268886452E-3</c:v>
                </c:pt>
                <c:pt idx="32">
                  <c:v>1.9194342495775099E-3</c:v>
                </c:pt>
                <c:pt idx="33">
                  <c:v>2.1113776745352612E-3</c:v>
                </c:pt>
                <c:pt idx="34">
                  <c:v>2.3225154419887874E-3</c:v>
                </c:pt>
                <c:pt idx="35">
                  <c:v>2.5547669861876662E-3</c:v>
                </c:pt>
                <c:pt idx="36">
                  <c:v>2.8102436848064329E-3</c:v>
                </c:pt>
                <c:pt idx="37">
                  <c:v>3.0912680532870765E-3</c:v>
                </c:pt>
                <c:pt idx="38">
                  <c:v>3.4003948586157845E-3</c:v>
                </c:pt>
                <c:pt idx="39">
                  <c:v>3.7404343444773632E-3</c:v>
                </c:pt>
                <c:pt idx="40">
                  <c:v>4.1144777789250998E-3</c:v>
                </c:pt>
                <c:pt idx="41">
                  <c:v>4.5259255568176103E-3</c:v>
                </c:pt>
                <c:pt idx="42">
                  <c:v>4.9785181124993722E-3</c:v>
                </c:pt>
                <c:pt idx="43">
                  <c:v>5.4763699237493097E-3</c:v>
                </c:pt>
                <c:pt idx="44">
                  <c:v>6.0240069161242409E-3</c:v>
                </c:pt>
                <c:pt idx="45">
                  <c:v>6.6264076077366656E-3</c:v>
                </c:pt>
                <c:pt idx="46">
                  <c:v>7.2890483685103327E-3</c:v>
                </c:pt>
                <c:pt idx="47">
                  <c:v>8.0179532053613663E-3</c:v>
                </c:pt>
                <c:pt idx="48">
                  <c:v>8.8197485258975031E-3</c:v>
                </c:pt>
                <c:pt idx="49">
                  <c:v>9.7017233784872543E-3</c:v>
                </c:pt>
                <c:pt idx="50">
                  <c:v>1.0671895716335981E-2</c:v>
                </c:pt>
                <c:pt idx="51">
                  <c:v>1.173908528796958E-2</c:v>
                </c:pt>
                <c:pt idx="52">
                  <c:v>1.2912993816766539E-2</c:v>
                </c:pt>
                <c:pt idx="53">
                  <c:v>1.4204293198443194E-2</c:v>
                </c:pt>
                <c:pt idx="54">
                  <c:v>1.5624722518287514E-2</c:v>
                </c:pt>
                <c:pt idx="55">
                  <c:v>1.7187194770116265E-2</c:v>
                </c:pt>
                <c:pt idx="56">
                  <c:v>1.8905914247127894E-2</c:v>
                </c:pt>
                <c:pt idx="57">
                  <c:v>2.0796505671840684E-2</c:v>
                </c:pt>
                <c:pt idx="58">
                  <c:v>2.2876156239024753E-2</c:v>
                </c:pt>
                <c:pt idx="59">
                  <c:v>2.5163771862927231E-2</c:v>
                </c:pt>
                <c:pt idx="60">
                  <c:v>2.7680149049219956E-2</c:v>
                </c:pt>
                <c:pt idx="61">
                  <c:v>3.0448163954141953E-2</c:v>
                </c:pt>
                <c:pt idx="62">
                  <c:v>3.3492980349556153E-2</c:v>
                </c:pt>
                <c:pt idx="63">
                  <c:v>3.6842278384511769E-2</c:v>
                </c:pt>
                <c:pt idx="64">
                  <c:v>4.0526506222962951E-2</c:v>
                </c:pt>
                <c:pt idx="65">
                  <c:v>4.4579156845259246E-2</c:v>
                </c:pt>
                <c:pt idx="66">
                  <c:v>4.9037072529785175E-2</c:v>
                </c:pt>
                <c:pt idx="67">
                  <c:v>5.3940779782763695E-2</c:v>
                </c:pt>
                <c:pt idx="68">
                  <c:v>5.9334857761040069E-2</c:v>
                </c:pt>
                <c:pt idx="69">
                  <c:v>6.5268343537144086E-2</c:v>
                </c:pt>
                <c:pt idx="70">
                  <c:v>7.17951778908585E-2</c:v>
                </c:pt>
                <c:pt idx="71">
                  <c:v>7.8974695679944362E-2</c:v>
                </c:pt>
                <c:pt idx="72">
                  <c:v>8.687216524793881E-2</c:v>
                </c:pt>
                <c:pt idx="73">
                  <c:v>9.5559381772732696E-2</c:v>
                </c:pt>
                <c:pt idx="74">
                  <c:v>0.10511531995000598</c:v>
                </c:pt>
                <c:pt idx="75">
                  <c:v>0.11562685194500658</c:v>
                </c:pt>
                <c:pt idx="76">
                  <c:v>0.12718953713950723</c:v>
                </c:pt>
                <c:pt idx="77">
                  <c:v>0.13990849085345797</c:v>
                </c:pt>
                <c:pt idx="78">
                  <c:v>0.15389933993880378</c:v>
                </c:pt>
                <c:pt idx="79">
                  <c:v>0.16928927393268417</c:v>
                </c:pt>
                <c:pt idx="80">
                  <c:v>0.1862182013259526</c:v>
                </c:pt>
                <c:pt idx="81">
                  <c:v>0.20484002145854788</c:v>
                </c:pt>
                <c:pt idx="82">
                  <c:v>0.22532402360440268</c:v>
                </c:pt>
                <c:pt idx="83">
                  <c:v>0.24785642596484297</c:v>
                </c:pt>
                <c:pt idx="84">
                  <c:v>0.27264206856132728</c:v>
                </c:pt>
                <c:pt idx="85">
                  <c:v>0.29990627541746001</c:v>
                </c:pt>
                <c:pt idx="86">
                  <c:v>0.32989690295920604</c:v>
                </c:pt>
                <c:pt idx="87">
                  <c:v>0.36288659325512668</c:v>
                </c:pt>
                <c:pt idx="88">
                  <c:v>0.39917525258063935</c:v>
                </c:pt>
                <c:pt idx="89">
                  <c:v>0.43909277783870332</c:v>
                </c:pt>
                <c:pt idx="90">
                  <c:v>0.4830020556225737</c:v>
                </c:pt>
                <c:pt idx="91">
                  <c:v>0.53130226118483115</c:v>
                </c:pt>
                <c:pt idx="92">
                  <c:v>0.58443248730331432</c:v>
                </c:pt>
                <c:pt idx="93">
                  <c:v>0.64287573603364578</c:v>
                </c:pt>
                <c:pt idx="94">
                  <c:v>0.70716330963701046</c:v>
                </c:pt>
                <c:pt idx="95">
                  <c:v>0.77787964060071157</c:v>
                </c:pt>
                <c:pt idx="96">
                  <c:v>0.85566760466078284</c:v>
                </c:pt>
                <c:pt idx="97">
                  <c:v>0.94123436512686121</c:v>
                </c:pt>
                <c:pt idx="98">
                  <c:v>1.0353578016395475</c:v>
                </c:pt>
                <c:pt idx="99">
                  <c:v>1.1388935818035024</c:v>
                </c:pt>
                <c:pt idx="100">
                  <c:v>1.2527829399838528</c:v>
                </c:pt>
                <c:pt idx="101">
                  <c:v>1.3780612339822382</c:v>
                </c:pt>
                <c:pt idx="102">
                  <c:v>1.5158673573804622</c:v>
                </c:pt>
                <c:pt idx="103">
                  <c:v>1.6674540931185085</c:v>
                </c:pt>
                <c:pt idx="104">
                  <c:v>1.8341995024303595</c:v>
                </c:pt>
                <c:pt idx="105">
                  <c:v>2.0176194526733955</c:v>
                </c:pt>
                <c:pt idx="106">
                  <c:v>2.2193813979407353</c:v>
                </c:pt>
                <c:pt idx="107">
                  <c:v>2.4413195377348091</c:v>
                </c:pt>
                <c:pt idx="108">
                  <c:v>2.6854514915082901</c:v>
                </c:pt>
                <c:pt idx="109">
                  <c:v>2.9539966406591192</c:v>
                </c:pt>
                <c:pt idx="110">
                  <c:v>3.2493963047250314</c:v>
                </c:pt>
                <c:pt idx="111">
                  <c:v>3.574335935197535</c:v>
                </c:pt>
                <c:pt idx="112">
                  <c:v>3.9317695287172887</c:v>
                </c:pt>
                <c:pt idx="113">
                  <c:v>4.3249464815890182</c:v>
                </c:pt>
                <c:pt idx="114">
                  <c:v>4.75744112974792</c:v>
                </c:pt>
                <c:pt idx="115">
                  <c:v>5.2331852427227128</c:v>
                </c:pt>
                <c:pt idx="116">
                  <c:v>5.7565037669949843</c:v>
                </c:pt>
                <c:pt idx="117">
                  <c:v>6.332154143694483</c:v>
                </c:pt>
                <c:pt idx="118">
                  <c:v>6.9653695580639319</c:v>
                </c:pt>
                <c:pt idx="119">
                  <c:v>7.661906513870326</c:v>
                </c:pt>
                <c:pt idx="120">
                  <c:v>8.4280971652573591</c:v>
                </c:pt>
                <c:pt idx="121">
                  <c:v>9.2709068817830964</c:v>
                </c:pt>
                <c:pt idx="122">
                  <c:v>10</c:v>
                </c:pt>
                <c:pt idx="123">
                  <c:v>11</c:v>
                </c:pt>
                <c:pt idx="124">
                  <c:v>12</c:v>
                </c:pt>
                <c:pt idx="125">
                  <c:v>13</c:v>
                </c:pt>
                <c:pt idx="126">
                  <c:v>14</c:v>
                </c:pt>
                <c:pt idx="127">
                  <c:v>15</c:v>
                </c:pt>
                <c:pt idx="128">
                  <c:v>16</c:v>
                </c:pt>
                <c:pt idx="129">
                  <c:v>17</c:v>
                </c:pt>
                <c:pt idx="130">
                  <c:v>18</c:v>
                </c:pt>
                <c:pt idx="131">
                  <c:v>19</c:v>
                </c:pt>
                <c:pt idx="132">
                  <c:v>20</c:v>
                </c:pt>
                <c:pt idx="133">
                  <c:v>21</c:v>
                </c:pt>
                <c:pt idx="134">
                  <c:v>22</c:v>
                </c:pt>
                <c:pt idx="135">
                  <c:v>23</c:v>
                </c:pt>
                <c:pt idx="136">
                  <c:v>24</c:v>
                </c:pt>
                <c:pt idx="137">
                  <c:v>25</c:v>
                </c:pt>
                <c:pt idx="138">
                  <c:v>26</c:v>
                </c:pt>
                <c:pt idx="139">
                  <c:v>27</c:v>
                </c:pt>
                <c:pt idx="140">
                  <c:v>28</c:v>
                </c:pt>
                <c:pt idx="141">
                  <c:v>29</c:v>
                </c:pt>
                <c:pt idx="142">
                  <c:v>30</c:v>
                </c:pt>
                <c:pt idx="143">
                  <c:v>31</c:v>
                </c:pt>
                <c:pt idx="144">
                  <c:v>32</c:v>
                </c:pt>
                <c:pt idx="145">
                  <c:v>33</c:v>
                </c:pt>
                <c:pt idx="146">
                  <c:v>34</c:v>
                </c:pt>
                <c:pt idx="147">
                  <c:v>35</c:v>
                </c:pt>
                <c:pt idx="148">
                  <c:v>36</c:v>
                </c:pt>
                <c:pt idx="149">
                  <c:v>37</c:v>
                </c:pt>
                <c:pt idx="150">
                  <c:v>38</c:v>
                </c:pt>
                <c:pt idx="151">
                  <c:v>39</c:v>
                </c:pt>
                <c:pt idx="152">
                  <c:v>40</c:v>
                </c:pt>
                <c:pt idx="153">
                  <c:v>41</c:v>
                </c:pt>
                <c:pt idx="154">
                  <c:v>42</c:v>
                </c:pt>
                <c:pt idx="155">
                  <c:v>43</c:v>
                </c:pt>
                <c:pt idx="156">
                  <c:v>44</c:v>
                </c:pt>
                <c:pt idx="157">
                  <c:v>45</c:v>
                </c:pt>
                <c:pt idx="158">
                  <c:v>46</c:v>
                </c:pt>
                <c:pt idx="159">
                  <c:v>47</c:v>
                </c:pt>
                <c:pt idx="160">
                  <c:v>48</c:v>
                </c:pt>
                <c:pt idx="161">
                  <c:v>49</c:v>
                </c:pt>
                <c:pt idx="162">
                  <c:v>50</c:v>
                </c:pt>
                <c:pt idx="163">
                  <c:v>51</c:v>
                </c:pt>
                <c:pt idx="164">
                  <c:v>52</c:v>
                </c:pt>
                <c:pt idx="165">
                  <c:v>53</c:v>
                </c:pt>
                <c:pt idx="166">
                  <c:v>54</c:v>
                </c:pt>
                <c:pt idx="167">
                  <c:v>55</c:v>
                </c:pt>
                <c:pt idx="168">
                  <c:v>56</c:v>
                </c:pt>
                <c:pt idx="169">
                  <c:v>57</c:v>
                </c:pt>
                <c:pt idx="170">
                  <c:v>58</c:v>
                </c:pt>
                <c:pt idx="171">
                  <c:v>59</c:v>
                </c:pt>
                <c:pt idx="172">
                  <c:v>60</c:v>
                </c:pt>
                <c:pt idx="173">
                  <c:v>61</c:v>
                </c:pt>
                <c:pt idx="174">
                  <c:v>62</c:v>
                </c:pt>
                <c:pt idx="175">
                  <c:v>63</c:v>
                </c:pt>
                <c:pt idx="176">
                  <c:v>64</c:v>
                </c:pt>
                <c:pt idx="177">
                  <c:v>65</c:v>
                </c:pt>
                <c:pt idx="178">
                  <c:v>66</c:v>
                </c:pt>
                <c:pt idx="179">
                  <c:v>67</c:v>
                </c:pt>
                <c:pt idx="180">
                  <c:v>68</c:v>
                </c:pt>
                <c:pt idx="181">
                  <c:v>69</c:v>
                </c:pt>
                <c:pt idx="182">
                  <c:v>70</c:v>
                </c:pt>
                <c:pt idx="183">
                  <c:v>71</c:v>
                </c:pt>
                <c:pt idx="184">
                  <c:v>72</c:v>
                </c:pt>
                <c:pt idx="185">
                  <c:v>73</c:v>
                </c:pt>
                <c:pt idx="186">
                  <c:v>74</c:v>
                </c:pt>
                <c:pt idx="187">
                  <c:v>75</c:v>
                </c:pt>
                <c:pt idx="188">
                  <c:v>76</c:v>
                </c:pt>
                <c:pt idx="189">
                  <c:v>77</c:v>
                </c:pt>
                <c:pt idx="190">
                  <c:v>78</c:v>
                </c:pt>
                <c:pt idx="191">
                  <c:v>79</c:v>
                </c:pt>
                <c:pt idx="192">
                  <c:v>80</c:v>
                </c:pt>
                <c:pt idx="193">
                  <c:v>81</c:v>
                </c:pt>
                <c:pt idx="194">
                  <c:v>82</c:v>
                </c:pt>
                <c:pt idx="195">
                  <c:v>83</c:v>
                </c:pt>
                <c:pt idx="196">
                  <c:v>84</c:v>
                </c:pt>
                <c:pt idx="197">
                  <c:v>85</c:v>
                </c:pt>
                <c:pt idx="198">
                  <c:v>86</c:v>
                </c:pt>
                <c:pt idx="199">
                  <c:v>87</c:v>
                </c:pt>
                <c:pt idx="200">
                  <c:v>88</c:v>
                </c:pt>
                <c:pt idx="201">
                  <c:v>89</c:v>
                </c:pt>
                <c:pt idx="202">
                  <c:v>90</c:v>
                </c:pt>
                <c:pt idx="203">
                  <c:v>91</c:v>
                </c:pt>
                <c:pt idx="204">
                  <c:v>92</c:v>
                </c:pt>
                <c:pt idx="205">
                  <c:v>93</c:v>
                </c:pt>
                <c:pt idx="206">
                  <c:v>94</c:v>
                </c:pt>
                <c:pt idx="207">
                  <c:v>95</c:v>
                </c:pt>
                <c:pt idx="208">
                  <c:v>96</c:v>
                </c:pt>
                <c:pt idx="209">
                  <c:v>97</c:v>
                </c:pt>
                <c:pt idx="210">
                  <c:v>98</c:v>
                </c:pt>
                <c:pt idx="211">
                  <c:v>99</c:v>
                </c:pt>
                <c:pt idx="212">
                  <c:v>100</c:v>
                </c:pt>
                <c:pt idx="213">
                  <c:v>101</c:v>
                </c:pt>
                <c:pt idx="214">
                  <c:v>102</c:v>
                </c:pt>
                <c:pt idx="215">
                  <c:v>103</c:v>
                </c:pt>
                <c:pt idx="216">
                  <c:v>104</c:v>
                </c:pt>
                <c:pt idx="217">
                  <c:v>105</c:v>
                </c:pt>
                <c:pt idx="218">
                  <c:v>106</c:v>
                </c:pt>
                <c:pt idx="219">
                  <c:v>107</c:v>
                </c:pt>
                <c:pt idx="220">
                  <c:v>108</c:v>
                </c:pt>
                <c:pt idx="221">
                  <c:v>109</c:v>
                </c:pt>
                <c:pt idx="222">
                  <c:v>110</c:v>
                </c:pt>
                <c:pt idx="223">
                  <c:v>111</c:v>
                </c:pt>
                <c:pt idx="224">
                  <c:v>112</c:v>
                </c:pt>
                <c:pt idx="225">
                  <c:v>113</c:v>
                </c:pt>
                <c:pt idx="226">
                  <c:v>114</c:v>
                </c:pt>
                <c:pt idx="227">
                  <c:v>115</c:v>
                </c:pt>
                <c:pt idx="228">
                  <c:v>116</c:v>
                </c:pt>
                <c:pt idx="229">
                  <c:v>117</c:v>
                </c:pt>
                <c:pt idx="230">
                  <c:v>118</c:v>
                </c:pt>
                <c:pt idx="231">
                  <c:v>119</c:v>
                </c:pt>
                <c:pt idx="232">
                  <c:v>120</c:v>
                </c:pt>
                <c:pt idx="233">
                  <c:v>121</c:v>
                </c:pt>
                <c:pt idx="234">
                  <c:v>122</c:v>
                </c:pt>
                <c:pt idx="235">
                  <c:v>123</c:v>
                </c:pt>
                <c:pt idx="236">
                  <c:v>124</c:v>
                </c:pt>
                <c:pt idx="237">
                  <c:v>125</c:v>
                </c:pt>
                <c:pt idx="238">
                  <c:v>126</c:v>
                </c:pt>
                <c:pt idx="239">
                  <c:v>127</c:v>
                </c:pt>
                <c:pt idx="240">
                  <c:v>128</c:v>
                </c:pt>
                <c:pt idx="241">
                  <c:v>129</c:v>
                </c:pt>
                <c:pt idx="242">
                  <c:v>130</c:v>
                </c:pt>
                <c:pt idx="243">
                  <c:v>131</c:v>
                </c:pt>
                <c:pt idx="244">
                  <c:v>132</c:v>
                </c:pt>
                <c:pt idx="245">
                  <c:v>133</c:v>
                </c:pt>
                <c:pt idx="246">
                  <c:v>134</c:v>
                </c:pt>
                <c:pt idx="247">
                  <c:v>135</c:v>
                </c:pt>
                <c:pt idx="248">
                  <c:v>136</c:v>
                </c:pt>
                <c:pt idx="249">
                  <c:v>137</c:v>
                </c:pt>
                <c:pt idx="250">
                  <c:v>138</c:v>
                </c:pt>
                <c:pt idx="251">
                  <c:v>139</c:v>
                </c:pt>
                <c:pt idx="252">
                  <c:v>140</c:v>
                </c:pt>
                <c:pt idx="253">
                  <c:v>141</c:v>
                </c:pt>
                <c:pt idx="254">
                  <c:v>142</c:v>
                </c:pt>
                <c:pt idx="255">
                  <c:v>143</c:v>
                </c:pt>
                <c:pt idx="256">
                  <c:v>144</c:v>
                </c:pt>
                <c:pt idx="257">
                  <c:v>145</c:v>
                </c:pt>
                <c:pt idx="258">
                  <c:v>146</c:v>
                </c:pt>
                <c:pt idx="259">
                  <c:v>147</c:v>
                </c:pt>
                <c:pt idx="260">
                  <c:v>148</c:v>
                </c:pt>
                <c:pt idx="261">
                  <c:v>149</c:v>
                </c:pt>
                <c:pt idx="262">
                  <c:v>150</c:v>
                </c:pt>
                <c:pt idx="263">
                  <c:v>151</c:v>
                </c:pt>
                <c:pt idx="264">
                  <c:v>152</c:v>
                </c:pt>
                <c:pt idx="265">
                  <c:v>153</c:v>
                </c:pt>
                <c:pt idx="266">
                  <c:v>154</c:v>
                </c:pt>
                <c:pt idx="267">
                  <c:v>155</c:v>
                </c:pt>
                <c:pt idx="268">
                  <c:v>156</c:v>
                </c:pt>
                <c:pt idx="269">
                  <c:v>157</c:v>
                </c:pt>
                <c:pt idx="270">
                  <c:v>158</c:v>
                </c:pt>
                <c:pt idx="271">
                  <c:v>159</c:v>
                </c:pt>
                <c:pt idx="272">
                  <c:v>160</c:v>
                </c:pt>
                <c:pt idx="273">
                  <c:v>161</c:v>
                </c:pt>
                <c:pt idx="274">
                  <c:v>162</c:v>
                </c:pt>
                <c:pt idx="275">
                  <c:v>163</c:v>
                </c:pt>
                <c:pt idx="276">
                  <c:v>164</c:v>
                </c:pt>
                <c:pt idx="277">
                  <c:v>165</c:v>
                </c:pt>
                <c:pt idx="278">
                  <c:v>166</c:v>
                </c:pt>
                <c:pt idx="279">
                  <c:v>167</c:v>
                </c:pt>
                <c:pt idx="280">
                  <c:v>168</c:v>
                </c:pt>
                <c:pt idx="281">
                  <c:v>169</c:v>
                </c:pt>
                <c:pt idx="282">
                  <c:v>170</c:v>
                </c:pt>
                <c:pt idx="283">
                  <c:v>171</c:v>
                </c:pt>
                <c:pt idx="284">
                  <c:v>172</c:v>
                </c:pt>
                <c:pt idx="285">
                  <c:v>173</c:v>
                </c:pt>
                <c:pt idx="286">
                  <c:v>174</c:v>
                </c:pt>
                <c:pt idx="287">
                  <c:v>175</c:v>
                </c:pt>
                <c:pt idx="288">
                  <c:v>176</c:v>
                </c:pt>
                <c:pt idx="289">
                  <c:v>177</c:v>
                </c:pt>
                <c:pt idx="290">
                  <c:v>178</c:v>
                </c:pt>
                <c:pt idx="291">
                  <c:v>179</c:v>
                </c:pt>
                <c:pt idx="292">
                  <c:v>180</c:v>
                </c:pt>
                <c:pt idx="293">
                  <c:v>181</c:v>
                </c:pt>
                <c:pt idx="294">
                  <c:v>182</c:v>
                </c:pt>
                <c:pt idx="295">
                  <c:v>183</c:v>
                </c:pt>
                <c:pt idx="296">
                  <c:v>184</c:v>
                </c:pt>
                <c:pt idx="297">
                  <c:v>185</c:v>
                </c:pt>
                <c:pt idx="298">
                  <c:v>186</c:v>
                </c:pt>
                <c:pt idx="299">
                  <c:v>187</c:v>
                </c:pt>
                <c:pt idx="300">
                  <c:v>188</c:v>
                </c:pt>
                <c:pt idx="301">
                  <c:v>189</c:v>
                </c:pt>
                <c:pt idx="302">
                  <c:v>190</c:v>
                </c:pt>
                <c:pt idx="303">
                  <c:v>191</c:v>
                </c:pt>
                <c:pt idx="304">
                  <c:v>192</c:v>
                </c:pt>
                <c:pt idx="305">
                  <c:v>193</c:v>
                </c:pt>
                <c:pt idx="306">
                  <c:v>194</c:v>
                </c:pt>
                <c:pt idx="307">
                  <c:v>195</c:v>
                </c:pt>
                <c:pt idx="308">
                  <c:v>196</c:v>
                </c:pt>
                <c:pt idx="309">
                  <c:v>197</c:v>
                </c:pt>
                <c:pt idx="310">
                  <c:v>198</c:v>
                </c:pt>
                <c:pt idx="311">
                  <c:v>199</c:v>
                </c:pt>
                <c:pt idx="312">
                  <c:v>200</c:v>
                </c:pt>
                <c:pt idx="313">
                  <c:v>201</c:v>
                </c:pt>
                <c:pt idx="314">
                  <c:v>202</c:v>
                </c:pt>
                <c:pt idx="315">
                  <c:v>203</c:v>
                </c:pt>
                <c:pt idx="316">
                  <c:v>204</c:v>
                </c:pt>
                <c:pt idx="317">
                  <c:v>205</c:v>
                </c:pt>
                <c:pt idx="318">
                  <c:v>206</c:v>
                </c:pt>
                <c:pt idx="319">
                  <c:v>207</c:v>
                </c:pt>
                <c:pt idx="320">
                  <c:v>208</c:v>
                </c:pt>
                <c:pt idx="321">
                  <c:v>209</c:v>
                </c:pt>
                <c:pt idx="322">
                  <c:v>210</c:v>
                </c:pt>
                <c:pt idx="323">
                  <c:v>211</c:v>
                </c:pt>
                <c:pt idx="324">
                  <c:v>212</c:v>
                </c:pt>
                <c:pt idx="325">
                  <c:v>213</c:v>
                </c:pt>
                <c:pt idx="326">
                  <c:v>214</c:v>
                </c:pt>
                <c:pt idx="327">
                  <c:v>215</c:v>
                </c:pt>
                <c:pt idx="328">
                  <c:v>216</c:v>
                </c:pt>
                <c:pt idx="329">
                  <c:v>217</c:v>
                </c:pt>
                <c:pt idx="330">
                  <c:v>218</c:v>
                </c:pt>
                <c:pt idx="331">
                  <c:v>219</c:v>
                </c:pt>
                <c:pt idx="332">
                  <c:v>220</c:v>
                </c:pt>
                <c:pt idx="333">
                  <c:v>221</c:v>
                </c:pt>
                <c:pt idx="334">
                  <c:v>222</c:v>
                </c:pt>
                <c:pt idx="335">
                  <c:v>223</c:v>
                </c:pt>
                <c:pt idx="336">
                  <c:v>224</c:v>
                </c:pt>
                <c:pt idx="337">
                  <c:v>225</c:v>
                </c:pt>
                <c:pt idx="338">
                  <c:v>226</c:v>
                </c:pt>
                <c:pt idx="339">
                  <c:v>227</c:v>
                </c:pt>
                <c:pt idx="340">
                  <c:v>228</c:v>
                </c:pt>
                <c:pt idx="341">
                  <c:v>229</c:v>
                </c:pt>
                <c:pt idx="342">
                  <c:v>230</c:v>
                </c:pt>
                <c:pt idx="343">
                  <c:v>231</c:v>
                </c:pt>
                <c:pt idx="344">
                  <c:v>232</c:v>
                </c:pt>
                <c:pt idx="345">
                  <c:v>233</c:v>
                </c:pt>
                <c:pt idx="346">
                  <c:v>234</c:v>
                </c:pt>
                <c:pt idx="347">
                  <c:v>235</c:v>
                </c:pt>
                <c:pt idx="348">
                  <c:v>236</c:v>
                </c:pt>
                <c:pt idx="349">
                  <c:v>237</c:v>
                </c:pt>
                <c:pt idx="350">
                  <c:v>238</c:v>
                </c:pt>
                <c:pt idx="351">
                  <c:v>239</c:v>
                </c:pt>
                <c:pt idx="352">
                  <c:v>240</c:v>
                </c:pt>
                <c:pt idx="353">
                  <c:v>241</c:v>
                </c:pt>
                <c:pt idx="354">
                  <c:v>242</c:v>
                </c:pt>
                <c:pt idx="355">
                  <c:v>243</c:v>
                </c:pt>
                <c:pt idx="356">
                  <c:v>244</c:v>
                </c:pt>
                <c:pt idx="357">
                  <c:v>245</c:v>
                </c:pt>
                <c:pt idx="358">
                  <c:v>246</c:v>
                </c:pt>
                <c:pt idx="359">
                  <c:v>247</c:v>
                </c:pt>
                <c:pt idx="360">
                  <c:v>248</c:v>
                </c:pt>
                <c:pt idx="361">
                  <c:v>249</c:v>
                </c:pt>
                <c:pt idx="362">
                  <c:v>250</c:v>
                </c:pt>
                <c:pt idx="363">
                  <c:v>251</c:v>
                </c:pt>
                <c:pt idx="364">
                  <c:v>252</c:v>
                </c:pt>
                <c:pt idx="365">
                  <c:v>253</c:v>
                </c:pt>
                <c:pt idx="366">
                  <c:v>254</c:v>
                </c:pt>
                <c:pt idx="367">
                  <c:v>255</c:v>
                </c:pt>
                <c:pt idx="368">
                  <c:v>256</c:v>
                </c:pt>
                <c:pt idx="369">
                  <c:v>257</c:v>
                </c:pt>
                <c:pt idx="370">
                  <c:v>258</c:v>
                </c:pt>
                <c:pt idx="371">
                  <c:v>259</c:v>
                </c:pt>
                <c:pt idx="372">
                  <c:v>260</c:v>
                </c:pt>
                <c:pt idx="373">
                  <c:v>261</c:v>
                </c:pt>
                <c:pt idx="374">
                  <c:v>262</c:v>
                </c:pt>
                <c:pt idx="375">
                  <c:v>263</c:v>
                </c:pt>
                <c:pt idx="376">
                  <c:v>264</c:v>
                </c:pt>
                <c:pt idx="377">
                  <c:v>265</c:v>
                </c:pt>
                <c:pt idx="378">
                  <c:v>266</c:v>
                </c:pt>
                <c:pt idx="379">
                  <c:v>267</c:v>
                </c:pt>
                <c:pt idx="380">
                  <c:v>268</c:v>
                </c:pt>
                <c:pt idx="381">
                  <c:v>269</c:v>
                </c:pt>
                <c:pt idx="382">
                  <c:v>270</c:v>
                </c:pt>
                <c:pt idx="383">
                  <c:v>271</c:v>
                </c:pt>
                <c:pt idx="384">
                  <c:v>272</c:v>
                </c:pt>
                <c:pt idx="385">
                  <c:v>273</c:v>
                </c:pt>
                <c:pt idx="386">
                  <c:v>274</c:v>
                </c:pt>
                <c:pt idx="387">
                  <c:v>275</c:v>
                </c:pt>
                <c:pt idx="388">
                  <c:v>276</c:v>
                </c:pt>
                <c:pt idx="389">
                  <c:v>277</c:v>
                </c:pt>
                <c:pt idx="390">
                  <c:v>278</c:v>
                </c:pt>
                <c:pt idx="391">
                  <c:v>279</c:v>
                </c:pt>
                <c:pt idx="392">
                  <c:v>280</c:v>
                </c:pt>
                <c:pt idx="393">
                  <c:v>281</c:v>
                </c:pt>
                <c:pt idx="394">
                  <c:v>282</c:v>
                </c:pt>
                <c:pt idx="395">
                  <c:v>283</c:v>
                </c:pt>
                <c:pt idx="396">
                  <c:v>284</c:v>
                </c:pt>
                <c:pt idx="397">
                  <c:v>285</c:v>
                </c:pt>
                <c:pt idx="398">
                  <c:v>286</c:v>
                </c:pt>
                <c:pt idx="399">
                  <c:v>287</c:v>
                </c:pt>
                <c:pt idx="400">
                  <c:v>288</c:v>
                </c:pt>
                <c:pt idx="401">
                  <c:v>289</c:v>
                </c:pt>
                <c:pt idx="402">
                  <c:v>290</c:v>
                </c:pt>
                <c:pt idx="403">
                  <c:v>291</c:v>
                </c:pt>
                <c:pt idx="404">
                  <c:v>292</c:v>
                </c:pt>
                <c:pt idx="405">
                  <c:v>293</c:v>
                </c:pt>
                <c:pt idx="406">
                  <c:v>294</c:v>
                </c:pt>
                <c:pt idx="407">
                  <c:v>295</c:v>
                </c:pt>
                <c:pt idx="408">
                  <c:v>296</c:v>
                </c:pt>
                <c:pt idx="409">
                  <c:v>297</c:v>
                </c:pt>
                <c:pt idx="410">
                  <c:v>298</c:v>
                </c:pt>
                <c:pt idx="411">
                  <c:v>299</c:v>
                </c:pt>
                <c:pt idx="412">
                  <c:v>300</c:v>
                </c:pt>
                <c:pt idx="413">
                  <c:v>301</c:v>
                </c:pt>
                <c:pt idx="414">
                  <c:v>302</c:v>
                </c:pt>
                <c:pt idx="415">
                  <c:v>303</c:v>
                </c:pt>
                <c:pt idx="416">
                  <c:v>304</c:v>
                </c:pt>
                <c:pt idx="417">
                  <c:v>305</c:v>
                </c:pt>
                <c:pt idx="418">
                  <c:v>306</c:v>
                </c:pt>
                <c:pt idx="419">
                  <c:v>307</c:v>
                </c:pt>
                <c:pt idx="420">
                  <c:v>308</c:v>
                </c:pt>
                <c:pt idx="421">
                  <c:v>309</c:v>
                </c:pt>
                <c:pt idx="422">
                  <c:v>310</c:v>
                </c:pt>
                <c:pt idx="423">
                  <c:v>311</c:v>
                </c:pt>
                <c:pt idx="424">
                  <c:v>312</c:v>
                </c:pt>
                <c:pt idx="425">
                  <c:v>313</c:v>
                </c:pt>
                <c:pt idx="426">
                  <c:v>314</c:v>
                </c:pt>
                <c:pt idx="427">
                  <c:v>315</c:v>
                </c:pt>
                <c:pt idx="428">
                  <c:v>316</c:v>
                </c:pt>
                <c:pt idx="429">
                  <c:v>317</c:v>
                </c:pt>
                <c:pt idx="430">
                  <c:v>318</c:v>
                </c:pt>
                <c:pt idx="431">
                  <c:v>319</c:v>
                </c:pt>
                <c:pt idx="432">
                  <c:v>320</c:v>
                </c:pt>
                <c:pt idx="433">
                  <c:v>321</c:v>
                </c:pt>
                <c:pt idx="434">
                  <c:v>322</c:v>
                </c:pt>
                <c:pt idx="435">
                  <c:v>323</c:v>
                </c:pt>
                <c:pt idx="436">
                  <c:v>324</c:v>
                </c:pt>
                <c:pt idx="437">
                  <c:v>325</c:v>
                </c:pt>
                <c:pt idx="438">
                  <c:v>326</c:v>
                </c:pt>
                <c:pt idx="439">
                  <c:v>327</c:v>
                </c:pt>
                <c:pt idx="440">
                  <c:v>328</c:v>
                </c:pt>
                <c:pt idx="441">
                  <c:v>329</c:v>
                </c:pt>
                <c:pt idx="442">
                  <c:v>330</c:v>
                </c:pt>
                <c:pt idx="443">
                  <c:v>331</c:v>
                </c:pt>
                <c:pt idx="444">
                  <c:v>332</c:v>
                </c:pt>
                <c:pt idx="445">
                  <c:v>333</c:v>
                </c:pt>
                <c:pt idx="446">
                  <c:v>334</c:v>
                </c:pt>
                <c:pt idx="447">
                  <c:v>335</c:v>
                </c:pt>
                <c:pt idx="448">
                  <c:v>336</c:v>
                </c:pt>
                <c:pt idx="449">
                  <c:v>337</c:v>
                </c:pt>
                <c:pt idx="450">
                  <c:v>338</c:v>
                </c:pt>
                <c:pt idx="451">
                  <c:v>339</c:v>
                </c:pt>
                <c:pt idx="452">
                  <c:v>340</c:v>
                </c:pt>
                <c:pt idx="453">
                  <c:v>341</c:v>
                </c:pt>
                <c:pt idx="454">
                  <c:v>342</c:v>
                </c:pt>
                <c:pt idx="455">
                  <c:v>343</c:v>
                </c:pt>
                <c:pt idx="456">
                  <c:v>344</c:v>
                </c:pt>
                <c:pt idx="457">
                  <c:v>345</c:v>
                </c:pt>
                <c:pt idx="458">
                  <c:v>346</c:v>
                </c:pt>
                <c:pt idx="459">
                  <c:v>347</c:v>
                </c:pt>
                <c:pt idx="460">
                  <c:v>348</c:v>
                </c:pt>
                <c:pt idx="461">
                  <c:v>349</c:v>
                </c:pt>
                <c:pt idx="462">
                  <c:v>350</c:v>
                </c:pt>
                <c:pt idx="463">
                  <c:v>351</c:v>
                </c:pt>
                <c:pt idx="464">
                  <c:v>352</c:v>
                </c:pt>
                <c:pt idx="465">
                  <c:v>353</c:v>
                </c:pt>
                <c:pt idx="466">
                  <c:v>354</c:v>
                </c:pt>
                <c:pt idx="467">
                  <c:v>355</c:v>
                </c:pt>
                <c:pt idx="468">
                  <c:v>356</c:v>
                </c:pt>
                <c:pt idx="469">
                  <c:v>357</c:v>
                </c:pt>
                <c:pt idx="470">
                  <c:v>358</c:v>
                </c:pt>
                <c:pt idx="471">
                  <c:v>359</c:v>
                </c:pt>
                <c:pt idx="472">
                  <c:v>360</c:v>
                </c:pt>
                <c:pt idx="473">
                  <c:v>361</c:v>
                </c:pt>
                <c:pt idx="474">
                  <c:v>362</c:v>
                </c:pt>
                <c:pt idx="475">
                  <c:v>363</c:v>
                </c:pt>
                <c:pt idx="476">
                  <c:v>364</c:v>
                </c:pt>
                <c:pt idx="477">
                  <c:v>365</c:v>
                </c:pt>
                <c:pt idx="478">
                  <c:v>366</c:v>
                </c:pt>
                <c:pt idx="479">
                  <c:v>367</c:v>
                </c:pt>
                <c:pt idx="480">
                  <c:v>368</c:v>
                </c:pt>
                <c:pt idx="481">
                  <c:v>369</c:v>
                </c:pt>
                <c:pt idx="482">
                  <c:v>370</c:v>
                </c:pt>
                <c:pt idx="483">
                  <c:v>371</c:v>
                </c:pt>
                <c:pt idx="484">
                  <c:v>372</c:v>
                </c:pt>
                <c:pt idx="485">
                  <c:v>373</c:v>
                </c:pt>
                <c:pt idx="486">
                  <c:v>374</c:v>
                </c:pt>
                <c:pt idx="487">
                  <c:v>375</c:v>
                </c:pt>
                <c:pt idx="488">
                  <c:v>376</c:v>
                </c:pt>
                <c:pt idx="489">
                  <c:v>377</c:v>
                </c:pt>
                <c:pt idx="490">
                  <c:v>378</c:v>
                </c:pt>
                <c:pt idx="491">
                  <c:v>379</c:v>
                </c:pt>
                <c:pt idx="492">
                  <c:v>380</c:v>
                </c:pt>
                <c:pt idx="493">
                  <c:v>381</c:v>
                </c:pt>
                <c:pt idx="494">
                  <c:v>382</c:v>
                </c:pt>
                <c:pt idx="495">
                  <c:v>383</c:v>
                </c:pt>
                <c:pt idx="496">
                  <c:v>384</c:v>
                </c:pt>
                <c:pt idx="497">
                  <c:v>385</c:v>
                </c:pt>
                <c:pt idx="498">
                  <c:v>386</c:v>
                </c:pt>
                <c:pt idx="499">
                  <c:v>387</c:v>
                </c:pt>
                <c:pt idx="500">
                  <c:v>388</c:v>
                </c:pt>
                <c:pt idx="501">
                  <c:v>389</c:v>
                </c:pt>
                <c:pt idx="502">
                  <c:v>390</c:v>
                </c:pt>
                <c:pt idx="503">
                  <c:v>391</c:v>
                </c:pt>
                <c:pt idx="504">
                  <c:v>392</c:v>
                </c:pt>
                <c:pt idx="505">
                  <c:v>393</c:v>
                </c:pt>
                <c:pt idx="506">
                  <c:v>394</c:v>
                </c:pt>
                <c:pt idx="507">
                  <c:v>395</c:v>
                </c:pt>
                <c:pt idx="508">
                  <c:v>396</c:v>
                </c:pt>
                <c:pt idx="509">
                  <c:v>397</c:v>
                </c:pt>
                <c:pt idx="510">
                  <c:v>398</c:v>
                </c:pt>
                <c:pt idx="511">
                  <c:v>399</c:v>
                </c:pt>
                <c:pt idx="512">
                  <c:v>400</c:v>
                </c:pt>
                <c:pt idx="513">
                  <c:v>401</c:v>
                </c:pt>
                <c:pt idx="514">
                  <c:v>402</c:v>
                </c:pt>
                <c:pt idx="515">
                  <c:v>403</c:v>
                </c:pt>
                <c:pt idx="516">
                  <c:v>404</c:v>
                </c:pt>
                <c:pt idx="517">
                  <c:v>405</c:v>
                </c:pt>
                <c:pt idx="518">
                  <c:v>406</c:v>
                </c:pt>
                <c:pt idx="519">
                  <c:v>407</c:v>
                </c:pt>
                <c:pt idx="520">
                  <c:v>408</c:v>
                </c:pt>
                <c:pt idx="521">
                  <c:v>409</c:v>
                </c:pt>
                <c:pt idx="522">
                  <c:v>410</c:v>
                </c:pt>
                <c:pt idx="523">
                  <c:v>411</c:v>
                </c:pt>
                <c:pt idx="524">
                  <c:v>412</c:v>
                </c:pt>
                <c:pt idx="525">
                  <c:v>413</c:v>
                </c:pt>
                <c:pt idx="526">
                  <c:v>414</c:v>
                </c:pt>
                <c:pt idx="527">
                  <c:v>415</c:v>
                </c:pt>
                <c:pt idx="528">
                  <c:v>416</c:v>
                </c:pt>
                <c:pt idx="529">
                  <c:v>417</c:v>
                </c:pt>
                <c:pt idx="530">
                  <c:v>418</c:v>
                </c:pt>
                <c:pt idx="531">
                  <c:v>419</c:v>
                </c:pt>
                <c:pt idx="532">
                  <c:v>420</c:v>
                </c:pt>
                <c:pt idx="533">
                  <c:v>421</c:v>
                </c:pt>
                <c:pt idx="534">
                  <c:v>422</c:v>
                </c:pt>
                <c:pt idx="535">
                  <c:v>423</c:v>
                </c:pt>
                <c:pt idx="536">
                  <c:v>424</c:v>
                </c:pt>
                <c:pt idx="537">
                  <c:v>425</c:v>
                </c:pt>
                <c:pt idx="538">
                  <c:v>426</c:v>
                </c:pt>
                <c:pt idx="539">
                  <c:v>427</c:v>
                </c:pt>
                <c:pt idx="540">
                  <c:v>428</c:v>
                </c:pt>
                <c:pt idx="541">
                  <c:v>429</c:v>
                </c:pt>
                <c:pt idx="542">
                  <c:v>430</c:v>
                </c:pt>
                <c:pt idx="543">
                  <c:v>431</c:v>
                </c:pt>
                <c:pt idx="544">
                  <c:v>432</c:v>
                </c:pt>
                <c:pt idx="545">
                  <c:v>433</c:v>
                </c:pt>
                <c:pt idx="546">
                  <c:v>434</c:v>
                </c:pt>
                <c:pt idx="547">
                  <c:v>435</c:v>
                </c:pt>
                <c:pt idx="548">
                  <c:v>436</c:v>
                </c:pt>
                <c:pt idx="549">
                  <c:v>437</c:v>
                </c:pt>
                <c:pt idx="550">
                  <c:v>438</c:v>
                </c:pt>
                <c:pt idx="551">
                  <c:v>439</c:v>
                </c:pt>
                <c:pt idx="552">
                  <c:v>440</c:v>
                </c:pt>
                <c:pt idx="553">
                  <c:v>441</c:v>
                </c:pt>
                <c:pt idx="554">
                  <c:v>442</c:v>
                </c:pt>
                <c:pt idx="555">
                  <c:v>443</c:v>
                </c:pt>
                <c:pt idx="556">
                  <c:v>444</c:v>
                </c:pt>
                <c:pt idx="557">
                  <c:v>445</c:v>
                </c:pt>
                <c:pt idx="558">
                  <c:v>446</c:v>
                </c:pt>
                <c:pt idx="559">
                  <c:v>447</c:v>
                </c:pt>
                <c:pt idx="560">
                  <c:v>448</c:v>
                </c:pt>
                <c:pt idx="561">
                  <c:v>449</c:v>
                </c:pt>
                <c:pt idx="562">
                  <c:v>450</c:v>
                </c:pt>
                <c:pt idx="563">
                  <c:v>451</c:v>
                </c:pt>
                <c:pt idx="564">
                  <c:v>452</c:v>
                </c:pt>
                <c:pt idx="565">
                  <c:v>453</c:v>
                </c:pt>
                <c:pt idx="566">
                  <c:v>454</c:v>
                </c:pt>
                <c:pt idx="567">
                  <c:v>455</c:v>
                </c:pt>
                <c:pt idx="568">
                  <c:v>456</c:v>
                </c:pt>
                <c:pt idx="569">
                  <c:v>457</c:v>
                </c:pt>
                <c:pt idx="570">
                  <c:v>458</c:v>
                </c:pt>
                <c:pt idx="571">
                  <c:v>459</c:v>
                </c:pt>
                <c:pt idx="572">
                  <c:v>460</c:v>
                </c:pt>
                <c:pt idx="573">
                  <c:v>461</c:v>
                </c:pt>
                <c:pt idx="574">
                  <c:v>462</c:v>
                </c:pt>
                <c:pt idx="575">
                  <c:v>463</c:v>
                </c:pt>
                <c:pt idx="576">
                  <c:v>464</c:v>
                </c:pt>
                <c:pt idx="577">
                  <c:v>465</c:v>
                </c:pt>
                <c:pt idx="578">
                  <c:v>466</c:v>
                </c:pt>
                <c:pt idx="579">
                  <c:v>467</c:v>
                </c:pt>
                <c:pt idx="580">
                  <c:v>468</c:v>
                </c:pt>
                <c:pt idx="581">
                  <c:v>469</c:v>
                </c:pt>
                <c:pt idx="582">
                  <c:v>470</c:v>
                </c:pt>
                <c:pt idx="583">
                  <c:v>471</c:v>
                </c:pt>
                <c:pt idx="584">
                  <c:v>472</c:v>
                </c:pt>
                <c:pt idx="585">
                  <c:v>473</c:v>
                </c:pt>
                <c:pt idx="586">
                  <c:v>474</c:v>
                </c:pt>
                <c:pt idx="587">
                  <c:v>475</c:v>
                </c:pt>
                <c:pt idx="588">
                  <c:v>476</c:v>
                </c:pt>
                <c:pt idx="589">
                  <c:v>477</c:v>
                </c:pt>
                <c:pt idx="590">
                  <c:v>478</c:v>
                </c:pt>
                <c:pt idx="591">
                  <c:v>479</c:v>
                </c:pt>
                <c:pt idx="592">
                  <c:v>480</c:v>
                </c:pt>
                <c:pt idx="593">
                  <c:v>481</c:v>
                </c:pt>
                <c:pt idx="594">
                  <c:v>482</c:v>
                </c:pt>
                <c:pt idx="595">
                  <c:v>483</c:v>
                </c:pt>
                <c:pt idx="596">
                  <c:v>484</c:v>
                </c:pt>
                <c:pt idx="597">
                  <c:v>485</c:v>
                </c:pt>
                <c:pt idx="598">
                  <c:v>486</c:v>
                </c:pt>
                <c:pt idx="599">
                  <c:v>487</c:v>
                </c:pt>
                <c:pt idx="600">
                  <c:v>488</c:v>
                </c:pt>
                <c:pt idx="601">
                  <c:v>489</c:v>
                </c:pt>
                <c:pt idx="602">
                  <c:v>490</c:v>
                </c:pt>
                <c:pt idx="603">
                  <c:v>491</c:v>
                </c:pt>
                <c:pt idx="604">
                  <c:v>492</c:v>
                </c:pt>
                <c:pt idx="605">
                  <c:v>493</c:v>
                </c:pt>
                <c:pt idx="606">
                  <c:v>494</c:v>
                </c:pt>
                <c:pt idx="607">
                  <c:v>495</c:v>
                </c:pt>
                <c:pt idx="608">
                  <c:v>496</c:v>
                </c:pt>
                <c:pt idx="609">
                  <c:v>497</c:v>
                </c:pt>
                <c:pt idx="610">
                  <c:v>498</c:v>
                </c:pt>
                <c:pt idx="611">
                  <c:v>499</c:v>
                </c:pt>
                <c:pt idx="612">
                  <c:v>500</c:v>
                </c:pt>
                <c:pt idx="613">
                  <c:v>501</c:v>
                </c:pt>
                <c:pt idx="614">
                  <c:v>502</c:v>
                </c:pt>
                <c:pt idx="615">
                  <c:v>503</c:v>
                </c:pt>
                <c:pt idx="616">
                  <c:v>504</c:v>
                </c:pt>
                <c:pt idx="617">
                  <c:v>505</c:v>
                </c:pt>
                <c:pt idx="618">
                  <c:v>506</c:v>
                </c:pt>
                <c:pt idx="619">
                  <c:v>507</c:v>
                </c:pt>
                <c:pt idx="620">
                  <c:v>508</c:v>
                </c:pt>
                <c:pt idx="621">
                  <c:v>509</c:v>
                </c:pt>
                <c:pt idx="622">
                  <c:v>510</c:v>
                </c:pt>
                <c:pt idx="623">
                  <c:v>511</c:v>
                </c:pt>
                <c:pt idx="624">
                  <c:v>512</c:v>
                </c:pt>
                <c:pt idx="625">
                  <c:v>513</c:v>
                </c:pt>
                <c:pt idx="626">
                  <c:v>514</c:v>
                </c:pt>
                <c:pt idx="627">
                  <c:v>515</c:v>
                </c:pt>
                <c:pt idx="628">
                  <c:v>516</c:v>
                </c:pt>
                <c:pt idx="629">
                  <c:v>517</c:v>
                </c:pt>
                <c:pt idx="630">
                  <c:v>518</c:v>
                </c:pt>
                <c:pt idx="631">
                  <c:v>519</c:v>
                </c:pt>
                <c:pt idx="632">
                  <c:v>520</c:v>
                </c:pt>
                <c:pt idx="633">
                  <c:v>521</c:v>
                </c:pt>
                <c:pt idx="634">
                  <c:v>522</c:v>
                </c:pt>
                <c:pt idx="635">
                  <c:v>523</c:v>
                </c:pt>
                <c:pt idx="636">
                  <c:v>524</c:v>
                </c:pt>
                <c:pt idx="637">
                  <c:v>525</c:v>
                </c:pt>
                <c:pt idx="638">
                  <c:v>526</c:v>
                </c:pt>
                <c:pt idx="639">
                  <c:v>527</c:v>
                </c:pt>
                <c:pt idx="640">
                  <c:v>528</c:v>
                </c:pt>
                <c:pt idx="641">
                  <c:v>529</c:v>
                </c:pt>
                <c:pt idx="642">
                  <c:v>530</c:v>
                </c:pt>
                <c:pt idx="643">
                  <c:v>531</c:v>
                </c:pt>
                <c:pt idx="644">
                  <c:v>532</c:v>
                </c:pt>
                <c:pt idx="645">
                  <c:v>533</c:v>
                </c:pt>
                <c:pt idx="646">
                  <c:v>534</c:v>
                </c:pt>
                <c:pt idx="647">
                  <c:v>535</c:v>
                </c:pt>
                <c:pt idx="648">
                  <c:v>536</c:v>
                </c:pt>
                <c:pt idx="649">
                  <c:v>537</c:v>
                </c:pt>
                <c:pt idx="650">
                  <c:v>538</c:v>
                </c:pt>
                <c:pt idx="651">
                  <c:v>539</c:v>
                </c:pt>
                <c:pt idx="652">
                  <c:v>540</c:v>
                </c:pt>
                <c:pt idx="653">
                  <c:v>541</c:v>
                </c:pt>
                <c:pt idx="654">
                  <c:v>542</c:v>
                </c:pt>
                <c:pt idx="655">
                  <c:v>543</c:v>
                </c:pt>
                <c:pt idx="656">
                  <c:v>544</c:v>
                </c:pt>
                <c:pt idx="657">
                  <c:v>545</c:v>
                </c:pt>
                <c:pt idx="658">
                  <c:v>546</c:v>
                </c:pt>
                <c:pt idx="659">
                  <c:v>547</c:v>
                </c:pt>
                <c:pt idx="660">
                  <c:v>548</c:v>
                </c:pt>
                <c:pt idx="661">
                  <c:v>549</c:v>
                </c:pt>
                <c:pt idx="662">
                  <c:v>550</c:v>
                </c:pt>
                <c:pt idx="663">
                  <c:v>551</c:v>
                </c:pt>
                <c:pt idx="664">
                  <c:v>552</c:v>
                </c:pt>
                <c:pt idx="665">
                  <c:v>553</c:v>
                </c:pt>
                <c:pt idx="666">
                  <c:v>554</c:v>
                </c:pt>
                <c:pt idx="667">
                  <c:v>555</c:v>
                </c:pt>
                <c:pt idx="668">
                  <c:v>556</c:v>
                </c:pt>
                <c:pt idx="669">
                  <c:v>557</c:v>
                </c:pt>
                <c:pt idx="670">
                  <c:v>558</c:v>
                </c:pt>
                <c:pt idx="671">
                  <c:v>559</c:v>
                </c:pt>
                <c:pt idx="672">
                  <c:v>560</c:v>
                </c:pt>
                <c:pt idx="673">
                  <c:v>561</c:v>
                </c:pt>
                <c:pt idx="674">
                  <c:v>562</c:v>
                </c:pt>
                <c:pt idx="675">
                  <c:v>563</c:v>
                </c:pt>
                <c:pt idx="676">
                  <c:v>564</c:v>
                </c:pt>
                <c:pt idx="677">
                  <c:v>565</c:v>
                </c:pt>
                <c:pt idx="678">
                  <c:v>566</c:v>
                </c:pt>
                <c:pt idx="679">
                  <c:v>567</c:v>
                </c:pt>
                <c:pt idx="680">
                  <c:v>568</c:v>
                </c:pt>
                <c:pt idx="681">
                  <c:v>569</c:v>
                </c:pt>
                <c:pt idx="682">
                  <c:v>570</c:v>
                </c:pt>
                <c:pt idx="683">
                  <c:v>571</c:v>
                </c:pt>
                <c:pt idx="684">
                  <c:v>572</c:v>
                </c:pt>
                <c:pt idx="685">
                  <c:v>573</c:v>
                </c:pt>
                <c:pt idx="686">
                  <c:v>574</c:v>
                </c:pt>
                <c:pt idx="687">
                  <c:v>575</c:v>
                </c:pt>
                <c:pt idx="688">
                  <c:v>576</c:v>
                </c:pt>
                <c:pt idx="689">
                  <c:v>577</c:v>
                </c:pt>
                <c:pt idx="690">
                  <c:v>578</c:v>
                </c:pt>
                <c:pt idx="691">
                  <c:v>579</c:v>
                </c:pt>
                <c:pt idx="692">
                  <c:v>580</c:v>
                </c:pt>
                <c:pt idx="693">
                  <c:v>581</c:v>
                </c:pt>
                <c:pt idx="694">
                  <c:v>582</c:v>
                </c:pt>
                <c:pt idx="695">
                  <c:v>583</c:v>
                </c:pt>
                <c:pt idx="696">
                  <c:v>584</c:v>
                </c:pt>
                <c:pt idx="697">
                  <c:v>585</c:v>
                </c:pt>
                <c:pt idx="698">
                  <c:v>586</c:v>
                </c:pt>
                <c:pt idx="699">
                  <c:v>587</c:v>
                </c:pt>
                <c:pt idx="700">
                  <c:v>588</c:v>
                </c:pt>
                <c:pt idx="701">
                  <c:v>589</c:v>
                </c:pt>
                <c:pt idx="702">
                  <c:v>590</c:v>
                </c:pt>
                <c:pt idx="703">
                  <c:v>591</c:v>
                </c:pt>
                <c:pt idx="704">
                  <c:v>592</c:v>
                </c:pt>
                <c:pt idx="705">
                  <c:v>593</c:v>
                </c:pt>
                <c:pt idx="706">
                  <c:v>594</c:v>
                </c:pt>
                <c:pt idx="707">
                  <c:v>595</c:v>
                </c:pt>
                <c:pt idx="708">
                  <c:v>596</c:v>
                </c:pt>
                <c:pt idx="709">
                  <c:v>597</c:v>
                </c:pt>
                <c:pt idx="710">
                  <c:v>598</c:v>
                </c:pt>
                <c:pt idx="711">
                  <c:v>599</c:v>
                </c:pt>
                <c:pt idx="712">
                  <c:v>600</c:v>
                </c:pt>
                <c:pt idx="713">
                  <c:v>601</c:v>
                </c:pt>
                <c:pt idx="714">
                  <c:v>602</c:v>
                </c:pt>
                <c:pt idx="715">
                  <c:v>603</c:v>
                </c:pt>
                <c:pt idx="716">
                  <c:v>604</c:v>
                </c:pt>
                <c:pt idx="717">
                  <c:v>605</c:v>
                </c:pt>
                <c:pt idx="718">
                  <c:v>606</c:v>
                </c:pt>
                <c:pt idx="719">
                  <c:v>607</c:v>
                </c:pt>
                <c:pt idx="720">
                  <c:v>608</c:v>
                </c:pt>
                <c:pt idx="721">
                  <c:v>609</c:v>
                </c:pt>
                <c:pt idx="722">
                  <c:v>610</c:v>
                </c:pt>
                <c:pt idx="723">
                  <c:v>611</c:v>
                </c:pt>
                <c:pt idx="724">
                  <c:v>612</c:v>
                </c:pt>
                <c:pt idx="725">
                  <c:v>613</c:v>
                </c:pt>
                <c:pt idx="726">
                  <c:v>614</c:v>
                </c:pt>
                <c:pt idx="727">
                  <c:v>615</c:v>
                </c:pt>
                <c:pt idx="728">
                  <c:v>616</c:v>
                </c:pt>
                <c:pt idx="729">
                  <c:v>617</c:v>
                </c:pt>
                <c:pt idx="730">
                  <c:v>618</c:v>
                </c:pt>
                <c:pt idx="731">
                  <c:v>619</c:v>
                </c:pt>
                <c:pt idx="732">
                  <c:v>620</c:v>
                </c:pt>
                <c:pt idx="733">
                  <c:v>621</c:v>
                </c:pt>
                <c:pt idx="734">
                  <c:v>622</c:v>
                </c:pt>
                <c:pt idx="735">
                  <c:v>623</c:v>
                </c:pt>
                <c:pt idx="736">
                  <c:v>624</c:v>
                </c:pt>
                <c:pt idx="737">
                  <c:v>625</c:v>
                </c:pt>
                <c:pt idx="738">
                  <c:v>626</c:v>
                </c:pt>
                <c:pt idx="739">
                  <c:v>627</c:v>
                </c:pt>
                <c:pt idx="740">
                  <c:v>628</c:v>
                </c:pt>
                <c:pt idx="741">
                  <c:v>629</c:v>
                </c:pt>
                <c:pt idx="742">
                  <c:v>630</c:v>
                </c:pt>
                <c:pt idx="743">
                  <c:v>631</c:v>
                </c:pt>
                <c:pt idx="744">
                  <c:v>632</c:v>
                </c:pt>
                <c:pt idx="745">
                  <c:v>633</c:v>
                </c:pt>
                <c:pt idx="746">
                  <c:v>634</c:v>
                </c:pt>
                <c:pt idx="747">
                  <c:v>635</c:v>
                </c:pt>
                <c:pt idx="748">
                  <c:v>636</c:v>
                </c:pt>
                <c:pt idx="749">
                  <c:v>637</c:v>
                </c:pt>
                <c:pt idx="750">
                  <c:v>638</c:v>
                </c:pt>
                <c:pt idx="751">
                  <c:v>639</c:v>
                </c:pt>
                <c:pt idx="752">
                  <c:v>640</c:v>
                </c:pt>
                <c:pt idx="753">
                  <c:v>641</c:v>
                </c:pt>
                <c:pt idx="754">
                  <c:v>642</c:v>
                </c:pt>
                <c:pt idx="755">
                  <c:v>643</c:v>
                </c:pt>
                <c:pt idx="756">
                  <c:v>644</c:v>
                </c:pt>
                <c:pt idx="757">
                  <c:v>645</c:v>
                </c:pt>
                <c:pt idx="758">
                  <c:v>646</c:v>
                </c:pt>
                <c:pt idx="759">
                  <c:v>647</c:v>
                </c:pt>
                <c:pt idx="760">
                  <c:v>648</c:v>
                </c:pt>
                <c:pt idx="761">
                  <c:v>649</c:v>
                </c:pt>
                <c:pt idx="762">
                  <c:v>650</c:v>
                </c:pt>
                <c:pt idx="763">
                  <c:v>651</c:v>
                </c:pt>
                <c:pt idx="764">
                  <c:v>652</c:v>
                </c:pt>
                <c:pt idx="765">
                  <c:v>653</c:v>
                </c:pt>
                <c:pt idx="766">
                  <c:v>654</c:v>
                </c:pt>
                <c:pt idx="767">
                  <c:v>655</c:v>
                </c:pt>
                <c:pt idx="768">
                  <c:v>656</c:v>
                </c:pt>
                <c:pt idx="769">
                  <c:v>657</c:v>
                </c:pt>
                <c:pt idx="770">
                  <c:v>658</c:v>
                </c:pt>
                <c:pt idx="771">
                  <c:v>659</c:v>
                </c:pt>
                <c:pt idx="772">
                  <c:v>660</c:v>
                </c:pt>
                <c:pt idx="773">
                  <c:v>661</c:v>
                </c:pt>
                <c:pt idx="774">
                  <c:v>662</c:v>
                </c:pt>
                <c:pt idx="775">
                  <c:v>663</c:v>
                </c:pt>
                <c:pt idx="776">
                  <c:v>664</c:v>
                </c:pt>
                <c:pt idx="777">
                  <c:v>665</c:v>
                </c:pt>
                <c:pt idx="778">
                  <c:v>666</c:v>
                </c:pt>
                <c:pt idx="779">
                  <c:v>667</c:v>
                </c:pt>
                <c:pt idx="780">
                  <c:v>668</c:v>
                </c:pt>
                <c:pt idx="781">
                  <c:v>669</c:v>
                </c:pt>
                <c:pt idx="782">
                  <c:v>670</c:v>
                </c:pt>
                <c:pt idx="783">
                  <c:v>671</c:v>
                </c:pt>
                <c:pt idx="784">
                  <c:v>672</c:v>
                </c:pt>
                <c:pt idx="785">
                  <c:v>673</c:v>
                </c:pt>
                <c:pt idx="786">
                  <c:v>674</c:v>
                </c:pt>
                <c:pt idx="787">
                  <c:v>675</c:v>
                </c:pt>
                <c:pt idx="788">
                  <c:v>676</c:v>
                </c:pt>
                <c:pt idx="789">
                  <c:v>677</c:v>
                </c:pt>
                <c:pt idx="790">
                  <c:v>678</c:v>
                </c:pt>
                <c:pt idx="791">
                  <c:v>679</c:v>
                </c:pt>
                <c:pt idx="792">
                  <c:v>680</c:v>
                </c:pt>
                <c:pt idx="793">
                  <c:v>681</c:v>
                </c:pt>
                <c:pt idx="794">
                  <c:v>682</c:v>
                </c:pt>
                <c:pt idx="795">
                  <c:v>683</c:v>
                </c:pt>
                <c:pt idx="796">
                  <c:v>684</c:v>
                </c:pt>
                <c:pt idx="797">
                  <c:v>685</c:v>
                </c:pt>
                <c:pt idx="798">
                  <c:v>686</c:v>
                </c:pt>
                <c:pt idx="799">
                  <c:v>687</c:v>
                </c:pt>
                <c:pt idx="800">
                  <c:v>688</c:v>
                </c:pt>
                <c:pt idx="801">
                  <c:v>689</c:v>
                </c:pt>
                <c:pt idx="802">
                  <c:v>690</c:v>
                </c:pt>
                <c:pt idx="803">
                  <c:v>691</c:v>
                </c:pt>
                <c:pt idx="804">
                  <c:v>692</c:v>
                </c:pt>
                <c:pt idx="805">
                  <c:v>693</c:v>
                </c:pt>
                <c:pt idx="806">
                  <c:v>694</c:v>
                </c:pt>
                <c:pt idx="807">
                  <c:v>695</c:v>
                </c:pt>
                <c:pt idx="808">
                  <c:v>696</c:v>
                </c:pt>
                <c:pt idx="809">
                  <c:v>697</c:v>
                </c:pt>
                <c:pt idx="810">
                  <c:v>698</c:v>
                </c:pt>
                <c:pt idx="811">
                  <c:v>699</c:v>
                </c:pt>
                <c:pt idx="812">
                  <c:v>700</c:v>
                </c:pt>
                <c:pt idx="813">
                  <c:v>701</c:v>
                </c:pt>
                <c:pt idx="814">
                  <c:v>702</c:v>
                </c:pt>
                <c:pt idx="815">
                  <c:v>703</c:v>
                </c:pt>
                <c:pt idx="816">
                  <c:v>704</c:v>
                </c:pt>
                <c:pt idx="817">
                  <c:v>705</c:v>
                </c:pt>
                <c:pt idx="818">
                  <c:v>706</c:v>
                </c:pt>
                <c:pt idx="819">
                  <c:v>707</c:v>
                </c:pt>
                <c:pt idx="820">
                  <c:v>708</c:v>
                </c:pt>
                <c:pt idx="821">
                  <c:v>709</c:v>
                </c:pt>
                <c:pt idx="822">
                  <c:v>710</c:v>
                </c:pt>
                <c:pt idx="823">
                  <c:v>711</c:v>
                </c:pt>
                <c:pt idx="824">
                  <c:v>712</c:v>
                </c:pt>
                <c:pt idx="825">
                  <c:v>713</c:v>
                </c:pt>
                <c:pt idx="826">
                  <c:v>714</c:v>
                </c:pt>
                <c:pt idx="827">
                  <c:v>715</c:v>
                </c:pt>
                <c:pt idx="828">
                  <c:v>716</c:v>
                </c:pt>
                <c:pt idx="829">
                  <c:v>717</c:v>
                </c:pt>
                <c:pt idx="830">
                  <c:v>718</c:v>
                </c:pt>
                <c:pt idx="831">
                  <c:v>719</c:v>
                </c:pt>
                <c:pt idx="832">
                  <c:v>720</c:v>
                </c:pt>
                <c:pt idx="833">
                  <c:v>721</c:v>
                </c:pt>
                <c:pt idx="834">
                  <c:v>722</c:v>
                </c:pt>
                <c:pt idx="835">
                  <c:v>723</c:v>
                </c:pt>
                <c:pt idx="836">
                  <c:v>724</c:v>
                </c:pt>
                <c:pt idx="837">
                  <c:v>725</c:v>
                </c:pt>
                <c:pt idx="838">
                  <c:v>726</c:v>
                </c:pt>
                <c:pt idx="839">
                  <c:v>727</c:v>
                </c:pt>
                <c:pt idx="840">
                  <c:v>728</c:v>
                </c:pt>
                <c:pt idx="841">
                  <c:v>729</c:v>
                </c:pt>
                <c:pt idx="842">
                  <c:v>730</c:v>
                </c:pt>
                <c:pt idx="843">
                  <c:v>731</c:v>
                </c:pt>
                <c:pt idx="844">
                  <c:v>732</c:v>
                </c:pt>
                <c:pt idx="845">
                  <c:v>733</c:v>
                </c:pt>
                <c:pt idx="846">
                  <c:v>734</c:v>
                </c:pt>
                <c:pt idx="847">
                  <c:v>735</c:v>
                </c:pt>
                <c:pt idx="848">
                  <c:v>736</c:v>
                </c:pt>
                <c:pt idx="849">
                  <c:v>737</c:v>
                </c:pt>
                <c:pt idx="850">
                  <c:v>738</c:v>
                </c:pt>
                <c:pt idx="851">
                  <c:v>739</c:v>
                </c:pt>
                <c:pt idx="852">
                  <c:v>740</c:v>
                </c:pt>
                <c:pt idx="853">
                  <c:v>741</c:v>
                </c:pt>
                <c:pt idx="854">
                  <c:v>742</c:v>
                </c:pt>
                <c:pt idx="855">
                  <c:v>743</c:v>
                </c:pt>
                <c:pt idx="856">
                  <c:v>744</c:v>
                </c:pt>
                <c:pt idx="857">
                  <c:v>745</c:v>
                </c:pt>
                <c:pt idx="858">
                  <c:v>746</c:v>
                </c:pt>
                <c:pt idx="859">
                  <c:v>747</c:v>
                </c:pt>
                <c:pt idx="860">
                  <c:v>748</c:v>
                </c:pt>
                <c:pt idx="861">
                  <c:v>749</c:v>
                </c:pt>
                <c:pt idx="862">
                  <c:v>750</c:v>
                </c:pt>
                <c:pt idx="863">
                  <c:v>751</c:v>
                </c:pt>
                <c:pt idx="864">
                  <c:v>752</c:v>
                </c:pt>
                <c:pt idx="865">
                  <c:v>753</c:v>
                </c:pt>
                <c:pt idx="866">
                  <c:v>754</c:v>
                </c:pt>
                <c:pt idx="867">
                  <c:v>755</c:v>
                </c:pt>
                <c:pt idx="868">
                  <c:v>756</c:v>
                </c:pt>
                <c:pt idx="869">
                  <c:v>757</c:v>
                </c:pt>
                <c:pt idx="870">
                  <c:v>758</c:v>
                </c:pt>
                <c:pt idx="871">
                  <c:v>759</c:v>
                </c:pt>
                <c:pt idx="872">
                  <c:v>760</c:v>
                </c:pt>
                <c:pt idx="873">
                  <c:v>761</c:v>
                </c:pt>
                <c:pt idx="874">
                  <c:v>762</c:v>
                </c:pt>
                <c:pt idx="875">
                  <c:v>763</c:v>
                </c:pt>
                <c:pt idx="876">
                  <c:v>764</c:v>
                </c:pt>
                <c:pt idx="877">
                  <c:v>765</c:v>
                </c:pt>
                <c:pt idx="878">
                  <c:v>766</c:v>
                </c:pt>
                <c:pt idx="879">
                  <c:v>767</c:v>
                </c:pt>
                <c:pt idx="880">
                  <c:v>768</c:v>
                </c:pt>
                <c:pt idx="881">
                  <c:v>769</c:v>
                </c:pt>
                <c:pt idx="882">
                  <c:v>770</c:v>
                </c:pt>
                <c:pt idx="883">
                  <c:v>771</c:v>
                </c:pt>
                <c:pt idx="884">
                  <c:v>772</c:v>
                </c:pt>
                <c:pt idx="885">
                  <c:v>773</c:v>
                </c:pt>
                <c:pt idx="886">
                  <c:v>774</c:v>
                </c:pt>
                <c:pt idx="887">
                  <c:v>775</c:v>
                </c:pt>
                <c:pt idx="888">
                  <c:v>776</c:v>
                </c:pt>
                <c:pt idx="889">
                  <c:v>777</c:v>
                </c:pt>
                <c:pt idx="890">
                  <c:v>778</c:v>
                </c:pt>
                <c:pt idx="891">
                  <c:v>779</c:v>
                </c:pt>
                <c:pt idx="892">
                  <c:v>780</c:v>
                </c:pt>
                <c:pt idx="893">
                  <c:v>781</c:v>
                </c:pt>
                <c:pt idx="894">
                  <c:v>782</c:v>
                </c:pt>
                <c:pt idx="895">
                  <c:v>783</c:v>
                </c:pt>
                <c:pt idx="896">
                  <c:v>784</c:v>
                </c:pt>
                <c:pt idx="897">
                  <c:v>785</c:v>
                </c:pt>
                <c:pt idx="898">
                  <c:v>786</c:v>
                </c:pt>
                <c:pt idx="899">
                  <c:v>787</c:v>
                </c:pt>
                <c:pt idx="900">
                  <c:v>788</c:v>
                </c:pt>
                <c:pt idx="901">
                  <c:v>789</c:v>
                </c:pt>
                <c:pt idx="902">
                  <c:v>790</c:v>
                </c:pt>
                <c:pt idx="903">
                  <c:v>791</c:v>
                </c:pt>
                <c:pt idx="904">
                  <c:v>792</c:v>
                </c:pt>
                <c:pt idx="905">
                  <c:v>793</c:v>
                </c:pt>
                <c:pt idx="906">
                  <c:v>794</c:v>
                </c:pt>
                <c:pt idx="907">
                  <c:v>795</c:v>
                </c:pt>
                <c:pt idx="908">
                  <c:v>796</c:v>
                </c:pt>
                <c:pt idx="909">
                  <c:v>797</c:v>
                </c:pt>
                <c:pt idx="910">
                  <c:v>798</c:v>
                </c:pt>
                <c:pt idx="911">
                  <c:v>799</c:v>
                </c:pt>
                <c:pt idx="912">
                  <c:v>800</c:v>
                </c:pt>
                <c:pt idx="913">
                  <c:v>801</c:v>
                </c:pt>
                <c:pt idx="914">
                  <c:v>802</c:v>
                </c:pt>
                <c:pt idx="915">
                  <c:v>803</c:v>
                </c:pt>
                <c:pt idx="916">
                  <c:v>804</c:v>
                </c:pt>
                <c:pt idx="917">
                  <c:v>805</c:v>
                </c:pt>
                <c:pt idx="918">
                  <c:v>806</c:v>
                </c:pt>
                <c:pt idx="919">
                  <c:v>807</c:v>
                </c:pt>
                <c:pt idx="920">
                  <c:v>808</c:v>
                </c:pt>
                <c:pt idx="921">
                  <c:v>809</c:v>
                </c:pt>
                <c:pt idx="922">
                  <c:v>810</c:v>
                </c:pt>
                <c:pt idx="923">
                  <c:v>811</c:v>
                </c:pt>
                <c:pt idx="924">
                  <c:v>812</c:v>
                </c:pt>
                <c:pt idx="925">
                  <c:v>813</c:v>
                </c:pt>
                <c:pt idx="926">
                  <c:v>814</c:v>
                </c:pt>
                <c:pt idx="927">
                  <c:v>815</c:v>
                </c:pt>
                <c:pt idx="928">
                  <c:v>816</c:v>
                </c:pt>
                <c:pt idx="929">
                  <c:v>817</c:v>
                </c:pt>
                <c:pt idx="930">
                  <c:v>818</c:v>
                </c:pt>
                <c:pt idx="931">
                  <c:v>819</c:v>
                </c:pt>
                <c:pt idx="932">
                  <c:v>820</c:v>
                </c:pt>
                <c:pt idx="933">
                  <c:v>821</c:v>
                </c:pt>
                <c:pt idx="934">
                  <c:v>822</c:v>
                </c:pt>
                <c:pt idx="935">
                  <c:v>823</c:v>
                </c:pt>
                <c:pt idx="936">
                  <c:v>824</c:v>
                </c:pt>
                <c:pt idx="937">
                  <c:v>825</c:v>
                </c:pt>
                <c:pt idx="938">
                  <c:v>826</c:v>
                </c:pt>
                <c:pt idx="939">
                  <c:v>827</c:v>
                </c:pt>
                <c:pt idx="940">
                  <c:v>828</c:v>
                </c:pt>
                <c:pt idx="941">
                  <c:v>829</c:v>
                </c:pt>
                <c:pt idx="942">
                  <c:v>830</c:v>
                </c:pt>
                <c:pt idx="943">
                  <c:v>831</c:v>
                </c:pt>
                <c:pt idx="944">
                  <c:v>832</c:v>
                </c:pt>
                <c:pt idx="945">
                  <c:v>833</c:v>
                </c:pt>
                <c:pt idx="946">
                  <c:v>834</c:v>
                </c:pt>
                <c:pt idx="947">
                  <c:v>835</c:v>
                </c:pt>
                <c:pt idx="948">
                  <c:v>836</c:v>
                </c:pt>
                <c:pt idx="949">
                  <c:v>837</c:v>
                </c:pt>
                <c:pt idx="950">
                  <c:v>838</c:v>
                </c:pt>
                <c:pt idx="951">
                  <c:v>839</c:v>
                </c:pt>
                <c:pt idx="952">
                  <c:v>840</c:v>
                </c:pt>
                <c:pt idx="953">
                  <c:v>841</c:v>
                </c:pt>
                <c:pt idx="954">
                  <c:v>842</c:v>
                </c:pt>
                <c:pt idx="955">
                  <c:v>843</c:v>
                </c:pt>
                <c:pt idx="956">
                  <c:v>844</c:v>
                </c:pt>
                <c:pt idx="957">
                  <c:v>845</c:v>
                </c:pt>
                <c:pt idx="958">
                  <c:v>846</c:v>
                </c:pt>
                <c:pt idx="959">
                  <c:v>847</c:v>
                </c:pt>
                <c:pt idx="960">
                  <c:v>848</c:v>
                </c:pt>
                <c:pt idx="961">
                  <c:v>849</c:v>
                </c:pt>
                <c:pt idx="962">
                  <c:v>850</c:v>
                </c:pt>
                <c:pt idx="963">
                  <c:v>851</c:v>
                </c:pt>
                <c:pt idx="964">
                  <c:v>852</c:v>
                </c:pt>
                <c:pt idx="965">
                  <c:v>853</c:v>
                </c:pt>
                <c:pt idx="966">
                  <c:v>854</c:v>
                </c:pt>
                <c:pt idx="967">
                  <c:v>855</c:v>
                </c:pt>
                <c:pt idx="968">
                  <c:v>856</c:v>
                </c:pt>
                <c:pt idx="969">
                  <c:v>857</c:v>
                </c:pt>
                <c:pt idx="970">
                  <c:v>858</c:v>
                </c:pt>
                <c:pt idx="971">
                  <c:v>859</c:v>
                </c:pt>
                <c:pt idx="972">
                  <c:v>860</c:v>
                </c:pt>
                <c:pt idx="973">
                  <c:v>861</c:v>
                </c:pt>
                <c:pt idx="974">
                  <c:v>862</c:v>
                </c:pt>
                <c:pt idx="975">
                  <c:v>863</c:v>
                </c:pt>
                <c:pt idx="976">
                  <c:v>864</c:v>
                </c:pt>
                <c:pt idx="977">
                  <c:v>865</c:v>
                </c:pt>
                <c:pt idx="978">
                  <c:v>866</c:v>
                </c:pt>
                <c:pt idx="979">
                  <c:v>867</c:v>
                </c:pt>
                <c:pt idx="980">
                  <c:v>868</c:v>
                </c:pt>
                <c:pt idx="981">
                  <c:v>869</c:v>
                </c:pt>
                <c:pt idx="982">
                  <c:v>870</c:v>
                </c:pt>
                <c:pt idx="983">
                  <c:v>871</c:v>
                </c:pt>
                <c:pt idx="984">
                  <c:v>872</c:v>
                </c:pt>
                <c:pt idx="985">
                  <c:v>873</c:v>
                </c:pt>
                <c:pt idx="986">
                  <c:v>874</c:v>
                </c:pt>
                <c:pt idx="987">
                  <c:v>875</c:v>
                </c:pt>
                <c:pt idx="988">
                  <c:v>876</c:v>
                </c:pt>
                <c:pt idx="989">
                  <c:v>877</c:v>
                </c:pt>
                <c:pt idx="990">
                  <c:v>878</c:v>
                </c:pt>
                <c:pt idx="991">
                  <c:v>879</c:v>
                </c:pt>
                <c:pt idx="992">
                  <c:v>880</c:v>
                </c:pt>
                <c:pt idx="993">
                  <c:v>881</c:v>
                </c:pt>
                <c:pt idx="994">
                  <c:v>882</c:v>
                </c:pt>
                <c:pt idx="995">
                  <c:v>883</c:v>
                </c:pt>
                <c:pt idx="996">
                  <c:v>884</c:v>
                </c:pt>
                <c:pt idx="997">
                  <c:v>885</c:v>
                </c:pt>
                <c:pt idx="998">
                  <c:v>886</c:v>
                </c:pt>
                <c:pt idx="999">
                  <c:v>887</c:v>
                </c:pt>
                <c:pt idx="1000">
                  <c:v>888</c:v>
                </c:pt>
                <c:pt idx="1001">
                  <c:v>889</c:v>
                </c:pt>
                <c:pt idx="1002">
                  <c:v>890</c:v>
                </c:pt>
                <c:pt idx="1003">
                  <c:v>891</c:v>
                </c:pt>
                <c:pt idx="1004">
                  <c:v>892</c:v>
                </c:pt>
                <c:pt idx="1005">
                  <c:v>893</c:v>
                </c:pt>
                <c:pt idx="1006">
                  <c:v>894</c:v>
                </c:pt>
                <c:pt idx="1007">
                  <c:v>895</c:v>
                </c:pt>
                <c:pt idx="1008">
                  <c:v>896</c:v>
                </c:pt>
                <c:pt idx="1009">
                  <c:v>897</c:v>
                </c:pt>
                <c:pt idx="1010">
                  <c:v>898</c:v>
                </c:pt>
                <c:pt idx="1011">
                  <c:v>899</c:v>
                </c:pt>
                <c:pt idx="1012">
                  <c:v>900</c:v>
                </c:pt>
                <c:pt idx="1013">
                  <c:v>901</c:v>
                </c:pt>
                <c:pt idx="1014">
                  <c:v>902</c:v>
                </c:pt>
                <c:pt idx="1015">
                  <c:v>903</c:v>
                </c:pt>
                <c:pt idx="1016">
                  <c:v>904</c:v>
                </c:pt>
                <c:pt idx="1017">
                  <c:v>905</c:v>
                </c:pt>
                <c:pt idx="1018">
                  <c:v>906</c:v>
                </c:pt>
                <c:pt idx="1019">
                  <c:v>907</c:v>
                </c:pt>
                <c:pt idx="1020">
                  <c:v>908</c:v>
                </c:pt>
                <c:pt idx="1021">
                  <c:v>909</c:v>
                </c:pt>
                <c:pt idx="1022">
                  <c:v>910</c:v>
                </c:pt>
                <c:pt idx="1023">
                  <c:v>911</c:v>
                </c:pt>
                <c:pt idx="1024">
                  <c:v>912</c:v>
                </c:pt>
                <c:pt idx="1025">
                  <c:v>913</c:v>
                </c:pt>
                <c:pt idx="1026">
                  <c:v>914</c:v>
                </c:pt>
                <c:pt idx="1027">
                  <c:v>915</c:v>
                </c:pt>
                <c:pt idx="1028">
                  <c:v>916</c:v>
                </c:pt>
                <c:pt idx="1029">
                  <c:v>917</c:v>
                </c:pt>
                <c:pt idx="1030">
                  <c:v>918</c:v>
                </c:pt>
                <c:pt idx="1031">
                  <c:v>919</c:v>
                </c:pt>
                <c:pt idx="1032">
                  <c:v>920</c:v>
                </c:pt>
                <c:pt idx="1033">
                  <c:v>921</c:v>
                </c:pt>
                <c:pt idx="1034">
                  <c:v>922</c:v>
                </c:pt>
                <c:pt idx="1035">
                  <c:v>923</c:v>
                </c:pt>
                <c:pt idx="1036">
                  <c:v>924</c:v>
                </c:pt>
                <c:pt idx="1037">
                  <c:v>925</c:v>
                </c:pt>
                <c:pt idx="1038">
                  <c:v>926</c:v>
                </c:pt>
                <c:pt idx="1039">
                  <c:v>927</c:v>
                </c:pt>
                <c:pt idx="1040">
                  <c:v>928</c:v>
                </c:pt>
                <c:pt idx="1041">
                  <c:v>929</c:v>
                </c:pt>
                <c:pt idx="1042">
                  <c:v>930</c:v>
                </c:pt>
                <c:pt idx="1043">
                  <c:v>931</c:v>
                </c:pt>
                <c:pt idx="1044">
                  <c:v>932</c:v>
                </c:pt>
                <c:pt idx="1045">
                  <c:v>933</c:v>
                </c:pt>
                <c:pt idx="1046">
                  <c:v>934</c:v>
                </c:pt>
                <c:pt idx="1047">
                  <c:v>935</c:v>
                </c:pt>
                <c:pt idx="1048">
                  <c:v>936</c:v>
                </c:pt>
                <c:pt idx="1049">
                  <c:v>937</c:v>
                </c:pt>
                <c:pt idx="1050">
                  <c:v>938</c:v>
                </c:pt>
                <c:pt idx="1051">
                  <c:v>939</c:v>
                </c:pt>
                <c:pt idx="1052">
                  <c:v>940</c:v>
                </c:pt>
                <c:pt idx="1053">
                  <c:v>941</c:v>
                </c:pt>
                <c:pt idx="1054">
                  <c:v>942</c:v>
                </c:pt>
                <c:pt idx="1055">
                  <c:v>943</c:v>
                </c:pt>
                <c:pt idx="1056">
                  <c:v>944</c:v>
                </c:pt>
                <c:pt idx="1057">
                  <c:v>945</c:v>
                </c:pt>
                <c:pt idx="1058">
                  <c:v>946</c:v>
                </c:pt>
                <c:pt idx="1059">
                  <c:v>947</c:v>
                </c:pt>
                <c:pt idx="1060">
                  <c:v>948</c:v>
                </c:pt>
                <c:pt idx="1061">
                  <c:v>949</c:v>
                </c:pt>
                <c:pt idx="1062">
                  <c:v>950</c:v>
                </c:pt>
                <c:pt idx="1063">
                  <c:v>951</c:v>
                </c:pt>
                <c:pt idx="1064">
                  <c:v>952</c:v>
                </c:pt>
                <c:pt idx="1065">
                  <c:v>953</c:v>
                </c:pt>
                <c:pt idx="1066">
                  <c:v>954</c:v>
                </c:pt>
                <c:pt idx="1067">
                  <c:v>955</c:v>
                </c:pt>
                <c:pt idx="1068">
                  <c:v>956</c:v>
                </c:pt>
                <c:pt idx="1069">
                  <c:v>957</c:v>
                </c:pt>
                <c:pt idx="1070">
                  <c:v>958</c:v>
                </c:pt>
                <c:pt idx="1071">
                  <c:v>959</c:v>
                </c:pt>
                <c:pt idx="1072">
                  <c:v>960</c:v>
                </c:pt>
                <c:pt idx="1073">
                  <c:v>961</c:v>
                </c:pt>
                <c:pt idx="1074">
                  <c:v>962</c:v>
                </c:pt>
                <c:pt idx="1075">
                  <c:v>963</c:v>
                </c:pt>
                <c:pt idx="1076">
                  <c:v>964</c:v>
                </c:pt>
                <c:pt idx="1077">
                  <c:v>965</c:v>
                </c:pt>
                <c:pt idx="1078">
                  <c:v>966</c:v>
                </c:pt>
                <c:pt idx="1079">
                  <c:v>967</c:v>
                </c:pt>
                <c:pt idx="1080">
                  <c:v>968</c:v>
                </c:pt>
                <c:pt idx="1081">
                  <c:v>969</c:v>
                </c:pt>
                <c:pt idx="1082">
                  <c:v>970</c:v>
                </c:pt>
                <c:pt idx="1083">
                  <c:v>971</c:v>
                </c:pt>
                <c:pt idx="1084">
                  <c:v>972</c:v>
                </c:pt>
                <c:pt idx="1085">
                  <c:v>973</c:v>
                </c:pt>
                <c:pt idx="1086">
                  <c:v>974</c:v>
                </c:pt>
                <c:pt idx="1087">
                  <c:v>975</c:v>
                </c:pt>
                <c:pt idx="1088">
                  <c:v>976</c:v>
                </c:pt>
                <c:pt idx="1089">
                  <c:v>977</c:v>
                </c:pt>
                <c:pt idx="1090">
                  <c:v>978</c:v>
                </c:pt>
                <c:pt idx="1091">
                  <c:v>979</c:v>
                </c:pt>
                <c:pt idx="1092">
                  <c:v>980</c:v>
                </c:pt>
                <c:pt idx="1093">
                  <c:v>981</c:v>
                </c:pt>
                <c:pt idx="1094">
                  <c:v>982</c:v>
                </c:pt>
                <c:pt idx="1095">
                  <c:v>983</c:v>
                </c:pt>
                <c:pt idx="1096">
                  <c:v>984</c:v>
                </c:pt>
                <c:pt idx="1097">
                  <c:v>985</c:v>
                </c:pt>
                <c:pt idx="1098">
                  <c:v>986</c:v>
                </c:pt>
                <c:pt idx="1099">
                  <c:v>987</c:v>
                </c:pt>
                <c:pt idx="1100">
                  <c:v>988</c:v>
                </c:pt>
                <c:pt idx="1101">
                  <c:v>989</c:v>
                </c:pt>
                <c:pt idx="1102">
                  <c:v>990</c:v>
                </c:pt>
                <c:pt idx="1103">
                  <c:v>991</c:v>
                </c:pt>
                <c:pt idx="1104">
                  <c:v>992</c:v>
                </c:pt>
                <c:pt idx="1105">
                  <c:v>993</c:v>
                </c:pt>
                <c:pt idx="1106">
                  <c:v>994</c:v>
                </c:pt>
                <c:pt idx="1107">
                  <c:v>995</c:v>
                </c:pt>
                <c:pt idx="1108">
                  <c:v>996</c:v>
                </c:pt>
                <c:pt idx="1109">
                  <c:v>997</c:v>
                </c:pt>
                <c:pt idx="1110">
                  <c:v>998</c:v>
                </c:pt>
                <c:pt idx="1111">
                  <c:v>999</c:v>
                </c:pt>
                <c:pt idx="1112">
                  <c:v>1000</c:v>
                </c:pt>
                <c:pt idx="1113">
                  <c:v>1001</c:v>
                </c:pt>
                <c:pt idx="1114">
                  <c:v>1002</c:v>
                </c:pt>
                <c:pt idx="1115">
                  <c:v>1003</c:v>
                </c:pt>
                <c:pt idx="1116">
                  <c:v>1004</c:v>
                </c:pt>
                <c:pt idx="1117">
                  <c:v>1005</c:v>
                </c:pt>
                <c:pt idx="1118">
                  <c:v>1006</c:v>
                </c:pt>
                <c:pt idx="1119">
                  <c:v>1007</c:v>
                </c:pt>
                <c:pt idx="1120">
                  <c:v>1008</c:v>
                </c:pt>
                <c:pt idx="1121">
                  <c:v>1009</c:v>
                </c:pt>
                <c:pt idx="1122">
                  <c:v>1010</c:v>
                </c:pt>
                <c:pt idx="1123">
                  <c:v>1011</c:v>
                </c:pt>
                <c:pt idx="1124">
                  <c:v>1012</c:v>
                </c:pt>
                <c:pt idx="1125">
                  <c:v>1013</c:v>
                </c:pt>
                <c:pt idx="1126">
                  <c:v>1014</c:v>
                </c:pt>
                <c:pt idx="1127">
                  <c:v>1015</c:v>
                </c:pt>
                <c:pt idx="1128">
                  <c:v>1016</c:v>
                </c:pt>
                <c:pt idx="1129">
                  <c:v>1017</c:v>
                </c:pt>
                <c:pt idx="1130">
                  <c:v>1018</c:v>
                </c:pt>
                <c:pt idx="1131">
                  <c:v>1019</c:v>
                </c:pt>
                <c:pt idx="1132">
                  <c:v>1020</c:v>
                </c:pt>
                <c:pt idx="1133">
                  <c:v>1021</c:v>
                </c:pt>
                <c:pt idx="1134">
                  <c:v>1022</c:v>
                </c:pt>
                <c:pt idx="1135">
                  <c:v>1023</c:v>
                </c:pt>
                <c:pt idx="1136">
                  <c:v>1024</c:v>
                </c:pt>
                <c:pt idx="1137">
                  <c:v>1025</c:v>
                </c:pt>
                <c:pt idx="1138">
                  <c:v>1026</c:v>
                </c:pt>
                <c:pt idx="1139">
                  <c:v>1027</c:v>
                </c:pt>
                <c:pt idx="1140">
                  <c:v>1028</c:v>
                </c:pt>
                <c:pt idx="1141">
                  <c:v>1029</c:v>
                </c:pt>
                <c:pt idx="1142">
                  <c:v>1030</c:v>
                </c:pt>
                <c:pt idx="1143">
                  <c:v>1031</c:v>
                </c:pt>
                <c:pt idx="1144">
                  <c:v>1032</c:v>
                </c:pt>
                <c:pt idx="1145">
                  <c:v>1033</c:v>
                </c:pt>
                <c:pt idx="1146">
                  <c:v>1034</c:v>
                </c:pt>
                <c:pt idx="1147">
                  <c:v>1035</c:v>
                </c:pt>
                <c:pt idx="1148">
                  <c:v>1036</c:v>
                </c:pt>
                <c:pt idx="1149">
                  <c:v>1037</c:v>
                </c:pt>
                <c:pt idx="1150">
                  <c:v>1038</c:v>
                </c:pt>
                <c:pt idx="1151">
                  <c:v>1039</c:v>
                </c:pt>
                <c:pt idx="1152">
                  <c:v>1040</c:v>
                </c:pt>
                <c:pt idx="1153">
                  <c:v>1041</c:v>
                </c:pt>
                <c:pt idx="1154">
                  <c:v>1042</c:v>
                </c:pt>
                <c:pt idx="1155">
                  <c:v>1043</c:v>
                </c:pt>
                <c:pt idx="1156">
                  <c:v>1044</c:v>
                </c:pt>
                <c:pt idx="1157">
                  <c:v>1045</c:v>
                </c:pt>
                <c:pt idx="1158">
                  <c:v>1046</c:v>
                </c:pt>
                <c:pt idx="1159">
                  <c:v>1047</c:v>
                </c:pt>
                <c:pt idx="1160">
                  <c:v>1048</c:v>
                </c:pt>
                <c:pt idx="1161">
                  <c:v>1049</c:v>
                </c:pt>
                <c:pt idx="1162">
                  <c:v>1050</c:v>
                </c:pt>
                <c:pt idx="1163">
                  <c:v>1051</c:v>
                </c:pt>
                <c:pt idx="1164">
                  <c:v>1052</c:v>
                </c:pt>
                <c:pt idx="1165">
                  <c:v>1053</c:v>
                </c:pt>
                <c:pt idx="1166">
                  <c:v>1054</c:v>
                </c:pt>
                <c:pt idx="1167">
                  <c:v>1055</c:v>
                </c:pt>
                <c:pt idx="1168">
                  <c:v>1056</c:v>
                </c:pt>
                <c:pt idx="1169">
                  <c:v>1057</c:v>
                </c:pt>
                <c:pt idx="1170">
                  <c:v>1058</c:v>
                </c:pt>
                <c:pt idx="1171">
                  <c:v>1059</c:v>
                </c:pt>
                <c:pt idx="1172">
                  <c:v>1060</c:v>
                </c:pt>
                <c:pt idx="1173">
                  <c:v>1061</c:v>
                </c:pt>
                <c:pt idx="1174">
                  <c:v>1062</c:v>
                </c:pt>
                <c:pt idx="1175">
                  <c:v>1063</c:v>
                </c:pt>
                <c:pt idx="1176">
                  <c:v>1064</c:v>
                </c:pt>
                <c:pt idx="1177">
                  <c:v>1065</c:v>
                </c:pt>
                <c:pt idx="1178">
                  <c:v>1066</c:v>
                </c:pt>
                <c:pt idx="1179">
                  <c:v>1067</c:v>
                </c:pt>
                <c:pt idx="1180">
                  <c:v>1068</c:v>
                </c:pt>
                <c:pt idx="1181">
                  <c:v>1069</c:v>
                </c:pt>
                <c:pt idx="1182">
                  <c:v>1070</c:v>
                </c:pt>
                <c:pt idx="1183">
                  <c:v>1071</c:v>
                </c:pt>
                <c:pt idx="1184">
                  <c:v>1072</c:v>
                </c:pt>
                <c:pt idx="1185">
                  <c:v>1073</c:v>
                </c:pt>
                <c:pt idx="1186">
                  <c:v>1074</c:v>
                </c:pt>
                <c:pt idx="1187">
                  <c:v>1075</c:v>
                </c:pt>
                <c:pt idx="1188">
                  <c:v>1076</c:v>
                </c:pt>
                <c:pt idx="1189">
                  <c:v>1077</c:v>
                </c:pt>
                <c:pt idx="1190">
                  <c:v>1078</c:v>
                </c:pt>
                <c:pt idx="1191">
                  <c:v>1079</c:v>
                </c:pt>
                <c:pt idx="1192">
                  <c:v>1080</c:v>
                </c:pt>
                <c:pt idx="1193">
                  <c:v>1081</c:v>
                </c:pt>
                <c:pt idx="1194">
                  <c:v>1082</c:v>
                </c:pt>
                <c:pt idx="1195">
                  <c:v>1083</c:v>
                </c:pt>
                <c:pt idx="1196">
                  <c:v>1084</c:v>
                </c:pt>
                <c:pt idx="1197">
                  <c:v>1085</c:v>
                </c:pt>
                <c:pt idx="1198">
                  <c:v>1086</c:v>
                </c:pt>
                <c:pt idx="1199">
                  <c:v>1087</c:v>
                </c:pt>
                <c:pt idx="1200">
                  <c:v>1088</c:v>
                </c:pt>
                <c:pt idx="1201">
                  <c:v>1089</c:v>
                </c:pt>
                <c:pt idx="1202">
                  <c:v>1090</c:v>
                </c:pt>
                <c:pt idx="1203">
                  <c:v>1091</c:v>
                </c:pt>
                <c:pt idx="1204">
                  <c:v>1092</c:v>
                </c:pt>
                <c:pt idx="1205">
                  <c:v>1093</c:v>
                </c:pt>
                <c:pt idx="1206">
                  <c:v>1094</c:v>
                </c:pt>
                <c:pt idx="1207">
                  <c:v>1095</c:v>
                </c:pt>
                <c:pt idx="1208">
                  <c:v>1096</c:v>
                </c:pt>
                <c:pt idx="1209">
                  <c:v>1097</c:v>
                </c:pt>
                <c:pt idx="1210">
                  <c:v>1098</c:v>
                </c:pt>
                <c:pt idx="1211">
                  <c:v>1099</c:v>
                </c:pt>
                <c:pt idx="1212">
                  <c:v>1100</c:v>
                </c:pt>
                <c:pt idx="1213">
                  <c:v>1101</c:v>
                </c:pt>
                <c:pt idx="1214">
                  <c:v>1102</c:v>
                </c:pt>
                <c:pt idx="1215">
                  <c:v>1103</c:v>
                </c:pt>
                <c:pt idx="1216">
                  <c:v>1104</c:v>
                </c:pt>
                <c:pt idx="1217">
                  <c:v>1105</c:v>
                </c:pt>
                <c:pt idx="1218">
                  <c:v>1106</c:v>
                </c:pt>
                <c:pt idx="1219">
                  <c:v>1107</c:v>
                </c:pt>
                <c:pt idx="1220">
                  <c:v>1108</c:v>
                </c:pt>
                <c:pt idx="1221">
                  <c:v>1109</c:v>
                </c:pt>
                <c:pt idx="1222">
                  <c:v>1110</c:v>
                </c:pt>
                <c:pt idx="1223">
                  <c:v>1111</c:v>
                </c:pt>
                <c:pt idx="1224">
                  <c:v>1112</c:v>
                </c:pt>
                <c:pt idx="1225">
                  <c:v>1113</c:v>
                </c:pt>
                <c:pt idx="1226">
                  <c:v>1114</c:v>
                </c:pt>
                <c:pt idx="1227">
                  <c:v>1115</c:v>
                </c:pt>
                <c:pt idx="1228">
                  <c:v>1116</c:v>
                </c:pt>
                <c:pt idx="1229">
                  <c:v>1117</c:v>
                </c:pt>
                <c:pt idx="1230">
                  <c:v>1118</c:v>
                </c:pt>
                <c:pt idx="1231">
                  <c:v>1119</c:v>
                </c:pt>
                <c:pt idx="1232">
                  <c:v>1120</c:v>
                </c:pt>
                <c:pt idx="1233">
                  <c:v>1121</c:v>
                </c:pt>
                <c:pt idx="1234">
                  <c:v>1122</c:v>
                </c:pt>
                <c:pt idx="1235">
                  <c:v>1123</c:v>
                </c:pt>
                <c:pt idx="1236">
                  <c:v>1124</c:v>
                </c:pt>
                <c:pt idx="1237">
                  <c:v>1125</c:v>
                </c:pt>
                <c:pt idx="1238">
                  <c:v>1126</c:v>
                </c:pt>
                <c:pt idx="1239">
                  <c:v>1127</c:v>
                </c:pt>
                <c:pt idx="1240">
                  <c:v>1128</c:v>
                </c:pt>
                <c:pt idx="1241">
                  <c:v>1129</c:v>
                </c:pt>
                <c:pt idx="1242">
                  <c:v>1130</c:v>
                </c:pt>
                <c:pt idx="1243">
                  <c:v>1131</c:v>
                </c:pt>
                <c:pt idx="1244">
                  <c:v>1132</c:v>
                </c:pt>
                <c:pt idx="1245">
                  <c:v>1133</c:v>
                </c:pt>
                <c:pt idx="1246">
                  <c:v>1134</c:v>
                </c:pt>
                <c:pt idx="1247">
                  <c:v>1135</c:v>
                </c:pt>
                <c:pt idx="1248">
                  <c:v>1136</c:v>
                </c:pt>
                <c:pt idx="1249">
                  <c:v>1137</c:v>
                </c:pt>
                <c:pt idx="1250">
                  <c:v>1138</c:v>
                </c:pt>
                <c:pt idx="1251">
                  <c:v>1139</c:v>
                </c:pt>
                <c:pt idx="1252">
                  <c:v>1140</c:v>
                </c:pt>
                <c:pt idx="1253">
                  <c:v>1141</c:v>
                </c:pt>
                <c:pt idx="1254">
                  <c:v>1142</c:v>
                </c:pt>
                <c:pt idx="1255">
                  <c:v>1143</c:v>
                </c:pt>
                <c:pt idx="1256">
                  <c:v>1144</c:v>
                </c:pt>
                <c:pt idx="1257">
                  <c:v>1145</c:v>
                </c:pt>
                <c:pt idx="1258">
                  <c:v>1146</c:v>
                </c:pt>
                <c:pt idx="1259">
                  <c:v>1147</c:v>
                </c:pt>
                <c:pt idx="1260">
                  <c:v>1148</c:v>
                </c:pt>
                <c:pt idx="1261">
                  <c:v>1149</c:v>
                </c:pt>
                <c:pt idx="1262">
                  <c:v>1150</c:v>
                </c:pt>
                <c:pt idx="1263">
                  <c:v>1151</c:v>
                </c:pt>
                <c:pt idx="1264">
                  <c:v>1152</c:v>
                </c:pt>
                <c:pt idx="1265">
                  <c:v>1153</c:v>
                </c:pt>
                <c:pt idx="1266">
                  <c:v>1154</c:v>
                </c:pt>
                <c:pt idx="1267">
                  <c:v>1155</c:v>
                </c:pt>
                <c:pt idx="1268">
                  <c:v>1156</c:v>
                </c:pt>
                <c:pt idx="1269">
                  <c:v>1157</c:v>
                </c:pt>
                <c:pt idx="1270">
                  <c:v>1158</c:v>
                </c:pt>
                <c:pt idx="1271">
                  <c:v>1159</c:v>
                </c:pt>
                <c:pt idx="1272">
                  <c:v>1160</c:v>
                </c:pt>
                <c:pt idx="1273">
                  <c:v>1161</c:v>
                </c:pt>
                <c:pt idx="1274">
                  <c:v>1162</c:v>
                </c:pt>
                <c:pt idx="1275">
                  <c:v>1163</c:v>
                </c:pt>
                <c:pt idx="1276">
                  <c:v>1164</c:v>
                </c:pt>
                <c:pt idx="1277">
                  <c:v>1165</c:v>
                </c:pt>
                <c:pt idx="1278">
                  <c:v>1166</c:v>
                </c:pt>
                <c:pt idx="1279">
                  <c:v>1167</c:v>
                </c:pt>
                <c:pt idx="1280">
                  <c:v>1168</c:v>
                </c:pt>
                <c:pt idx="1281">
                  <c:v>1169</c:v>
                </c:pt>
                <c:pt idx="1282">
                  <c:v>1170</c:v>
                </c:pt>
                <c:pt idx="1283">
                  <c:v>1171</c:v>
                </c:pt>
                <c:pt idx="1284">
                  <c:v>1172</c:v>
                </c:pt>
                <c:pt idx="1285">
                  <c:v>1173</c:v>
                </c:pt>
                <c:pt idx="1286">
                  <c:v>1174</c:v>
                </c:pt>
                <c:pt idx="1287">
                  <c:v>1175</c:v>
                </c:pt>
                <c:pt idx="1288">
                  <c:v>1176</c:v>
                </c:pt>
                <c:pt idx="1289">
                  <c:v>1177</c:v>
                </c:pt>
                <c:pt idx="1290">
                  <c:v>1178</c:v>
                </c:pt>
                <c:pt idx="1291">
                  <c:v>1179</c:v>
                </c:pt>
                <c:pt idx="1292">
                  <c:v>1180</c:v>
                </c:pt>
                <c:pt idx="1293">
                  <c:v>1181</c:v>
                </c:pt>
                <c:pt idx="1294">
                  <c:v>1182</c:v>
                </c:pt>
                <c:pt idx="1295">
                  <c:v>1183</c:v>
                </c:pt>
                <c:pt idx="1296">
                  <c:v>1184</c:v>
                </c:pt>
                <c:pt idx="1297">
                  <c:v>1185</c:v>
                </c:pt>
                <c:pt idx="1298">
                  <c:v>1186</c:v>
                </c:pt>
                <c:pt idx="1299">
                  <c:v>1187</c:v>
                </c:pt>
                <c:pt idx="1300">
                  <c:v>1188</c:v>
                </c:pt>
                <c:pt idx="1301">
                  <c:v>1189</c:v>
                </c:pt>
                <c:pt idx="1302">
                  <c:v>1190</c:v>
                </c:pt>
                <c:pt idx="1303">
                  <c:v>1191</c:v>
                </c:pt>
                <c:pt idx="1304">
                  <c:v>1192</c:v>
                </c:pt>
                <c:pt idx="1305">
                  <c:v>1193</c:v>
                </c:pt>
                <c:pt idx="1306">
                  <c:v>1194</c:v>
                </c:pt>
                <c:pt idx="1307">
                  <c:v>1195</c:v>
                </c:pt>
                <c:pt idx="1308">
                  <c:v>1196</c:v>
                </c:pt>
                <c:pt idx="1309">
                  <c:v>1197</c:v>
                </c:pt>
                <c:pt idx="1310">
                  <c:v>1198</c:v>
                </c:pt>
                <c:pt idx="1311">
                  <c:v>1199</c:v>
                </c:pt>
                <c:pt idx="1312">
                  <c:v>1200</c:v>
                </c:pt>
                <c:pt idx="1313">
                  <c:v>1201</c:v>
                </c:pt>
                <c:pt idx="1314">
                  <c:v>1202</c:v>
                </c:pt>
                <c:pt idx="1315">
                  <c:v>1203</c:v>
                </c:pt>
                <c:pt idx="1316">
                  <c:v>1204</c:v>
                </c:pt>
                <c:pt idx="1317">
                  <c:v>1205</c:v>
                </c:pt>
                <c:pt idx="1318">
                  <c:v>1206</c:v>
                </c:pt>
                <c:pt idx="1319">
                  <c:v>1207</c:v>
                </c:pt>
                <c:pt idx="1320">
                  <c:v>1208</c:v>
                </c:pt>
                <c:pt idx="1321">
                  <c:v>1209</c:v>
                </c:pt>
                <c:pt idx="1322">
                  <c:v>1210</c:v>
                </c:pt>
                <c:pt idx="1323">
                  <c:v>1211</c:v>
                </c:pt>
                <c:pt idx="1324">
                  <c:v>1212</c:v>
                </c:pt>
                <c:pt idx="1325">
                  <c:v>1213</c:v>
                </c:pt>
                <c:pt idx="1326">
                  <c:v>1214</c:v>
                </c:pt>
                <c:pt idx="1327">
                  <c:v>1215</c:v>
                </c:pt>
                <c:pt idx="1328">
                  <c:v>1216</c:v>
                </c:pt>
                <c:pt idx="1329">
                  <c:v>1217</c:v>
                </c:pt>
                <c:pt idx="1330">
                  <c:v>1218</c:v>
                </c:pt>
                <c:pt idx="1331">
                  <c:v>1219</c:v>
                </c:pt>
                <c:pt idx="1332">
                  <c:v>1220</c:v>
                </c:pt>
                <c:pt idx="1333">
                  <c:v>1221</c:v>
                </c:pt>
                <c:pt idx="1334">
                  <c:v>1222</c:v>
                </c:pt>
                <c:pt idx="1335">
                  <c:v>1223</c:v>
                </c:pt>
                <c:pt idx="1336">
                  <c:v>1224</c:v>
                </c:pt>
                <c:pt idx="1337">
                  <c:v>1225</c:v>
                </c:pt>
                <c:pt idx="1338">
                  <c:v>1226</c:v>
                </c:pt>
                <c:pt idx="1339">
                  <c:v>1227</c:v>
                </c:pt>
                <c:pt idx="1340">
                  <c:v>1228</c:v>
                </c:pt>
                <c:pt idx="1341">
                  <c:v>1229</c:v>
                </c:pt>
                <c:pt idx="1342">
                  <c:v>1230</c:v>
                </c:pt>
                <c:pt idx="1343">
                  <c:v>1231</c:v>
                </c:pt>
                <c:pt idx="1344">
                  <c:v>1232</c:v>
                </c:pt>
                <c:pt idx="1345">
                  <c:v>1233</c:v>
                </c:pt>
                <c:pt idx="1346">
                  <c:v>1234</c:v>
                </c:pt>
                <c:pt idx="1347">
                  <c:v>1235</c:v>
                </c:pt>
                <c:pt idx="1348">
                  <c:v>1236</c:v>
                </c:pt>
                <c:pt idx="1349">
                  <c:v>1237</c:v>
                </c:pt>
                <c:pt idx="1350">
                  <c:v>1238</c:v>
                </c:pt>
                <c:pt idx="1351">
                  <c:v>1239</c:v>
                </c:pt>
                <c:pt idx="1352">
                  <c:v>1240</c:v>
                </c:pt>
                <c:pt idx="1353">
                  <c:v>1241</c:v>
                </c:pt>
                <c:pt idx="1354">
                  <c:v>1242</c:v>
                </c:pt>
                <c:pt idx="1355">
                  <c:v>1243</c:v>
                </c:pt>
                <c:pt idx="1356">
                  <c:v>1244</c:v>
                </c:pt>
                <c:pt idx="1357">
                  <c:v>1245</c:v>
                </c:pt>
                <c:pt idx="1358">
                  <c:v>1246</c:v>
                </c:pt>
                <c:pt idx="1359">
                  <c:v>1247</c:v>
                </c:pt>
                <c:pt idx="1360">
                  <c:v>1248</c:v>
                </c:pt>
                <c:pt idx="1361">
                  <c:v>1249</c:v>
                </c:pt>
                <c:pt idx="1362">
                  <c:v>1250</c:v>
                </c:pt>
                <c:pt idx="1363">
                  <c:v>1251</c:v>
                </c:pt>
                <c:pt idx="1364">
                  <c:v>1252</c:v>
                </c:pt>
                <c:pt idx="1365">
                  <c:v>1253</c:v>
                </c:pt>
                <c:pt idx="1366">
                  <c:v>1254</c:v>
                </c:pt>
                <c:pt idx="1367">
                  <c:v>1255</c:v>
                </c:pt>
                <c:pt idx="1368">
                  <c:v>1256</c:v>
                </c:pt>
                <c:pt idx="1369">
                  <c:v>1257</c:v>
                </c:pt>
                <c:pt idx="1370">
                  <c:v>1258</c:v>
                </c:pt>
                <c:pt idx="1371">
                  <c:v>1259</c:v>
                </c:pt>
                <c:pt idx="1372">
                  <c:v>1260</c:v>
                </c:pt>
                <c:pt idx="1373">
                  <c:v>1261</c:v>
                </c:pt>
                <c:pt idx="1374">
                  <c:v>1262</c:v>
                </c:pt>
                <c:pt idx="1375">
                  <c:v>1263</c:v>
                </c:pt>
                <c:pt idx="1376">
                  <c:v>1264</c:v>
                </c:pt>
                <c:pt idx="1377">
                  <c:v>1265</c:v>
                </c:pt>
                <c:pt idx="1378">
                  <c:v>1266</c:v>
                </c:pt>
                <c:pt idx="1379">
                  <c:v>1267</c:v>
                </c:pt>
                <c:pt idx="1380">
                  <c:v>1268</c:v>
                </c:pt>
                <c:pt idx="1381">
                  <c:v>1269</c:v>
                </c:pt>
                <c:pt idx="1382">
                  <c:v>1270</c:v>
                </c:pt>
                <c:pt idx="1383">
                  <c:v>1271</c:v>
                </c:pt>
                <c:pt idx="1384">
                  <c:v>1272</c:v>
                </c:pt>
                <c:pt idx="1385">
                  <c:v>1273</c:v>
                </c:pt>
                <c:pt idx="1386">
                  <c:v>1274</c:v>
                </c:pt>
                <c:pt idx="1387">
                  <c:v>1275</c:v>
                </c:pt>
                <c:pt idx="1388">
                  <c:v>1276</c:v>
                </c:pt>
                <c:pt idx="1389">
                  <c:v>1277</c:v>
                </c:pt>
                <c:pt idx="1390">
                  <c:v>1278</c:v>
                </c:pt>
                <c:pt idx="1391">
                  <c:v>1279</c:v>
                </c:pt>
                <c:pt idx="1392">
                  <c:v>1280</c:v>
                </c:pt>
                <c:pt idx="1393">
                  <c:v>1281</c:v>
                </c:pt>
                <c:pt idx="1394">
                  <c:v>1282</c:v>
                </c:pt>
                <c:pt idx="1395">
                  <c:v>1283</c:v>
                </c:pt>
                <c:pt idx="1396">
                  <c:v>1284</c:v>
                </c:pt>
                <c:pt idx="1397">
                  <c:v>1285</c:v>
                </c:pt>
                <c:pt idx="1398">
                  <c:v>1286</c:v>
                </c:pt>
                <c:pt idx="1399">
                  <c:v>1287</c:v>
                </c:pt>
                <c:pt idx="1400">
                  <c:v>1288</c:v>
                </c:pt>
                <c:pt idx="1401">
                  <c:v>1289</c:v>
                </c:pt>
                <c:pt idx="1402">
                  <c:v>1290</c:v>
                </c:pt>
                <c:pt idx="1403">
                  <c:v>1291</c:v>
                </c:pt>
                <c:pt idx="1404">
                  <c:v>1292</c:v>
                </c:pt>
                <c:pt idx="1405">
                  <c:v>1293</c:v>
                </c:pt>
                <c:pt idx="1406">
                  <c:v>1294</c:v>
                </c:pt>
                <c:pt idx="1407">
                  <c:v>1295</c:v>
                </c:pt>
                <c:pt idx="1408">
                  <c:v>1296</c:v>
                </c:pt>
                <c:pt idx="1409">
                  <c:v>1297</c:v>
                </c:pt>
                <c:pt idx="1410">
                  <c:v>1298</c:v>
                </c:pt>
                <c:pt idx="1411">
                  <c:v>1299</c:v>
                </c:pt>
                <c:pt idx="1412">
                  <c:v>1300</c:v>
                </c:pt>
                <c:pt idx="1413">
                  <c:v>1301</c:v>
                </c:pt>
                <c:pt idx="1414">
                  <c:v>1302</c:v>
                </c:pt>
                <c:pt idx="1415">
                  <c:v>1303</c:v>
                </c:pt>
                <c:pt idx="1416">
                  <c:v>1304</c:v>
                </c:pt>
                <c:pt idx="1417">
                  <c:v>1305</c:v>
                </c:pt>
                <c:pt idx="1418">
                  <c:v>1306</c:v>
                </c:pt>
                <c:pt idx="1419">
                  <c:v>1307</c:v>
                </c:pt>
                <c:pt idx="1420">
                  <c:v>1308</c:v>
                </c:pt>
                <c:pt idx="1421">
                  <c:v>1309</c:v>
                </c:pt>
                <c:pt idx="1422">
                  <c:v>1310</c:v>
                </c:pt>
                <c:pt idx="1423">
                  <c:v>1311</c:v>
                </c:pt>
                <c:pt idx="1424">
                  <c:v>1312</c:v>
                </c:pt>
                <c:pt idx="1425">
                  <c:v>1313</c:v>
                </c:pt>
                <c:pt idx="1426">
                  <c:v>1314</c:v>
                </c:pt>
                <c:pt idx="1427">
                  <c:v>1315</c:v>
                </c:pt>
                <c:pt idx="1428">
                  <c:v>1316</c:v>
                </c:pt>
                <c:pt idx="1429">
                  <c:v>1317</c:v>
                </c:pt>
                <c:pt idx="1430">
                  <c:v>1318</c:v>
                </c:pt>
                <c:pt idx="1431">
                  <c:v>1319</c:v>
                </c:pt>
                <c:pt idx="1432">
                  <c:v>1320</c:v>
                </c:pt>
                <c:pt idx="1433">
                  <c:v>1321</c:v>
                </c:pt>
                <c:pt idx="1434">
                  <c:v>1322</c:v>
                </c:pt>
                <c:pt idx="1435">
                  <c:v>1323</c:v>
                </c:pt>
                <c:pt idx="1436">
                  <c:v>1324</c:v>
                </c:pt>
                <c:pt idx="1437">
                  <c:v>1325</c:v>
                </c:pt>
                <c:pt idx="1438">
                  <c:v>1326</c:v>
                </c:pt>
                <c:pt idx="1439">
                  <c:v>1327</c:v>
                </c:pt>
                <c:pt idx="1440">
                  <c:v>1328</c:v>
                </c:pt>
                <c:pt idx="1441">
                  <c:v>1329</c:v>
                </c:pt>
                <c:pt idx="1442">
                  <c:v>1330</c:v>
                </c:pt>
                <c:pt idx="1443">
                  <c:v>1331</c:v>
                </c:pt>
                <c:pt idx="1444">
                  <c:v>1332</c:v>
                </c:pt>
                <c:pt idx="1445">
                  <c:v>1333</c:v>
                </c:pt>
                <c:pt idx="1446">
                  <c:v>1334</c:v>
                </c:pt>
                <c:pt idx="1447">
                  <c:v>1335</c:v>
                </c:pt>
                <c:pt idx="1448">
                  <c:v>1336</c:v>
                </c:pt>
                <c:pt idx="1449">
                  <c:v>1337</c:v>
                </c:pt>
                <c:pt idx="1450">
                  <c:v>1338</c:v>
                </c:pt>
                <c:pt idx="1451">
                  <c:v>1339</c:v>
                </c:pt>
                <c:pt idx="1452">
                  <c:v>1340</c:v>
                </c:pt>
                <c:pt idx="1453">
                  <c:v>1341</c:v>
                </c:pt>
                <c:pt idx="1454">
                  <c:v>1342</c:v>
                </c:pt>
                <c:pt idx="1455">
                  <c:v>1343</c:v>
                </c:pt>
                <c:pt idx="1456">
                  <c:v>1344</c:v>
                </c:pt>
                <c:pt idx="1457">
                  <c:v>1345</c:v>
                </c:pt>
                <c:pt idx="1458">
                  <c:v>1346</c:v>
                </c:pt>
                <c:pt idx="1459">
                  <c:v>1347</c:v>
                </c:pt>
                <c:pt idx="1460">
                  <c:v>1348</c:v>
                </c:pt>
                <c:pt idx="1461">
                  <c:v>1349</c:v>
                </c:pt>
                <c:pt idx="1462">
                  <c:v>1350</c:v>
                </c:pt>
                <c:pt idx="1463">
                  <c:v>1351</c:v>
                </c:pt>
                <c:pt idx="1464">
                  <c:v>1352</c:v>
                </c:pt>
                <c:pt idx="1465">
                  <c:v>1353</c:v>
                </c:pt>
                <c:pt idx="1466">
                  <c:v>1354</c:v>
                </c:pt>
                <c:pt idx="1467">
                  <c:v>1355</c:v>
                </c:pt>
                <c:pt idx="1468">
                  <c:v>1356</c:v>
                </c:pt>
                <c:pt idx="1469">
                  <c:v>1357</c:v>
                </c:pt>
                <c:pt idx="1470">
                  <c:v>1358</c:v>
                </c:pt>
                <c:pt idx="1471">
                  <c:v>1359</c:v>
                </c:pt>
                <c:pt idx="1472">
                  <c:v>1360</c:v>
                </c:pt>
                <c:pt idx="1473">
                  <c:v>1361</c:v>
                </c:pt>
                <c:pt idx="1474">
                  <c:v>1362</c:v>
                </c:pt>
                <c:pt idx="1475">
                  <c:v>1363</c:v>
                </c:pt>
                <c:pt idx="1476">
                  <c:v>1364</c:v>
                </c:pt>
                <c:pt idx="1477">
                  <c:v>1365</c:v>
                </c:pt>
                <c:pt idx="1478">
                  <c:v>1366</c:v>
                </c:pt>
                <c:pt idx="1479">
                  <c:v>1367</c:v>
                </c:pt>
                <c:pt idx="1480">
                  <c:v>1368</c:v>
                </c:pt>
                <c:pt idx="1481">
                  <c:v>1369</c:v>
                </c:pt>
                <c:pt idx="1482">
                  <c:v>1370</c:v>
                </c:pt>
                <c:pt idx="1483">
                  <c:v>1371</c:v>
                </c:pt>
                <c:pt idx="1484">
                  <c:v>1372</c:v>
                </c:pt>
                <c:pt idx="1485">
                  <c:v>1373</c:v>
                </c:pt>
                <c:pt idx="1486">
                  <c:v>1374</c:v>
                </c:pt>
                <c:pt idx="1487">
                  <c:v>1375</c:v>
                </c:pt>
                <c:pt idx="1488">
                  <c:v>1376</c:v>
                </c:pt>
                <c:pt idx="1489">
                  <c:v>1377</c:v>
                </c:pt>
                <c:pt idx="1490">
                  <c:v>1378</c:v>
                </c:pt>
                <c:pt idx="1491">
                  <c:v>1379</c:v>
                </c:pt>
                <c:pt idx="1492">
                  <c:v>1380</c:v>
                </c:pt>
                <c:pt idx="1493">
                  <c:v>1381</c:v>
                </c:pt>
                <c:pt idx="1494">
                  <c:v>1382</c:v>
                </c:pt>
                <c:pt idx="1495">
                  <c:v>1383</c:v>
                </c:pt>
                <c:pt idx="1496">
                  <c:v>1384</c:v>
                </c:pt>
                <c:pt idx="1497">
                  <c:v>1385</c:v>
                </c:pt>
                <c:pt idx="1498">
                  <c:v>1386</c:v>
                </c:pt>
                <c:pt idx="1499">
                  <c:v>1387</c:v>
                </c:pt>
                <c:pt idx="1500">
                  <c:v>1388</c:v>
                </c:pt>
                <c:pt idx="1501">
                  <c:v>1389</c:v>
                </c:pt>
                <c:pt idx="1502">
                  <c:v>1390</c:v>
                </c:pt>
                <c:pt idx="1503">
                  <c:v>1391</c:v>
                </c:pt>
                <c:pt idx="1504">
                  <c:v>1392</c:v>
                </c:pt>
                <c:pt idx="1505">
                  <c:v>1393</c:v>
                </c:pt>
                <c:pt idx="1506">
                  <c:v>1394</c:v>
                </c:pt>
                <c:pt idx="1507">
                  <c:v>1395</c:v>
                </c:pt>
                <c:pt idx="1508">
                  <c:v>1396</c:v>
                </c:pt>
                <c:pt idx="1509">
                  <c:v>1397</c:v>
                </c:pt>
                <c:pt idx="1510">
                  <c:v>1398</c:v>
                </c:pt>
                <c:pt idx="1511">
                  <c:v>1399</c:v>
                </c:pt>
                <c:pt idx="1512">
                  <c:v>1400</c:v>
                </c:pt>
                <c:pt idx="1513">
                  <c:v>1401</c:v>
                </c:pt>
                <c:pt idx="1514">
                  <c:v>1402</c:v>
                </c:pt>
                <c:pt idx="1515">
                  <c:v>1403</c:v>
                </c:pt>
                <c:pt idx="1516">
                  <c:v>1404</c:v>
                </c:pt>
                <c:pt idx="1517">
                  <c:v>1405</c:v>
                </c:pt>
                <c:pt idx="1518">
                  <c:v>1406</c:v>
                </c:pt>
                <c:pt idx="1519">
                  <c:v>1407</c:v>
                </c:pt>
                <c:pt idx="1520">
                  <c:v>1408</c:v>
                </c:pt>
                <c:pt idx="1521">
                  <c:v>1409</c:v>
                </c:pt>
                <c:pt idx="1522">
                  <c:v>1410</c:v>
                </c:pt>
                <c:pt idx="1523">
                  <c:v>1411</c:v>
                </c:pt>
                <c:pt idx="1524">
                  <c:v>1412</c:v>
                </c:pt>
                <c:pt idx="1525">
                  <c:v>1413</c:v>
                </c:pt>
                <c:pt idx="1526">
                  <c:v>1414</c:v>
                </c:pt>
                <c:pt idx="1527">
                  <c:v>1415</c:v>
                </c:pt>
                <c:pt idx="1528">
                  <c:v>1416</c:v>
                </c:pt>
                <c:pt idx="1529">
                  <c:v>1417</c:v>
                </c:pt>
                <c:pt idx="1530">
                  <c:v>1418</c:v>
                </c:pt>
                <c:pt idx="1531">
                  <c:v>1419</c:v>
                </c:pt>
                <c:pt idx="1532">
                  <c:v>1420</c:v>
                </c:pt>
                <c:pt idx="1533">
                  <c:v>1421</c:v>
                </c:pt>
                <c:pt idx="1534">
                  <c:v>1422</c:v>
                </c:pt>
                <c:pt idx="1535">
                  <c:v>1423</c:v>
                </c:pt>
                <c:pt idx="1536">
                  <c:v>1424</c:v>
                </c:pt>
                <c:pt idx="1537">
                  <c:v>1425</c:v>
                </c:pt>
                <c:pt idx="1538">
                  <c:v>1426</c:v>
                </c:pt>
                <c:pt idx="1539">
                  <c:v>1427</c:v>
                </c:pt>
                <c:pt idx="1540">
                  <c:v>1428</c:v>
                </c:pt>
                <c:pt idx="1541">
                  <c:v>1429</c:v>
                </c:pt>
                <c:pt idx="1542">
                  <c:v>1430</c:v>
                </c:pt>
                <c:pt idx="1543">
                  <c:v>1431</c:v>
                </c:pt>
                <c:pt idx="1544">
                  <c:v>1432</c:v>
                </c:pt>
                <c:pt idx="1545">
                  <c:v>1433</c:v>
                </c:pt>
                <c:pt idx="1546">
                  <c:v>1434</c:v>
                </c:pt>
                <c:pt idx="1547">
                  <c:v>1435</c:v>
                </c:pt>
                <c:pt idx="1548">
                  <c:v>1436</c:v>
                </c:pt>
                <c:pt idx="1549">
                  <c:v>1437</c:v>
                </c:pt>
                <c:pt idx="1550">
                  <c:v>1438</c:v>
                </c:pt>
                <c:pt idx="1551">
                  <c:v>1439</c:v>
                </c:pt>
                <c:pt idx="1552">
                  <c:v>1440</c:v>
                </c:pt>
                <c:pt idx="1553">
                  <c:v>1441</c:v>
                </c:pt>
                <c:pt idx="1554">
                  <c:v>1442</c:v>
                </c:pt>
                <c:pt idx="1555">
                  <c:v>1443</c:v>
                </c:pt>
                <c:pt idx="1556">
                  <c:v>1444</c:v>
                </c:pt>
                <c:pt idx="1557">
                  <c:v>1445</c:v>
                </c:pt>
                <c:pt idx="1558">
                  <c:v>1446</c:v>
                </c:pt>
                <c:pt idx="1559">
                  <c:v>1447</c:v>
                </c:pt>
                <c:pt idx="1560">
                  <c:v>1448</c:v>
                </c:pt>
                <c:pt idx="1561">
                  <c:v>1449</c:v>
                </c:pt>
                <c:pt idx="1562">
                  <c:v>1450</c:v>
                </c:pt>
                <c:pt idx="1563">
                  <c:v>1451</c:v>
                </c:pt>
                <c:pt idx="1564">
                  <c:v>1452</c:v>
                </c:pt>
                <c:pt idx="1565">
                  <c:v>1453</c:v>
                </c:pt>
                <c:pt idx="1566">
                  <c:v>1454</c:v>
                </c:pt>
                <c:pt idx="1567">
                  <c:v>1455</c:v>
                </c:pt>
                <c:pt idx="1568">
                  <c:v>1456</c:v>
                </c:pt>
                <c:pt idx="1569">
                  <c:v>1457</c:v>
                </c:pt>
                <c:pt idx="1570">
                  <c:v>1458</c:v>
                </c:pt>
                <c:pt idx="1571">
                  <c:v>1459</c:v>
                </c:pt>
                <c:pt idx="1572">
                  <c:v>1460</c:v>
                </c:pt>
                <c:pt idx="1573">
                  <c:v>1461</c:v>
                </c:pt>
                <c:pt idx="1574">
                  <c:v>1462</c:v>
                </c:pt>
                <c:pt idx="1575">
                  <c:v>1463</c:v>
                </c:pt>
                <c:pt idx="1576">
                  <c:v>1464</c:v>
                </c:pt>
                <c:pt idx="1577">
                  <c:v>1465</c:v>
                </c:pt>
                <c:pt idx="1578">
                  <c:v>1466</c:v>
                </c:pt>
                <c:pt idx="1579">
                  <c:v>1467</c:v>
                </c:pt>
                <c:pt idx="1580">
                  <c:v>1468</c:v>
                </c:pt>
                <c:pt idx="1581">
                  <c:v>1469</c:v>
                </c:pt>
                <c:pt idx="1582">
                  <c:v>1470</c:v>
                </c:pt>
                <c:pt idx="1583">
                  <c:v>1471</c:v>
                </c:pt>
                <c:pt idx="1584">
                  <c:v>1472</c:v>
                </c:pt>
                <c:pt idx="1585">
                  <c:v>1473</c:v>
                </c:pt>
                <c:pt idx="1586">
                  <c:v>1474</c:v>
                </c:pt>
                <c:pt idx="1587">
                  <c:v>1475</c:v>
                </c:pt>
                <c:pt idx="1588">
                  <c:v>1476</c:v>
                </c:pt>
                <c:pt idx="1589">
                  <c:v>1477</c:v>
                </c:pt>
                <c:pt idx="1590">
                  <c:v>1478</c:v>
                </c:pt>
                <c:pt idx="1591">
                  <c:v>1479</c:v>
                </c:pt>
                <c:pt idx="1592">
                  <c:v>1480</c:v>
                </c:pt>
                <c:pt idx="1593">
                  <c:v>1481</c:v>
                </c:pt>
                <c:pt idx="1594">
                  <c:v>1482</c:v>
                </c:pt>
                <c:pt idx="1595">
                  <c:v>1483</c:v>
                </c:pt>
                <c:pt idx="1596">
                  <c:v>1484</c:v>
                </c:pt>
                <c:pt idx="1597">
                  <c:v>1485</c:v>
                </c:pt>
                <c:pt idx="1598">
                  <c:v>1486</c:v>
                </c:pt>
                <c:pt idx="1599">
                  <c:v>1487</c:v>
                </c:pt>
                <c:pt idx="1600">
                  <c:v>1488</c:v>
                </c:pt>
                <c:pt idx="1601">
                  <c:v>1489</c:v>
                </c:pt>
                <c:pt idx="1602">
                  <c:v>1490</c:v>
                </c:pt>
                <c:pt idx="1603">
                  <c:v>1491</c:v>
                </c:pt>
                <c:pt idx="1604">
                  <c:v>1492</c:v>
                </c:pt>
                <c:pt idx="1605">
                  <c:v>1493</c:v>
                </c:pt>
                <c:pt idx="1606">
                  <c:v>1494</c:v>
                </c:pt>
                <c:pt idx="1607">
                  <c:v>1495</c:v>
                </c:pt>
                <c:pt idx="1608">
                  <c:v>1496</c:v>
                </c:pt>
                <c:pt idx="1609">
                  <c:v>1497</c:v>
                </c:pt>
                <c:pt idx="1610">
                  <c:v>1498</c:v>
                </c:pt>
                <c:pt idx="1611">
                  <c:v>1499</c:v>
                </c:pt>
                <c:pt idx="1612">
                  <c:v>1500</c:v>
                </c:pt>
                <c:pt idx="1613">
                  <c:v>1501</c:v>
                </c:pt>
                <c:pt idx="1614">
                  <c:v>1502</c:v>
                </c:pt>
                <c:pt idx="1615">
                  <c:v>1503</c:v>
                </c:pt>
                <c:pt idx="1616">
                  <c:v>1504</c:v>
                </c:pt>
                <c:pt idx="1617">
                  <c:v>1505</c:v>
                </c:pt>
                <c:pt idx="1618">
                  <c:v>1506</c:v>
                </c:pt>
                <c:pt idx="1619">
                  <c:v>1507</c:v>
                </c:pt>
                <c:pt idx="1620">
                  <c:v>1508</c:v>
                </c:pt>
                <c:pt idx="1621">
                  <c:v>1509</c:v>
                </c:pt>
                <c:pt idx="1622">
                  <c:v>1510</c:v>
                </c:pt>
                <c:pt idx="1623">
                  <c:v>1511</c:v>
                </c:pt>
                <c:pt idx="1624">
                  <c:v>1512</c:v>
                </c:pt>
                <c:pt idx="1625">
                  <c:v>1513</c:v>
                </c:pt>
                <c:pt idx="1626">
                  <c:v>1514</c:v>
                </c:pt>
                <c:pt idx="1627">
                  <c:v>1515</c:v>
                </c:pt>
                <c:pt idx="1628">
                  <c:v>1516</c:v>
                </c:pt>
                <c:pt idx="1629">
                  <c:v>1517</c:v>
                </c:pt>
                <c:pt idx="1630">
                  <c:v>1518</c:v>
                </c:pt>
                <c:pt idx="1631">
                  <c:v>1519</c:v>
                </c:pt>
                <c:pt idx="1632">
                  <c:v>1520</c:v>
                </c:pt>
                <c:pt idx="1633">
                  <c:v>1521</c:v>
                </c:pt>
                <c:pt idx="1634">
                  <c:v>1522</c:v>
                </c:pt>
                <c:pt idx="1635">
                  <c:v>1523</c:v>
                </c:pt>
                <c:pt idx="1636">
                  <c:v>1524</c:v>
                </c:pt>
                <c:pt idx="1637">
                  <c:v>1525</c:v>
                </c:pt>
                <c:pt idx="1638">
                  <c:v>1526</c:v>
                </c:pt>
                <c:pt idx="1639">
                  <c:v>1527</c:v>
                </c:pt>
                <c:pt idx="1640">
                  <c:v>1528</c:v>
                </c:pt>
                <c:pt idx="1641">
                  <c:v>1529</c:v>
                </c:pt>
                <c:pt idx="1642">
                  <c:v>1530</c:v>
                </c:pt>
                <c:pt idx="1643">
                  <c:v>1531</c:v>
                </c:pt>
                <c:pt idx="1644">
                  <c:v>1532</c:v>
                </c:pt>
              </c:numCache>
            </c:numRef>
          </c:xVal>
          <c:yVal>
            <c:numRef>
              <c:f>data!$X$20:$X$4471</c:f>
              <c:numCache>
                <c:formatCode>General</c:formatCode>
                <c:ptCount val="4452"/>
                <c:pt idx="105">
                  <c:v>3.639265</c:v>
                </c:pt>
                <c:pt idx="106">
                  <c:v>3.7447269999999993</c:v>
                </c:pt>
                <c:pt idx="107">
                  <c:v>3.8453210000000002</c:v>
                </c:pt>
                <c:pt idx="108">
                  <c:v>3.9248239999999992</c:v>
                </c:pt>
                <c:pt idx="109">
                  <c:v>4.0091929999999998</c:v>
                </c:pt>
                <c:pt idx="110">
                  <c:v>4.0984309999999997</c:v>
                </c:pt>
                <c:pt idx="111">
                  <c:v>4.1649529999999988</c:v>
                </c:pt>
                <c:pt idx="112">
                  <c:v>4.2541899999999995</c:v>
                </c:pt>
                <c:pt idx="113">
                  <c:v>4.3158449999999995</c:v>
                </c:pt>
                <c:pt idx="114">
                  <c:v>4.3807449999999992</c:v>
                </c:pt>
                <c:pt idx="115">
                  <c:v>4.4553799999999999</c:v>
                </c:pt>
                <c:pt idx="116">
                  <c:v>4.5089220000000001</c:v>
                </c:pt>
                <c:pt idx="117">
                  <c:v>4.5673319999999986</c:v>
                </c:pt>
                <c:pt idx="118">
                  <c:v>4.6192510000000002</c:v>
                </c:pt>
                <c:pt idx="119">
                  <c:v>4.6776609999999987</c:v>
                </c:pt>
                <c:pt idx="120">
                  <c:v>4.7344479999999987</c:v>
                </c:pt>
                <c:pt idx="121">
                  <c:v>4.7863679999999995</c:v>
                </c:pt>
                <c:pt idx="122">
                  <c:v>4.8382879999999986</c:v>
                </c:pt>
                <c:pt idx="123">
                  <c:v>4.8950749999999985</c:v>
                </c:pt>
                <c:pt idx="124">
                  <c:v>4.9405049999999999</c:v>
                </c:pt>
                <c:pt idx="125">
                  <c:v>4.9972919999999998</c:v>
                </c:pt>
                <c:pt idx="126">
                  <c:v>5.0378549999999986</c:v>
                </c:pt>
                <c:pt idx="127">
                  <c:v>5.1059989999999988</c:v>
                </c:pt>
                <c:pt idx="128">
                  <c:v>5.1157339999999998</c:v>
                </c:pt>
                <c:pt idx="129">
                  <c:v>5.1790120000000002</c:v>
                </c:pt>
                <c:pt idx="130">
                  <c:v>5.2244409999999988</c:v>
                </c:pt>
                <c:pt idx="131">
                  <c:v>5.2698709999999984</c:v>
                </c:pt>
                <c:pt idx="132">
                  <c:v>5.307189000000001</c:v>
                </c:pt>
                <c:pt idx="133">
                  <c:v>5.3412609999999994</c:v>
                </c:pt>
                <c:pt idx="134">
                  <c:v>5.3980479999999993</c:v>
                </c:pt>
                <c:pt idx="135">
                  <c:v>5.4353659999999984</c:v>
                </c:pt>
                <c:pt idx="136">
                  <c:v>5.4597030000000011</c:v>
                </c:pt>
                <c:pt idx="137">
                  <c:v>5.5132449999999977</c:v>
                </c:pt>
                <c:pt idx="138">
                  <c:v>5.5489399999999982</c:v>
                </c:pt>
                <c:pt idx="139">
                  <c:v>5.5716549999999998</c:v>
                </c:pt>
                <c:pt idx="140">
                  <c:v>5.6154620000000008</c:v>
                </c:pt>
                <c:pt idx="141">
                  <c:v>5.6560249999999996</c:v>
                </c:pt>
                <c:pt idx="142">
                  <c:v>5.6982089999999985</c:v>
                </c:pt>
                <c:pt idx="143">
                  <c:v>5.7225469999999987</c:v>
                </c:pt>
                <c:pt idx="144">
                  <c:v>5.763109</c:v>
                </c:pt>
                <c:pt idx="145">
                  <c:v>5.805294</c:v>
                </c:pt>
                <c:pt idx="146">
                  <c:v>5.834499000000001</c:v>
                </c:pt>
                <c:pt idx="147">
                  <c:v>5.8620809999999999</c:v>
                </c:pt>
                <c:pt idx="148">
                  <c:v>5.8880409999999976</c:v>
                </c:pt>
                <c:pt idx="149">
                  <c:v>5.9253579999999992</c:v>
                </c:pt>
                <c:pt idx="150">
                  <c:v>5.9642979999999994</c:v>
                </c:pt>
                <c:pt idx="151">
                  <c:v>5.9918799999999983</c:v>
                </c:pt>
                <c:pt idx="152">
                  <c:v>6.0470450000000007</c:v>
                </c:pt>
                <c:pt idx="153">
                  <c:v>6.0616470000000007</c:v>
                </c:pt>
                <c:pt idx="154">
                  <c:v>6.0892300000000006</c:v>
                </c:pt>
                <c:pt idx="155">
                  <c:v>6.1184349999999981</c:v>
                </c:pt>
                <c:pt idx="156">
                  <c:v>6.1443949999999994</c:v>
                </c:pt>
                <c:pt idx="157">
                  <c:v>6.175221999999998</c:v>
                </c:pt>
                <c:pt idx="158">
                  <c:v>6.2109169999999985</c:v>
                </c:pt>
                <c:pt idx="159">
                  <c:v>6.2320089999999979</c:v>
                </c:pt>
                <c:pt idx="160">
                  <c:v>6.2531010000000009</c:v>
                </c:pt>
                <c:pt idx="161">
                  <c:v>6.2839290000000005</c:v>
                </c:pt>
                <c:pt idx="162">
                  <c:v>6.3180009999999989</c:v>
                </c:pt>
                <c:pt idx="163">
                  <c:v>6.3504509999999996</c:v>
                </c:pt>
                <c:pt idx="164">
                  <c:v>6.3780329999999985</c:v>
                </c:pt>
                <c:pt idx="165">
                  <c:v>6.4023709999999987</c:v>
                </c:pt>
                <c:pt idx="166">
                  <c:v>6.4234629999999981</c:v>
                </c:pt>
                <c:pt idx="167">
                  <c:v>6.4624029999999983</c:v>
                </c:pt>
                <c:pt idx="168">
                  <c:v>6.4770049999999983</c:v>
                </c:pt>
                <c:pt idx="169">
                  <c:v>6.522434999999998</c:v>
                </c:pt>
                <c:pt idx="170">
                  <c:v>6.5305469999999985</c:v>
                </c:pt>
                <c:pt idx="171">
                  <c:v>6.5694869999999987</c:v>
                </c:pt>
                <c:pt idx="172">
                  <c:v>6.5808450000000001</c:v>
                </c:pt>
                <c:pt idx="173">
                  <c:v>6.6132939999999998</c:v>
                </c:pt>
                <c:pt idx="174">
                  <c:v>6.6441219999999994</c:v>
                </c:pt>
                <c:pt idx="175">
                  <c:v>6.6830619999999996</c:v>
                </c:pt>
                <c:pt idx="176">
                  <c:v>6.6911740000000002</c:v>
                </c:pt>
                <c:pt idx="177">
                  <c:v>6.7284909999999982</c:v>
                </c:pt>
                <c:pt idx="178">
                  <c:v>6.7479610000000001</c:v>
                </c:pt>
                <c:pt idx="179">
                  <c:v>6.7739209999999979</c:v>
                </c:pt>
                <c:pt idx="180">
                  <c:v>6.790146</c:v>
                </c:pt>
                <c:pt idx="181">
                  <c:v>6.8209729999999986</c:v>
                </c:pt>
                <c:pt idx="182">
                  <c:v>6.8339530000000011</c:v>
                </c:pt>
                <c:pt idx="183">
                  <c:v>6.8599129999999988</c:v>
                </c:pt>
                <c:pt idx="184">
                  <c:v>6.8939850000000007</c:v>
                </c:pt>
                <c:pt idx="185">
                  <c:v>6.898852999999999</c:v>
                </c:pt>
                <c:pt idx="186">
                  <c:v>6.928058</c:v>
                </c:pt>
                <c:pt idx="187">
                  <c:v>6.9605069999999998</c:v>
                </c:pt>
                <c:pt idx="188">
                  <c:v>6.9767319999999984</c:v>
                </c:pt>
                <c:pt idx="189">
                  <c:v>7.0026919999999997</c:v>
                </c:pt>
                <c:pt idx="190">
                  <c:v>7.014050000000001</c:v>
                </c:pt>
                <c:pt idx="191">
                  <c:v>7.0237850000000002</c:v>
                </c:pt>
                <c:pt idx="192">
                  <c:v>7.0659689999999991</c:v>
                </c:pt>
                <c:pt idx="193">
                  <c:v>7.1032869999999981</c:v>
                </c:pt>
                <c:pt idx="194">
                  <c:v>7.1162659999999995</c:v>
                </c:pt>
                <c:pt idx="195">
                  <c:v>7.1357359999999979</c:v>
                </c:pt>
                <c:pt idx="196">
                  <c:v>7.1503389999999989</c:v>
                </c:pt>
                <c:pt idx="197">
                  <c:v>7.1698090000000008</c:v>
                </c:pt>
                <c:pt idx="198">
                  <c:v>7.2055030000000002</c:v>
                </c:pt>
                <c:pt idx="199">
                  <c:v>7.2136159999999983</c:v>
                </c:pt>
                <c:pt idx="200">
                  <c:v>7.2476880000000001</c:v>
                </c:pt>
                <c:pt idx="201">
                  <c:v>7.2558009999999982</c:v>
                </c:pt>
                <c:pt idx="202">
                  <c:v>7.2931179999999998</c:v>
                </c:pt>
                <c:pt idx="203">
                  <c:v>7.3012300000000003</c:v>
                </c:pt>
                <c:pt idx="204">
                  <c:v>7.3190780000000011</c:v>
                </c:pt>
                <c:pt idx="205">
                  <c:v>7.3482820000000011</c:v>
                </c:pt>
                <c:pt idx="206">
                  <c:v>7.3661299999999983</c:v>
                </c:pt>
                <c:pt idx="207">
                  <c:v>7.383976999999998</c:v>
                </c:pt>
                <c:pt idx="208">
                  <c:v>7.4164269999999988</c:v>
                </c:pt>
                <c:pt idx="209">
                  <c:v>7.4229169999999982</c:v>
                </c:pt>
                <c:pt idx="210">
                  <c:v>7.455366999999999</c:v>
                </c:pt>
                <c:pt idx="211">
                  <c:v>7.4667239999999993</c:v>
                </c:pt>
                <c:pt idx="212">
                  <c:v>7.4943069999999992</c:v>
                </c:pt>
                <c:pt idx="213">
                  <c:v>7.5121539999999989</c:v>
                </c:pt>
                <c:pt idx="214">
                  <c:v>7.5300009999999986</c:v>
                </c:pt>
                <c:pt idx="215">
                  <c:v>7.542981000000001</c:v>
                </c:pt>
                <c:pt idx="216">
                  <c:v>7.5608289999999982</c:v>
                </c:pt>
                <c:pt idx="217">
                  <c:v>7.5770529999999994</c:v>
                </c:pt>
                <c:pt idx="218">
                  <c:v>7.6030130000000007</c:v>
                </c:pt>
                <c:pt idx="219">
                  <c:v>7.6208609999999979</c:v>
                </c:pt>
                <c:pt idx="220">
                  <c:v>7.651688</c:v>
                </c:pt>
                <c:pt idx="221">
                  <c:v>7.6711579999999984</c:v>
                </c:pt>
                <c:pt idx="222">
                  <c:v>7.6825149999999987</c:v>
                </c:pt>
                <c:pt idx="223">
                  <c:v>7.6954950000000011</c:v>
                </c:pt>
                <c:pt idx="224">
                  <c:v>7.7198320000000002</c:v>
                </c:pt>
                <c:pt idx="225">
                  <c:v>7.737680000000001</c:v>
                </c:pt>
                <c:pt idx="226">
                  <c:v>7.7571499999999993</c:v>
                </c:pt>
                <c:pt idx="227">
                  <c:v>7.7652619999999999</c:v>
                </c:pt>
                <c:pt idx="228">
                  <c:v>7.7928439999999988</c:v>
                </c:pt>
                <c:pt idx="229">
                  <c:v>7.8090690000000009</c:v>
                </c:pt>
                <c:pt idx="230">
                  <c:v>7.8382739999999984</c:v>
                </c:pt>
                <c:pt idx="231">
                  <c:v>7.8431420000000003</c:v>
                </c:pt>
                <c:pt idx="232">
                  <c:v>7.8723460000000003</c:v>
                </c:pt>
                <c:pt idx="233">
                  <c:v>7.8853259999999992</c:v>
                </c:pt>
                <c:pt idx="234">
                  <c:v>7.8950609999999983</c:v>
                </c:pt>
                <c:pt idx="235">
                  <c:v>7.9096639999999994</c:v>
                </c:pt>
                <c:pt idx="236">
                  <c:v>7.9486029999999985</c:v>
                </c:pt>
                <c:pt idx="237">
                  <c:v>7.9486029999999985</c:v>
                </c:pt>
                <c:pt idx="238">
                  <c:v>7.9664509999999993</c:v>
                </c:pt>
                <c:pt idx="239">
                  <c:v>7.9810529999999993</c:v>
                </c:pt>
                <c:pt idx="240">
                  <c:v>8.0053899999999985</c:v>
                </c:pt>
                <c:pt idx="241">
                  <c:v>8.0232379999999992</c:v>
                </c:pt>
                <c:pt idx="242">
                  <c:v>8.0524430000000002</c:v>
                </c:pt>
                <c:pt idx="243">
                  <c:v>8.0491980000000005</c:v>
                </c:pt>
                <c:pt idx="244">
                  <c:v>8.0832699999999988</c:v>
                </c:pt>
                <c:pt idx="245">
                  <c:v>8.1011169999999986</c:v>
                </c:pt>
                <c:pt idx="246">
                  <c:v>8.1124749999999999</c:v>
                </c:pt>
                <c:pt idx="247">
                  <c:v>8.1205870000000004</c:v>
                </c:pt>
                <c:pt idx="248">
                  <c:v>8.1433019999999985</c:v>
                </c:pt>
                <c:pt idx="249">
                  <c:v>8.1546589999999988</c:v>
                </c:pt>
                <c:pt idx="250">
                  <c:v>8.1806190000000001</c:v>
                </c:pt>
                <c:pt idx="251">
                  <c:v>8.1984670000000008</c:v>
                </c:pt>
                <c:pt idx="252">
                  <c:v>8.2130690000000008</c:v>
                </c:pt>
                <c:pt idx="253">
                  <c:v>8.2390289999999986</c:v>
                </c:pt>
                <c:pt idx="254">
                  <c:v>8.266611000000001</c:v>
                </c:pt>
                <c:pt idx="255">
                  <c:v>8.2649889999999999</c:v>
                </c:pt>
                <c:pt idx="256">
                  <c:v>8.2828359999999996</c:v>
                </c:pt>
                <c:pt idx="257">
                  <c:v>8.3039279999999991</c:v>
                </c:pt>
                <c:pt idx="258">
                  <c:v>8.3201529999999977</c:v>
                </c:pt>
                <c:pt idx="259">
                  <c:v>8.3380009999999984</c:v>
                </c:pt>
                <c:pt idx="260">
                  <c:v>8.3542249999999996</c:v>
                </c:pt>
                <c:pt idx="261">
                  <c:v>8.360714999999999</c:v>
                </c:pt>
                <c:pt idx="262">
                  <c:v>8.3866750000000003</c:v>
                </c:pt>
                <c:pt idx="263">
                  <c:v>8.3931649999999998</c:v>
                </c:pt>
                <c:pt idx="264">
                  <c:v>8.4093899999999984</c:v>
                </c:pt>
                <c:pt idx="265">
                  <c:v>8.4402170000000005</c:v>
                </c:pt>
                <c:pt idx="266">
                  <c:v>8.4531969999999994</c:v>
                </c:pt>
                <c:pt idx="267">
                  <c:v>8.475912000000001</c:v>
                </c:pt>
                <c:pt idx="268">
                  <c:v>8.4953819999999993</c:v>
                </c:pt>
                <c:pt idx="269">
                  <c:v>8.5002490000000002</c:v>
                </c:pt>
                <c:pt idx="270">
                  <c:v>8.5099839999999993</c:v>
                </c:pt>
                <c:pt idx="271">
                  <c:v>8.5375669999999992</c:v>
                </c:pt>
                <c:pt idx="272">
                  <c:v>8.5456789999999998</c:v>
                </c:pt>
                <c:pt idx="273">
                  <c:v>8.5586589999999987</c:v>
                </c:pt>
                <c:pt idx="274">
                  <c:v>8.5829959999999978</c:v>
                </c:pt>
                <c:pt idx="275">
                  <c:v>8.6024659999999997</c:v>
                </c:pt>
                <c:pt idx="276">
                  <c:v>8.607333999999998</c:v>
                </c:pt>
                <c:pt idx="277">
                  <c:v>8.6332929999999983</c:v>
                </c:pt>
                <c:pt idx="278">
                  <c:v>8.6414059999999999</c:v>
                </c:pt>
                <c:pt idx="279">
                  <c:v>8.6657429999999991</c:v>
                </c:pt>
                <c:pt idx="280">
                  <c:v>8.6835899999999988</c:v>
                </c:pt>
                <c:pt idx="281">
                  <c:v>8.6965699999999977</c:v>
                </c:pt>
                <c:pt idx="282">
                  <c:v>8.693324999999998</c:v>
                </c:pt>
                <c:pt idx="283">
                  <c:v>8.7209079999999979</c:v>
                </c:pt>
                <c:pt idx="284">
                  <c:v>8.7306430000000006</c:v>
                </c:pt>
                <c:pt idx="285">
                  <c:v>8.7614699999999992</c:v>
                </c:pt>
                <c:pt idx="286">
                  <c:v>8.7647149999999989</c:v>
                </c:pt>
                <c:pt idx="287">
                  <c:v>8.7825619999999986</c:v>
                </c:pt>
                <c:pt idx="288">
                  <c:v>8.7955420000000011</c:v>
                </c:pt>
                <c:pt idx="289">
                  <c:v>8.8215019999999988</c:v>
                </c:pt>
                <c:pt idx="290">
                  <c:v>8.8328589999999991</c:v>
                </c:pt>
                <c:pt idx="291">
                  <c:v>8.8425939999999983</c:v>
                </c:pt>
                <c:pt idx="292">
                  <c:v>8.8653089999999999</c:v>
                </c:pt>
                <c:pt idx="293">
                  <c:v>8.8847789999999982</c:v>
                </c:pt>
                <c:pt idx="294">
                  <c:v>8.8847789999999982</c:v>
                </c:pt>
                <c:pt idx="295">
                  <c:v>8.9042490000000001</c:v>
                </c:pt>
                <c:pt idx="296">
                  <c:v>8.8977590000000006</c:v>
                </c:pt>
                <c:pt idx="297">
                  <c:v>8.9383209999999984</c:v>
                </c:pt>
                <c:pt idx="298">
                  <c:v>8.9431879999999992</c:v>
                </c:pt>
                <c:pt idx="299">
                  <c:v>8.9626580000000011</c:v>
                </c:pt>
                <c:pt idx="300">
                  <c:v>8.9853729999999992</c:v>
                </c:pt>
                <c:pt idx="301">
                  <c:v>8.9967299999999994</c:v>
                </c:pt>
                <c:pt idx="302">
                  <c:v>9.0032199999999989</c:v>
                </c:pt>
                <c:pt idx="303">
                  <c:v>9.0178229999999999</c:v>
                </c:pt>
                <c:pt idx="304">
                  <c:v>9.0324249999999999</c:v>
                </c:pt>
                <c:pt idx="305">
                  <c:v>9.0567619999999991</c:v>
                </c:pt>
                <c:pt idx="306">
                  <c:v>9.0713650000000001</c:v>
                </c:pt>
                <c:pt idx="307">
                  <c:v>9.076232000000001</c:v>
                </c:pt>
                <c:pt idx="308">
                  <c:v>9.0924569999999996</c:v>
                </c:pt>
                <c:pt idx="309">
                  <c:v>9.1005699999999976</c:v>
                </c:pt>
                <c:pt idx="310">
                  <c:v>9.142754</c:v>
                </c:pt>
                <c:pt idx="311">
                  <c:v>9.1313969999999998</c:v>
                </c:pt>
                <c:pt idx="312">
                  <c:v>9.1492439999999995</c:v>
                </c:pt>
                <c:pt idx="313">
                  <c:v>9.1670920000000002</c:v>
                </c:pt>
                <c:pt idx="314">
                  <c:v>9.1768259999999984</c:v>
                </c:pt>
                <c:pt idx="315">
                  <c:v>9.2027859999999997</c:v>
                </c:pt>
                <c:pt idx="316">
                  <c:v>9.2157659999999986</c:v>
                </c:pt>
                <c:pt idx="317">
                  <c:v>9.2255009999999977</c:v>
                </c:pt>
                <c:pt idx="318">
                  <c:v>9.2336129999999983</c:v>
                </c:pt>
                <c:pt idx="319">
                  <c:v>9.2579509999999985</c:v>
                </c:pt>
                <c:pt idx="320">
                  <c:v>9.2611959999999982</c:v>
                </c:pt>
                <c:pt idx="321">
                  <c:v>9.2741760000000006</c:v>
                </c:pt>
                <c:pt idx="322">
                  <c:v>9.2839109999999998</c:v>
                </c:pt>
                <c:pt idx="323">
                  <c:v>9.3066250000000004</c:v>
                </c:pt>
                <c:pt idx="324">
                  <c:v>9.322849999999999</c:v>
                </c:pt>
                <c:pt idx="325">
                  <c:v>9.3179829999999981</c:v>
                </c:pt>
                <c:pt idx="326">
                  <c:v>9.3471879999999992</c:v>
                </c:pt>
                <c:pt idx="327">
                  <c:v>9.3634120000000003</c:v>
                </c:pt>
                <c:pt idx="328">
                  <c:v>9.3763919999999992</c:v>
                </c:pt>
                <c:pt idx="329">
                  <c:v>9.4023520000000005</c:v>
                </c:pt>
                <c:pt idx="330">
                  <c:v>9.395862000000001</c:v>
                </c:pt>
                <c:pt idx="331">
                  <c:v>9.4169540000000005</c:v>
                </c:pt>
                <c:pt idx="332">
                  <c:v>9.4364239999999988</c:v>
                </c:pt>
                <c:pt idx="333">
                  <c:v>9.4396689999999985</c:v>
                </c:pt>
                <c:pt idx="334">
                  <c:v>9.4494039999999977</c:v>
                </c:pt>
                <c:pt idx="335">
                  <c:v>9.4623840000000001</c:v>
                </c:pt>
                <c:pt idx="336">
                  <c:v>9.4834759999999996</c:v>
                </c:pt>
                <c:pt idx="337">
                  <c:v>9.4997009999999982</c:v>
                </c:pt>
                <c:pt idx="338">
                  <c:v>9.5143039999999992</c:v>
                </c:pt>
                <c:pt idx="339">
                  <c:v>9.5321509999999989</c:v>
                </c:pt>
                <c:pt idx="340">
                  <c:v>9.5402629999999995</c:v>
                </c:pt>
                <c:pt idx="341">
                  <c:v>9.5548660000000005</c:v>
                </c:pt>
                <c:pt idx="342">
                  <c:v>9.5646009999999997</c:v>
                </c:pt>
                <c:pt idx="343">
                  <c:v>9.598672999999998</c:v>
                </c:pt>
                <c:pt idx="344">
                  <c:v>9.5873150000000003</c:v>
                </c:pt>
                <c:pt idx="345">
                  <c:v>9.6019179999999977</c:v>
                </c:pt>
                <c:pt idx="346">
                  <c:v>9.6165199999999977</c:v>
                </c:pt>
                <c:pt idx="347">
                  <c:v>9.6295000000000002</c:v>
                </c:pt>
                <c:pt idx="348">
                  <c:v>9.6441020000000002</c:v>
                </c:pt>
                <c:pt idx="349">
                  <c:v>9.6603269999999988</c:v>
                </c:pt>
                <c:pt idx="350">
                  <c:v>9.6651950000000006</c:v>
                </c:pt>
                <c:pt idx="351">
                  <c:v>9.6716850000000001</c:v>
                </c:pt>
                <c:pt idx="352">
                  <c:v>9.6927769999999995</c:v>
                </c:pt>
                <c:pt idx="353">
                  <c:v>9.7187370000000008</c:v>
                </c:pt>
                <c:pt idx="354">
                  <c:v>9.7219820000000006</c:v>
                </c:pt>
                <c:pt idx="355">
                  <c:v>9.7365840000000006</c:v>
                </c:pt>
                <c:pt idx="356">
                  <c:v>9.7414519999999989</c:v>
                </c:pt>
                <c:pt idx="357">
                  <c:v>9.7592989999999986</c:v>
                </c:pt>
                <c:pt idx="358">
                  <c:v>9.7820140000000002</c:v>
                </c:pt>
                <c:pt idx="359">
                  <c:v>9.7836359999999978</c:v>
                </c:pt>
                <c:pt idx="360">
                  <c:v>9.7998609999999999</c:v>
                </c:pt>
                <c:pt idx="361">
                  <c:v>9.8160859999999985</c:v>
                </c:pt>
                <c:pt idx="362">
                  <c:v>9.829066000000001</c:v>
                </c:pt>
                <c:pt idx="363">
                  <c:v>9.8420459999999999</c:v>
                </c:pt>
                <c:pt idx="364">
                  <c:v>9.8485359999999993</c:v>
                </c:pt>
                <c:pt idx="365">
                  <c:v>9.8598929999999996</c:v>
                </c:pt>
                <c:pt idx="366">
                  <c:v>9.8761179999999982</c:v>
                </c:pt>
                <c:pt idx="367">
                  <c:v>9.8988329999999998</c:v>
                </c:pt>
                <c:pt idx="368">
                  <c:v>9.8939649999999979</c:v>
                </c:pt>
                <c:pt idx="369">
                  <c:v>9.9085679999999989</c:v>
                </c:pt>
                <c:pt idx="370">
                  <c:v>9.9215470000000003</c:v>
                </c:pt>
                <c:pt idx="371">
                  <c:v>9.9393950000000011</c:v>
                </c:pt>
                <c:pt idx="372">
                  <c:v>9.9491300000000003</c:v>
                </c:pt>
                <c:pt idx="373">
                  <c:v>9.9734669999999994</c:v>
                </c:pt>
                <c:pt idx="374">
                  <c:v>9.981579</c:v>
                </c:pt>
                <c:pt idx="375">
                  <c:v>9.981579</c:v>
                </c:pt>
                <c:pt idx="376">
                  <c:v>10.004293999999998</c:v>
                </c:pt>
                <c:pt idx="377">
                  <c:v>10.033498999999999</c:v>
                </c:pt>
                <c:pt idx="378">
                  <c:v>10.020519</c:v>
                </c:pt>
                <c:pt idx="379">
                  <c:v>10.041611</c:v>
                </c:pt>
                <c:pt idx="380">
                  <c:v>10.062704</c:v>
                </c:pt>
                <c:pt idx="381">
                  <c:v>10.077306</c:v>
                </c:pt>
                <c:pt idx="382">
                  <c:v>10.083796</c:v>
                </c:pt>
                <c:pt idx="383">
                  <c:v>10.090285999999999</c:v>
                </c:pt>
                <c:pt idx="384">
                  <c:v>10.106511000000001</c:v>
                </c:pt>
                <c:pt idx="385">
                  <c:v>10.111377999999998</c:v>
                </c:pt>
                <c:pt idx="386">
                  <c:v>10.124358000000001</c:v>
                </c:pt>
                <c:pt idx="387">
                  <c:v>10.15194</c:v>
                </c:pt>
                <c:pt idx="388">
                  <c:v>10.171409999999998</c:v>
                </c:pt>
                <c:pt idx="389">
                  <c:v>10.156807999999998</c:v>
                </c:pt>
                <c:pt idx="390">
                  <c:v>10.179523</c:v>
                </c:pt>
                <c:pt idx="391">
                  <c:v>10.216839999999998</c:v>
                </c:pt>
                <c:pt idx="392">
                  <c:v>10.211971999999999</c:v>
                </c:pt>
                <c:pt idx="393">
                  <c:v>10.216839999999998</c:v>
                </c:pt>
                <c:pt idx="394">
                  <c:v>10.215216999999999</c:v>
                </c:pt>
                <c:pt idx="395">
                  <c:v>10.215216999999999</c:v>
                </c:pt>
                <c:pt idx="396">
                  <c:v>10.250912</c:v>
                </c:pt>
                <c:pt idx="397">
                  <c:v>10.255779</c:v>
                </c:pt>
                <c:pt idx="398">
                  <c:v>10.283362</c:v>
                </c:pt>
                <c:pt idx="399">
                  <c:v>10.286607</c:v>
                </c:pt>
                <c:pt idx="400">
                  <c:v>10.302830999999998</c:v>
                </c:pt>
                <c:pt idx="401">
                  <c:v>10.312566</c:v>
                </c:pt>
                <c:pt idx="402">
                  <c:v>10.328790999999999</c:v>
                </c:pt>
                <c:pt idx="403">
                  <c:v>10.328790999999999</c:v>
                </c:pt>
                <c:pt idx="404">
                  <c:v>10.341770999999998</c:v>
                </c:pt>
                <c:pt idx="405">
                  <c:v>10.367730999999999</c:v>
                </c:pt>
                <c:pt idx="406">
                  <c:v>10.366108000000001</c:v>
                </c:pt>
                <c:pt idx="407">
                  <c:v>10.388822999999999</c:v>
                </c:pt>
                <c:pt idx="408">
                  <c:v>10.398557999999998</c:v>
                </c:pt>
                <c:pt idx="409">
                  <c:v>10.401803000000001</c:v>
                </c:pt>
                <c:pt idx="410">
                  <c:v>10.413159999999998</c:v>
                </c:pt>
                <c:pt idx="411">
                  <c:v>10.43263</c:v>
                </c:pt>
                <c:pt idx="412">
                  <c:v>10.450478</c:v>
                </c:pt>
                <c:pt idx="413">
                  <c:v>10.447233000000001</c:v>
                </c:pt>
                <c:pt idx="414">
                  <c:v>10.458590000000001</c:v>
                </c:pt>
                <c:pt idx="415">
                  <c:v>10.492661999999999</c:v>
                </c:pt>
                <c:pt idx="416">
                  <c:v>10.505641999999998</c:v>
                </c:pt>
                <c:pt idx="417">
                  <c:v>10.539714</c:v>
                </c:pt>
                <c:pt idx="418">
                  <c:v>10.564050999999999</c:v>
                </c:pt>
                <c:pt idx="419">
                  <c:v>10.583521000000001</c:v>
                </c:pt>
                <c:pt idx="420">
                  <c:v>10.619215999999998</c:v>
                </c:pt>
                <c:pt idx="421">
                  <c:v>10.620837999999999</c:v>
                </c:pt>
                <c:pt idx="422">
                  <c:v>10.651665999999999</c:v>
                </c:pt>
                <c:pt idx="423">
                  <c:v>10.671135</c:v>
                </c:pt>
                <c:pt idx="424">
                  <c:v>10.705207999999999</c:v>
                </c:pt>
                <c:pt idx="425">
                  <c:v>10.70683</c:v>
                </c:pt>
                <c:pt idx="426">
                  <c:v>10.740901999999998</c:v>
                </c:pt>
                <c:pt idx="427">
                  <c:v>10.761994999999999</c:v>
                </c:pt>
                <c:pt idx="428">
                  <c:v>10.778219</c:v>
                </c:pt>
                <c:pt idx="429">
                  <c:v>10.804178999999998</c:v>
                </c:pt>
                <c:pt idx="430">
                  <c:v>10.822026000000001</c:v>
                </c:pt>
                <c:pt idx="431">
                  <c:v>10.859344</c:v>
                </c:pt>
                <c:pt idx="432">
                  <c:v>10.862589</c:v>
                </c:pt>
                <c:pt idx="433">
                  <c:v>10.888548</c:v>
                </c:pt>
                <c:pt idx="434">
                  <c:v>10.911262999999998</c:v>
                </c:pt>
                <c:pt idx="435">
                  <c:v>10.937222999999999</c:v>
                </c:pt>
                <c:pt idx="436">
                  <c:v>10.950202999999998</c:v>
                </c:pt>
                <c:pt idx="437">
                  <c:v>10.977785000000001</c:v>
                </c:pt>
                <c:pt idx="438">
                  <c:v>11.003744999999999</c:v>
                </c:pt>
                <c:pt idx="439">
                  <c:v>11.016724</c:v>
                </c:pt>
                <c:pt idx="440">
                  <c:v>11.034572000000001</c:v>
                </c:pt>
                <c:pt idx="441">
                  <c:v>11.075133999999998</c:v>
                </c:pt>
                <c:pt idx="442">
                  <c:v>11.088114000000001</c:v>
                </c:pt>
                <c:pt idx="443">
                  <c:v>11.112451</c:v>
                </c:pt>
                <c:pt idx="444">
                  <c:v>11.138410999999998</c:v>
                </c:pt>
                <c:pt idx="445">
                  <c:v>11.151391</c:v>
                </c:pt>
                <c:pt idx="446">
                  <c:v>11.167614999999998</c:v>
                </c:pt>
                <c:pt idx="447">
                  <c:v>11.198443000000001</c:v>
                </c:pt>
                <c:pt idx="448">
                  <c:v>11.206554999999998</c:v>
                </c:pt>
                <c:pt idx="449">
                  <c:v>11.242249999999999</c:v>
                </c:pt>
                <c:pt idx="450">
                  <c:v>11.260096999999998</c:v>
                </c:pt>
                <c:pt idx="451">
                  <c:v>11.271453999999999</c:v>
                </c:pt>
                <c:pt idx="452">
                  <c:v>11.282812</c:v>
                </c:pt>
                <c:pt idx="453">
                  <c:v>11.316883999999998</c:v>
                </c:pt>
                <c:pt idx="454">
                  <c:v>11.337975999999998</c:v>
                </c:pt>
                <c:pt idx="455">
                  <c:v>11.344466000000001</c:v>
                </c:pt>
                <c:pt idx="456">
                  <c:v>11.373670999999998</c:v>
                </c:pt>
                <c:pt idx="457">
                  <c:v>11.386651000000001</c:v>
                </c:pt>
                <c:pt idx="458">
                  <c:v>11.412610000000001</c:v>
                </c:pt>
                <c:pt idx="459">
                  <c:v>11.445059999999998</c:v>
                </c:pt>
                <c:pt idx="460">
                  <c:v>11.462906999999998</c:v>
                </c:pt>
                <c:pt idx="461">
                  <c:v>11.467775</c:v>
                </c:pt>
                <c:pt idx="462">
                  <c:v>11.498601999999998</c:v>
                </c:pt>
                <c:pt idx="463">
                  <c:v>11.509958999999998</c:v>
                </c:pt>
                <c:pt idx="464">
                  <c:v>11.537541999999998</c:v>
                </c:pt>
                <c:pt idx="465">
                  <c:v>11.557010999999999</c:v>
                </c:pt>
                <c:pt idx="466">
                  <c:v>11.579726000000001</c:v>
                </c:pt>
                <c:pt idx="467">
                  <c:v>11.594328999999998</c:v>
                </c:pt>
                <c:pt idx="468">
                  <c:v>11.618666000000001</c:v>
                </c:pt>
                <c:pt idx="469">
                  <c:v>11.626777999999998</c:v>
                </c:pt>
                <c:pt idx="470">
                  <c:v>11.66085</c:v>
                </c:pt>
                <c:pt idx="471">
                  <c:v>11.678698000000001</c:v>
                </c:pt>
                <c:pt idx="472">
                  <c:v>11.701411999999998</c:v>
                </c:pt>
                <c:pt idx="473">
                  <c:v>11.712769999999999</c:v>
                </c:pt>
                <c:pt idx="474">
                  <c:v>11.725749999999998</c:v>
                </c:pt>
                <c:pt idx="475">
                  <c:v>11.745218999999999</c:v>
                </c:pt>
                <c:pt idx="476">
                  <c:v>11.777668999999999</c:v>
                </c:pt>
                <c:pt idx="477">
                  <c:v>11.798760999999999</c:v>
                </c:pt>
                <c:pt idx="478">
                  <c:v>11.810119</c:v>
                </c:pt>
                <c:pt idx="479">
                  <c:v>11.829588000000001</c:v>
                </c:pt>
                <c:pt idx="480">
                  <c:v>11.849057999999999</c:v>
                </c:pt>
                <c:pt idx="481">
                  <c:v>11.870151</c:v>
                </c:pt>
                <c:pt idx="482">
                  <c:v>11.886375000000001</c:v>
                </c:pt>
                <c:pt idx="483">
                  <c:v>11.909089999999999</c:v>
                </c:pt>
                <c:pt idx="484">
                  <c:v>11.93505</c:v>
                </c:pt>
                <c:pt idx="485">
                  <c:v>11.936671999999998</c:v>
                </c:pt>
                <c:pt idx="486">
                  <c:v>11.964254</c:v>
                </c:pt>
                <c:pt idx="487">
                  <c:v>11.982102000000001</c:v>
                </c:pt>
                <c:pt idx="488">
                  <c:v>12.011306000000001</c:v>
                </c:pt>
                <c:pt idx="489">
                  <c:v>12.024286</c:v>
                </c:pt>
                <c:pt idx="490">
                  <c:v>12.037265999999999</c:v>
                </c:pt>
                <c:pt idx="491">
                  <c:v>12.066471</c:v>
                </c:pt>
                <c:pt idx="492">
                  <c:v>12.074583000000001</c:v>
                </c:pt>
                <c:pt idx="493">
                  <c:v>12.107032999999998</c:v>
                </c:pt>
                <c:pt idx="494">
                  <c:v>12.115144999999998</c:v>
                </c:pt>
                <c:pt idx="495">
                  <c:v>12.144349999999999</c:v>
                </c:pt>
                <c:pt idx="496">
                  <c:v>12.154084999999998</c:v>
                </c:pt>
                <c:pt idx="497">
                  <c:v>12.18329</c:v>
                </c:pt>
                <c:pt idx="498">
                  <c:v>12.194647</c:v>
                </c:pt>
                <c:pt idx="499">
                  <c:v>12.210871999999998</c:v>
                </c:pt>
                <c:pt idx="500">
                  <c:v>12.230342</c:v>
                </c:pt>
                <c:pt idx="501">
                  <c:v>12.246565999999998</c:v>
                </c:pt>
                <c:pt idx="502">
                  <c:v>12.256301000000001</c:v>
                </c:pt>
                <c:pt idx="503">
                  <c:v>12.290372999999999</c:v>
                </c:pt>
                <c:pt idx="504">
                  <c:v>12.311465999999999</c:v>
                </c:pt>
                <c:pt idx="505">
                  <c:v>12.317955999999999</c:v>
                </c:pt>
                <c:pt idx="506">
                  <c:v>12.348783000000001</c:v>
                </c:pt>
                <c:pt idx="507">
                  <c:v>12.353649999999998</c:v>
                </c:pt>
                <c:pt idx="508">
                  <c:v>12.374741999999998</c:v>
                </c:pt>
                <c:pt idx="509">
                  <c:v>12.399079999999998</c:v>
                </c:pt>
                <c:pt idx="510">
                  <c:v>12.416926999999998</c:v>
                </c:pt>
                <c:pt idx="511">
                  <c:v>12.446131999999999</c:v>
                </c:pt>
                <c:pt idx="512">
                  <c:v>12.467223999999998</c:v>
                </c:pt>
                <c:pt idx="513">
                  <c:v>12.481825999999998</c:v>
                </c:pt>
                <c:pt idx="514">
                  <c:v>12.494806000000001</c:v>
                </c:pt>
                <c:pt idx="515">
                  <c:v>12.512653</c:v>
                </c:pt>
                <c:pt idx="516">
                  <c:v>12.524010999999998</c:v>
                </c:pt>
                <c:pt idx="517">
                  <c:v>12.541857999999998</c:v>
                </c:pt>
                <c:pt idx="518">
                  <c:v>12.57593</c:v>
                </c:pt>
                <c:pt idx="519">
                  <c:v>12.584042999999998</c:v>
                </c:pt>
                <c:pt idx="520">
                  <c:v>12.610001999999998</c:v>
                </c:pt>
                <c:pt idx="521">
                  <c:v>12.626227</c:v>
                </c:pt>
                <c:pt idx="522">
                  <c:v>12.634339000000001</c:v>
                </c:pt>
                <c:pt idx="523">
                  <c:v>12.666788999999998</c:v>
                </c:pt>
                <c:pt idx="524">
                  <c:v>12.673279000000001</c:v>
                </c:pt>
                <c:pt idx="525">
                  <c:v>12.699238999999999</c:v>
                </c:pt>
                <c:pt idx="526">
                  <c:v>12.723575999999998</c:v>
                </c:pt>
                <c:pt idx="527">
                  <c:v>12.728442999999999</c:v>
                </c:pt>
                <c:pt idx="528">
                  <c:v>12.759270000000001</c:v>
                </c:pt>
                <c:pt idx="529">
                  <c:v>12.76576</c:v>
                </c:pt>
                <c:pt idx="530">
                  <c:v>12.788474999999998</c:v>
                </c:pt>
                <c:pt idx="531">
                  <c:v>12.799831999999999</c:v>
                </c:pt>
                <c:pt idx="532">
                  <c:v>12.827414999999998</c:v>
                </c:pt>
                <c:pt idx="533">
                  <c:v>12.864732</c:v>
                </c:pt>
                <c:pt idx="534">
                  <c:v>12.864732</c:v>
                </c:pt>
                <c:pt idx="535">
                  <c:v>12.876089</c:v>
                </c:pt>
                <c:pt idx="536">
                  <c:v>12.885824</c:v>
                </c:pt>
                <c:pt idx="537">
                  <c:v>12.919895999999998</c:v>
                </c:pt>
                <c:pt idx="538">
                  <c:v>12.940988000000001</c:v>
                </c:pt>
                <c:pt idx="539">
                  <c:v>12.955590999999998</c:v>
                </c:pt>
                <c:pt idx="540">
                  <c:v>12.962080999999998</c:v>
                </c:pt>
                <c:pt idx="541">
                  <c:v>12.981549999999999</c:v>
                </c:pt>
                <c:pt idx="542">
                  <c:v>12.999397999999999</c:v>
                </c:pt>
                <c:pt idx="543">
                  <c:v>13.017244999999999</c:v>
                </c:pt>
                <c:pt idx="544">
                  <c:v>13.035091999999999</c:v>
                </c:pt>
                <c:pt idx="545">
                  <c:v>13.052938999999999</c:v>
                </c:pt>
                <c:pt idx="546">
                  <c:v>13.069164000000001</c:v>
                </c:pt>
                <c:pt idx="547">
                  <c:v>13.096746</c:v>
                </c:pt>
                <c:pt idx="548">
                  <c:v>13.119461000000001</c:v>
                </c:pt>
                <c:pt idx="549">
                  <c:v>13.138930999999999</c:v>
                </c:pt>
                <c:pt idx="550">
                  <c:v>13.147043</c:v>
                </c:pt>
                <c:pt idx="551">
                  <c:v>13.166512999999998</c:v>
                </c:pt>
                <c:pt idx="552">
                  <c:v>13.181114999999998</c:v>
                </c:pt>
                <c:pt idx="553">
                  <c:v>13.197340000000001</c:v>
                </c:pt>
                <c:pt idx="554">
                  <c:v>13.221677</c:v>
                </c:pt>
                <c:pt idx="555">
                  <c:v>13.237901999999998</c:v>
                </c:pt>
                <c:pt idx="556">
                  <c:v>13.254127</c:v>
                </c:pt>
                <c:pt idx="557">
                  <c:v>13.281708999999999</c:v>
                </c:pt>
                <c:pt idx="558">
                  <c:v>13.284953999999999</c:v>
                </c:pt>
                <c:pt idx="559">
                  <c:v>13.306045999999998</c:v>
                </c:pt>
                <c:pt idx="560">
                  <c:v>13.336873999999998</c:v>
                </c:pt>
                <c:pt idx="561">
                  <c:v>13.344985999999999</c:v>
                </c:pt>
                <c:pt idx="562">
                  <c:v>13.357966000000001</c:v>
                </c:pt>
                <c:pt idx="563">
                  <c:v>13.396905</c:v>
                </c:pt>
                <c:pt idx="564">
                  <c:v>13.406639999999999</c:v>
                </c:pt>
                <c:pt idx="565">
                  <c:v>13.417998000000001</c:v>
                </c:pt>
                <c:pt idx="566">
                  <c:v>13.432600000000001</c:v>
                </c:pt>
                <c:pt idx="567">
                  <c:v>13.429355000000001</c:v>
                </c:pt>
                <c:pt idx="568">
                  <c:v>13.430976999999999</c:v>
                </c:pt>
                <c:pt idx="569">
                  <c:v>13.450447</c:v>
                </c:pt>
                <c:pt idx="570">
                  <c:v>13.460182</c:v>
                </c:pt>
                <c:pt idx="571">
                  <c:v>13.466671999999999</c:v>
                </c:pt>
                <c:pt idx="572">
                  <c:v>13.487763999999999</c:v>
                </c:pt>
                <c:pt idx="573">
                  <c:v>13.487763999999999</c:v>
                </c:pt>
                <c:pt idx="574">
                  <c:v>13.497498999999998</c:v>
                </c:pt>
                <c:pt idx="575">
                  <c:v>13.512100999999998</c:v>
                </c:pt>
                <c:pt idx="576">
                  <c:v>13.512100999999998</c:v>
                </c:pt>
                <c:pt idx="577">
                  <c:v>13.503989000000001</c:v>
                </c:pt>
                <c:pt idx="578">
                  <c:v>13.534815999999999</c:v>
                </c:pt>
                <c:pt idx="579">
                  <c:v>13.544550999999998</c:v>
                </c:pt>
                <c:pt idx="580">
                  <c:v>13.547795999999998</c:v>
                </c:pt>
                <c:pt idx="581">
                  <c:v>13.568887999999998</c:v>
                </c:pt>
                <c:pt idx="582">
                  <c:v>13.568887999999998</c:v>
                </c:pt>
                <c:pt idx="583">
                  <c:v>13.567266</c:v>
                </c:pt>
                <c:pt idx="584">
                  <c:v>13.594847999999999</c:v>
                </c:pt>
                <c:pt idx="585">
                  <c:v>13.602959999999999</c:v>
                </c:pt>
                <c:pt idx="586">
                  <c:v>13.604582999999998</c:v>
                </c:pt>
                <c:pt idx="587">
                  <c:v>13.624051999999999</c:v>
                </c:pt>
                <c:pt idx="588">
                  <c:v>13.619184999999998</c:v>
                </c:pt>
                <c:pt idx="589">
                  <c:v>13.637031999999998</c:v>
                </c:pt>
                <c:pt idx="590">
                  <c:v>13.645144999999999</c:v>
                </c:pt>
                <c:pt idx="591">
                  <c:v>13.658124999999998</c:v>
                </c:pt>
                <c:pt idx="592">
                  <c:v>13.659746999999999</c:v>
                </c:pt>
                <c:pt idx="593">
                  <c:v>13.661369000000001</c:v>
                </c:pt>
                <c:pt idx="594">
                  <c:v>13.682462000000001</c:v>
                </c:pt>
                <c:pt idx="595">
                  <c:v>13.700309000000001</c:v>
                </c:pt>
                <c:pt idx="596">
                  <c:v>13.698687</c:v>
                </c:pt>
                <c:pt idx="597">
                  <c:v>13.710044</c:v>
                </c:pt>
                <c:pt idx="598">
                  <c:v>13.716533999999999</c:v>
                </c:pt>
                <c:pt idx="599">
                  <c:v>13.734380999999999</c:v>
                </c:pt>
                <c:pt idx="600">
                  <c:v>13.747360999999998</c:v>
                </c:pt>
                <c:pt idx="601">
                  <c:v>13.748982999999999</c:v>
                </c:pt>
                <c:pt idx="602">
                  <c:v>13.757096000000001</c:v>
                </c:pt>
                <c:pt idx="603">
                  <c:v>13.770076</c:v>
                </c:pt>
                <c:pt idx="604">
                  <c:v>13.781433</c:v>
                </c:pt>
                <c:pt idx="605">
                  <c:v>13.789545</c:v>
                </c:pt>
                <c:pt idx="606">
                  <c:v>13.794412999999999</c:v>
                </c:pt>
                <c:pt idx="607">
                  <c:v>13.804147999999998</c:v>
                </c:pt>
                <c:pt idx="608">
                  <c:v>13.787922999999999</c:v>
                </c:pt>
                <c:pt idx="609">
                  <c:v>13.817128</c:v>
                </c:pt>
                <c:pt idx="610">
                  <c:v>13.839842000000001</c:v>
                </c:pt>
                <c:pt idx="611">
                  <c:v>13.841464999999999</c:v>
                </c:pt>
                <c:pt idx="612">
                  <c:v>13.852822</c:v>
                </c:pt>
                <c:pt idx="613">
                  <c:v>13.896629000000001</c:v>
                </c:pt>
                <c:pt idx="614">
                  <c:v>13.873913999999999</c:v>
                </c:pt>
                <c:pt idx="615">
                  <c:v>13.878782000000001</c:v>
                </c:pt>
                <c:pt idx="616">
                  <c:v>13.880403999999999</c:v>
                </c:pt>
                <c:pt idx="617">
                  <c:v>13.906364</c:v>
                </c:pt>
                <c:pt idx="618">
                  <c:v>13.925833999999998</c:v>
                </c:pt>
                <c:pt idx="619">
                  <c:v>13.924211</c:v>
                </c:pt>
                <c:pt idx="620">
                  <c:v>13.924211</c:v>
                </c:pt>
                <c:pt idx="621">
                  <c:v>13.930700999999999</c:v>
                </c:pt>
                <c:pt idx="622">
                  <c:v>13.940435999999998</c:v>
                </c:pt>
                <c:pt idx="623">
                  <c:v>13.945302999999999</c:v>
                </c:pt>
                <c:pt idx="624">
                  <c:v>13.959906</c:v>
                </c:pt>
                <c:pt idx="625">
                  <c:v>13.977753</c:v>
                </c:pt>
                <c:pt idx="626">
                  <c:v>13.987487999999999</c:v>
                </c:pt>
                <c:pt idx="627">
                  <c:v>13.993977999999998</c:v>
                </c:pt>
                <c:pt idx="628">
                  <c:v>14.011824999999998</c:v>
                </c:pt>
                <c:pt idx="629">
                  <c:v>14.021560000000001</c:v>
                </c:pt>
                <c:pt idx="630">
                  <c:v>14.023181999999998</c:v>
                </c:pt>
                <c:pt idx="631">
                  <c:v>14.003712999999998</c:v>
                </c:pt>
                <c:pt idx="632">
                  <c:v>14.03454</c:v>
                </c:pt>
                <c:pt idx="633">
                  <c:v>14.047519999999999</c:v>
                </c:pt>
                <c:pt idx="634">
                  <c:v>14.055631999999999</c:v>
                </c:pt>
                <c:pt idx="635">
                  <c:v>14.065366999999998</c:v>
                </c:pt>
                <c:pt idx="636">
                  <c:v>14.086458999999998</c:v>
                </c:pt>
                <c:pt idx="637">
                  <c:v>14.096194000000001</c:v>
                </c:pt>
                <c:pt idx="638">
                  <c:v>14.105929</c:v>
                </c:pt>
                <c:pt idx="639">
                  <c:v>14.101060999999998</c:v>
                </c:pt>
                <c:pt idx="640">
                  <c:v>14.107551000000001</c:v>
                </c:pt>
                <c:pt idx="641">
                  <c:v>14.122153999999998</c:v>
                </c:pt>
                <c:pt idx="642">
                  <c:v>14.136755999999998</c:v>
                </c:pt>
                <c:pt idx="643">
                  <c:v>14.143245999999998</c:v>
                </c:pt>
                <c:pt idx="644">
                  <c:v>14.149736000000001</c:v>
                </c:pt>
                <c:pt idx="645">
                  <c:v>14.156226</c:v>
                </c:pt>
                <c:pt idx="646">
                  <c:v>14.165960999999999</c:v>
                </c:pt>
                <c:pt idx="647">
                  <c:v>14.180562999999999</c:v>
                </c:pt>
                <c:pt idx="648">
                  <c:v>14.187052999999999</c:v>
                </c:pt>
                <c:pt idx="649">
                  <c:v>14.206523000000001</c:v>
                </c:pt>
                <c:pt idx="650">
                  <c:v>14.214634999999998</c:v>
                </c:pt>
                <c:pt idx="651">
                  <c:v>14.209766999999999</c:v>
                </c:pt>
                <c:pt idx="652">
                  <c:v>14.22437</c:v>
                </c:pt>
                <c:pt idx="653">
                  <c:v>14.23086</c:v>
                </c:pt>
                <c:pt idx="654">
                  <c:v>14.250329000000001</c:v>
                </c:pt>
                <c:pt idx="655">
                  <c:v>14.253574</c:v>
                </c:pt>
                <c:pt idx="656">
                  <c:v>14.255196999999999</c:v>
                </c:pt>
                <c:pt idx="657">
                  <c:v>14.279533999999998</c:v>
                </c:pt>
                <c:pt idx="658">
                  <c:v>14.276288999999998</c:v>
                </c:pt>
                <c:pt idx="659">
                  <c:v>14.284400999999999</c:v>
                </c:pt>
                <c:pt idx="660">
                  <c:v>14.300625999999998</c:v>
                </c:pt>
                <c:pt idx="661">
                  <c:v>14.307116000000001</c:v>
                </c:pt>
                <c:pt idx="662">
                  <c:v>14.316851</c:v>
                </c:pt>
                <c:pt idx="663">
                  <c:v>14.331453</c:v>
                </c:pt>
                <c:pt idx="664">
                  <c:v>14.344432999999999</c:v>
                </c:pt>
                <c:pt idx="665">
                  <c:v>14.341187999999999</c:v>
                </c:pt>
                <c:pt idx="666">
                  <c:v>14.346056000000001</c:v>
                </c:pt>
                <c:pt idx="667">
                  <c:v>14.373638</c:v>
                </c:pt>
                <c:pt idx="668">
                  <c:v>14.370393</c:v>
                </c:pt>
                <c:pt idx="669">
                  <c:v>14.394729999999999</c:v>
                </c:pt>
                <c:pt idx="670">
                  <c:v>14.394729999999999</c:v>
                </c:pt>
                <c:pt idx="671">
                  <c:v>14.406086999999999</c:v>
                </c:pt>
                <c:pt idx="672">
                  <c:v>14.42069</c:v>
                </c:pt>
                <c:pt idx="673">
                  <c:v>14.422311999999998</c:v>
                </c:pt>
                <c:pt idx="674">
                  <c:v>14.433669999999999</c:v>
                </c:pt>
                <c:pt idx="675">
                  <c:v>14.440158999999998</c:v>
                </c:pt>
                <c:pt idx="676">
                  <c:v>14.446649000000001</c:v>
                </c:pt>
                <c:pt idx="677">
                  <c:v>14.451516999999999</c:v>
                </c:pt>
                <c:pt idx="678">
                  <c:v>14.469363999999999</c:v>
                </c:pt>
                <c:pt idx="679">
                  <c:v>14.479098999999998</c:v>
                </c:pt>
                <c:pt idx="680">
                  <c:v>14.493700999999998</c:v>
                </c:pt>
                <c:pt idx="681">
                  <c:v>14.503436000000001</c:v>
                </c:pt>
                <c:pt idx="682">
                  <c:v>14.498569</c:v>
                </c:pt>
                <c:pt idx="683">
                  <c:v>14.511547999999998</c:v>
                </c:pt>
                <c:pt idx="684">
                  <c:v>14.522905999999999</c:v>
                </c:pt>
                <c:pt idx="685">
                  <c:v>14.531018</c:v>
                </c:pt>
                <c:pt idx="686">
                  <c:v>14.545621000000001</c:v>
                </c:pt>
                <c:pt idx="687">
                  <c:v>14.555354999999999</c:v>
                </c:pt>
                <c:pt idx="688">
                  <c:v>14.563468</c:v>
                </c:pt>
                <c:pt idx="689">
                  <c:v>14.566713</c:v>
                </c:pt>
                <c:pt idx="690">
                  <c:v>14.57807</c:v>
                </c:pt>
                <c:pt idx="691">
                  <c:v>14.582937999999999</c:v>
                </c:pt>
                <c:pt idx="692">
                  <c:v>14.592672</c:v>
                </c:pt>
                <c:pt idx="693">
                  <c:v>14.604029999999998</c:v>
                </c:pt>
                <c:pt idx="694">
                  <c:v>14.597539999999999</c:v>
                </c:pt>
                <c:pt idx="695">
                  <c:v>14.620255</c:v>
                </c:pt>
                <c:pt idx="696">
                  <c:v>14.642969000000001</c:v>
                </c:pt>
                <c:pt idx="697">
                  <c:v>14.642969000000001</c:v>
                </c:pt>
                <c:pt idx="698">
                  <c:v>14.651081999999999</c:v>
                </c:pt>
                <c:pt idx="699">
                  <c:v>14.634857</c:v>
                </c:pt>
                <c:pt idx="700">
                  <c:v>14.672173999999998</c:v>
                </c:pt>
                <c:pt idx="701">
                  <c:v>14.690020999999998</c:v>
                </c:pt>
                <c:pt idx="702">
                  <c:v>14.693265999999998</c:v>
                </c:pt>
                <c:pt idx="703">
                  <c:v>14.707867999999998</c:v>
                </c:pt>
                <c:pt idx="704">
                  <c:v>14.727338</c:v>
                </c:pt>
                <c:pt idx="705">
                  <c:v>14.715980999999999</c:v>
                </c:pt>
                <c:pt idx="706">
                  <c:v>14.73545</c:v>
                </c:pt>
                <c:pt idx="707">
                  <c:v>14.73545</c:v>
                </c:pt>
                <c:pt idx="708">
                  <c:v>14.732205999999998</c:v>
                </c:pt>
                <c:pt idx="709">
                  <c:v>14.759788</c:v>
                </c:pt>
                <c:pt idx="710">
                  <c:v>14.767900000000001</c:v>
                </c:pt>
                <c:pt idx="711">
                  <c:v>14.772766999999998</c:v>
                </c:pt>
                <c:pt idx="712">
                  <c:v>14.776011999999998</c:v>
                </c:pt>
                <c:pt idx="713">
                  <c:v>14.798727</c:v>
                </c:pt>
                <c:pt idx="714">
                  <c:v>14.798727</c:v>
                </c:pt>
                <c:pt idx="715">
                  <c:v>14.810084</c:v>
                </c:pt>
                <c:pt idx="716">
                  <c:v>14.842534000000001</c:v>
                </c:pt>
                <c:pt idx="717">
                  <c:v>14.860381</c:v>
                </c:pt>
                <c:pt idx="718">
                  <c:v>14.881473</c:v>
                </c:pt>
                <c:pt idx="719">
                  <c:v>14.896076000000001</c:v>
                </c:pt>
                <c:pt idx="720">
                  <c:v>14.909056</c:v>
                </c:pt>
                <c:pt idx="721">
                  <c:v>14.918789999999998</c:v>
                </c:pt>
                <c:pt idx="722">
                  <c:v>14.936637999999999</c:v>
                </c:pt>
                <c:pt idx="723">
                  <c:v>14.952863000000001</c:v>
                </c:pt>
                <c:pt idx="724">
                  <c:v>14.97071</c:v>
                </c:pt>
                <c:pt idx="725">
                  <c:v>14.996669000000001</c:v>
                </c:pt>
                <c:pt idx="726">
                  <c:v>15.021007000000001</c:v>
                </c:pt>
                <c:pt idx="727">
                  <c:v>15.024252000000001</c:v>
                </c:pt>
                <c:pt idx="728">
                  <c:v>15.056701</c:v>
                </c:pt>
                <c:pt idx="729">
                  <c:v>15.063191</c:v>
                </c:pt>
                <c:pt idx="730">
                  <c:v>15.085905999999998</c:v>
                </c:pt>
                <c:pt idx="731">
                  <c:v>15.097262999999998</c:v>
                </c:pt>
                <c:pt idx="732">
                  <c:v>15.123222999999999</c:v>
                </c:pt>
                <c:pt idx="733">
                  <c:v>15.131335</c:v>
                </c:pt>
                <c:pt idx="734">
                  <c:v>15.145937</c:v>
                </c:pt>
                <c:pt idx="735">
                  <c:v>15.168651999999998</c:v>
                </c:pt>
                <c:pt idx="736">
                  <c:v>15.175142000000001</c:v>
                </c:pt>
                <c:pt idx="737">
                  <c:v>15.196234</c:v>
                </c:pt>
                <c:pt idx="738">
                  <c:v>15.218948999999999</c:v>
                </c:pt>
                <c:pt idx="739">
                  <c:v>15.233550999999999</c:v>
                </c:pt>
                <c:pt idx="740">
                  <c:v>15.259511</c:v>
                </c:pt>
                <c:pt idx="741">
                  <c:v>15.270868</c:v>
                </c:pt>
                <c:pt idx="742">
                  <c:v>15.283847999999999</c:v>
                </c:pt>
                <c:pt idx="743">
                  <c:v>15.296827999999998</c:v>
                </c:pt>
                <c:pt idx="744">
                  <c:v>15.32441</c:v>
                </c:pt>
                <c:pt idx="745">
                  <c:v>15.3309</c:v>
                </c:pt>
                <c:pt idx="746">
                  <c:v>15.361726999999998</c:v>
                </c:pt>
                <c:pt idx="747">
                  <c:v>15.368216999999998</c:v>
                </c:pt>
                <c:pt idx="748">
                  <c:v>15.394175999999998</c:v>
                </c:pt>
                <c:pt idx="749">
                  <c:v>15.400666000000001</c:v>
                </c:pt>
                <c:pt idx="750">
                  <c:v>15.425003</c:v>
                </c:pt>
                <c:pt idx="751">
                  <c:v>15.446096000000001</c:v>
                </c:pt>
                <c:pt idx="752">
                  <c:v>15.455829999999999</c:v>
                </c:pt>
                <c:pt idx="753">
                  <c:v>15.472055000000001</c:v>
                </c:pt>
                <c:pt idx="754">
                  <c:v>15.48179</c:v>
                </c:pt>
                <c:pt idx="755">
                  <c:v>15.509371999999999</c:v>
                </c:pt>
                <c:pt idx="756">
                  <c:v>15.525596999999998</c:v>
                </c:pt>
                <c:pt idx="757">
                  <c:v>15.538577</c:v>
                </c:pt>
                <c:pt idx="758">
                  <c:v>15.559669</c:v>
                </c:pt>
                <c:pt idx="759">
                  <c:v>15.572648999999998</c:v>
                </c:pt>
                <c:pt idx="760">
                  <c:v>15.601852999999998</c:v>
                </c:pt>
                <c:pt idx="761">
                  <c:v>15.618078000000001</c:v>
                </c:pt>
                <c:pt idx="762">
                  <c:v>15.622945999999999</c:v>
                </c:pt>
                <c:pt idx="763">
                  <c:v>15.647282999999998</c:v>
                </c:pt>
                <c:pt idx="764">
                  <c:v>15.663508</c:v>
                </c:pt>
                <c:pt idx="765">
                  <c:v>15.686222000000001</c:v>
                </c:pt>
                <c:pt idx="766">
                  <c:v>15.694334999999999</c:v>
                </c:pt>
                <c:pt idx="767">
                  <c:v>15.712181999999999</c:v>
                </c:pt>
                <c:pt idx="768">
                  <c:v>15.726783999999999</c:v>
                </c:pt>
                <c:pt idx="769">
                  <c:v>15.744630999999998</c:v>
                </c:pt>
                <c:pt idx="770">
                  <c:v>15.762478999999999</c:v>
                </c:pt>
                <c:pt idx="771">
                  <c:v>15.783570999999998</c:v>
                </c:pt>
                <c:pt idx="772">
                  <c:v>15.790060999999998</c:v>
                </c:pt>
                <c:pt idx="773">
                  <c:v>15.817643</c:v>
                </c:pt>
                <c:pt idx="774">
                  <c:v>15.83549</c:v>
                </c:pt>
                <c:pt idx="775">
                  <c:v>15.848469999999999</c:v>
                </c:pt>
                <c:pt idx="776">
                  <c:v>15.869561999999998</c:v>
                </c:pt>
                <c:pt idx="777">
                  <c:v>15.884163999999998</c:v>
                </c:pt>
                <c:pt idx="778">
                  <c:v>15.903634</c:v>
                </c:pt>
                <c:pt idx="779">
                  <c:v>15.916613999999999</c:v>
                </c:pt>
                <c:pt idx="780">
                  <c:v>15.936084000000001</c:v>
                </c:pt>
                <c:pt idx="781">
                  <c:v>15.957176</c:v>
                </c:pt>
                <c:pt idx="782">
                  <c:v>15.976644999999998</c:v>
                </c:pt>
                <c:pt idx="783">
                  <c:v>15.994492999999999</c:v>
                </c:pt>
                <c:pt idx="784">
                  <c:v>16.004227999999998</c:v>
                </c:pt>
                <c:pt idx="785">
                  <c:v>16.023696999999999</c:v>
                </c:pt>
                <c:pt idx="786">
                  <c:v>16.03181</c:v>
                </c:pt>
                <c:pt idx="787">
                  <c:v>16.062636999999999</c:v>
                </c:pt>
                <c:pt idx="788">
                  <c:v>16.067504</c:v>
                </c:pt>
                <c:pt idx="789">
                  <c:v>16.088595999999999</c:v>
                </c:pt>
                <c:pt idx="790">
                  <c:v>16.099954</c:v>
                </c:pt>
                <c:pt idx="791">
                  <c:v>16.153494999999999</c:v>
                </c:pt>
                <c:pt idx="792">
                  <c:v>16.15025</c:v>
                </c:pt>
                <c:pt idx="793">
                  <c:v>16.156739999999999</c:v>
                </c:pt>
                <c:pt idx="794">
                  <c:v>16.179455000000001</c:v>
                </c:pt>
                <c:pt idx="795">
                  <c:v>16.18919</c:v>
                </c:pt>
                <c:pt idx="796">
                  <c:v>16.218394</c:v>
                </c:pt>
                <c:pt idx="797">
                  <c:v>16.224883999999999</c:v>
                </c:pt>
                <c:pt idx="798">
                  <c:v>16.237863999999998</c:v>
                </c:pt>
                <c:pt idx="799">
                  <c:v>16.258955999999998</c:v>
                </c:pt>
                <c:pt idx="800">
                  <c:v>16.280048000000001</c:v>
                </c:pt>
                <c:pt idx="801">
                  <c:v>16.299517999999999</c:v>
                </c:pt>
                <c:pt idx="802">
                  <c:v>16.317364999999999</c:v>
                </c:pt>
                <c:pt idx="803">
                  <c:v>16.325478</c:v>
                </c:pt>
                <c:pt idx="804">
                  <c:v>16.356304999999999</c:v>
                </c:pt>
                <c:pt idx="805">
                  <c:v>16.362794999999998</c:v>
                </c:pt>
                <c:pt idx="806">
                  <c:v>16.382263999999999</c:v>
                </c:pt>
                <c:pt idx="807">
                  <c:v>16.404979000000001</c:v>
                </c:pt>
                <c:pt idx="808">
                  <c:v>16.417959</c:v>
                </c:pt>
                <c:pt idx="809">
                  <c:v>16.430938999999999</c:v>
                </c:pt>
                <c:pt idx="810">
                  <c:v>16.445540999999999</c:v>
                </c:pt>
                <c:pt idx="811">
                  <c:v>16.474746</c:v>
                </c:pt>
                <c:pt idx="812">
                  <c:v>16.489348</c:v>
                </c:pt>
                <c:pt idx="813">
                  <c:v>16.499082999999999</c:v>
                </c:pt>
                <c:pt idx="814">
                  <c:v>16.526664999999998</c:v>
                </c:pt>
                <c:pt idx="815">
                  <c:v>16.539645</c:v>
                </c:pt>
                <c:pt idx="816">
                  <c:v>16.560737</c:v>
                </c:pt>
                <c:pt idx="817">
                  <c:v>16.578583999999999</c:v>
                </c:pt>
                <c:pt idx="818">
                  <c:v>16.576961999999998</c:v>
                </c:pt>
                <c:pt idx="819">
                  <c:v>16.607789</c:v>
                </c:pt>
                <c:pt idx="820">
                  <c:v>16.617522999999998</c:v>
                </c:pt>
                <c:pt idx="821">
                  <c:v>16.640238</c:v>
                </c:pt>
                <c:pt idx="822">
                  <c:v>16.641860999999999</c:v>
                </c:pt>
                <c:pt idx="823">
                  <c:v>16.682421999999999</c:v>
                </c:pt>
                <c:pt idx="824">
                  <c:v>16.690535000000001</c:v>
                </c:pt>
                <c:pt idx="825">
                  <c:v>16.703514999999999</c:v>
                </c:pt>
                <c:pt idx="826">
                  <c:v>16.727851999999999</c:v>
                </c:pt>
                <c:pt idx="827">
                  <c:v>16.760300999999998</c:v>
                </c:pt>
                <c:pt idx="828">
                  <c:v>16.753810999999999</c:v>
                </c:pt>
                <c:pt idx="829">
                  <c:v>16.778147999999998</c:v>
                </c:pt>
                <c:pt idx="830">
                  <c:v>16.795995999999999</c:v>
                </c:pt>
                <c:pt idx="831">
                  <c:v>16.817087999999998</c:v>
                </c:pt>
                <c:pt idx="832">
                  <c:v>16.830068000000001</c:v>
                </c:pt>
                <c:pt idx="833">
                  <c:v>16.843046999999999</c:v>
                </c:pt>
                <c:pt idx="834">
                  <c:v>16.859272000000001</c:v>
                </c:pt>
                <c:pt idx="835">
                  <c:v>16.873874000000001</c:v>
                </c:pt>
                <c:pt idx="836">
                  <c:v>16.890098999999999</c:v>
                </c:pt>
                <c:pt idx="837">
                  <c:v>16.890098999999999</c:v>
                </c:pt>
                <c:pt idx="838">
                  <c:v>16.917680999999998</c:v>
                </c:pt>
                <c:pt idx="839">
                  <c:v>16.940396</c:v>
                </c:pt>
                <c:pt idx="840">
                  <c:v>16.971222999999998</c:v>
                </c:pt>
                <c:pt idx="841">
                  <c:v>16.972845</c:v>
                </c:pt>
                <c:pt idx="842">
                  <c:v>16.993938</c:v>
                </c:pt>
                <c:pt idx="843">
                  <c:v>17.006916999999998</c:v>
                </c:pt>
                <c:pt idx="844">
                  <c:v>17.028009999999998</c:v>
                </c:pt>
                <c:pt idx="845">
                  <c:v>17.049101999999998</c:v>
                </c:pt>
                <c:pt idx="846">
                  <c:v>17.065325999999999</c:v>
                </c:pt>
                <c:pt idx="847">
                  <c:v>17.078305999999998</c:v>
                </c:pt>
                <c:pt idx="848">
                  <c:v>17.101020999999999</c:v>
                </c:pt>
                <c:pt idx="849">
                  <c:v>17.114000999999998</c:v>
                </c:pt>
                <c:pt idx="850">
                  <c:v>17.136714999999999</c:v>
                </c:pt>
                <c:pt idx="851">
                  <c:v>17.144828</c:v>
                </c:pt>
                <c:pt idx="852">
                  <c:v>17.167542000000001</c:v>
                </c:pt>
                <c:pt idx="853">
                  <c:v>17.174032</c:v>
                </c:pt>
                <c:pt idx="854">
                  <c:v>17.198369</c:v>
                </c:pt>
                <c:pt idx="855">
                  <c:v>17.221083999999998</c:v>
                </c:pt>
                <c:pt idx="856">
                  <c:v>17.235685999999998</c:v>
                </c:pt>
                <c:pt idx="857">
                  <c:v>17.256778000000001</c:v>
                </c:pt>
                <c:pt idx="858">
                  <c:v>17.282737999999998</c:v>
                </c:pt>
                <c:pt idx="859">
                  <c:v>17.289227999999998</c:v>
                </c:pt>
                <c:pt idx="860">
                  <c:v>17.295718000000001</c:v>
                </c:pt>
                <c:pt idx="861">
                  <c:v>17.318432999999999</c:v>
                </c:pt>
                <c:pt idx="862">
                  <c:v>17.334657</c:v>
                </c:pt>
                <c:pt idx="863">
                  <c:v>17.363862000000001</c:v>
                </c:pt>
                <c:pt idx="864">
                  <c:v>17.370352</c:v>
                </c:pt>
                <c:pt idx="865">
                  <c:v>17.386575999999998</c:v>
                </c:pt>
                <c:pt idx="866">
                  <c:v>17.404423999999999</c:v>
                </c:pt>
                <c:pt idx="867">
                  <c:v>17.397933999999999</c:v>
                </c:pt>
                <c:pt idx="868">
                  <c:v>17.409291</c:v>
                </c:pt>
                <c:pt idx="869">
                  <c:v>17.422270999999999</c:v>
                </c:pt>
                <c:pt idx="870">
                  <c:v>17.427137999999999</c:v>
                </c:pt>
                <c:pt idx="871">
                  <c:v>17.438496000000001</c:v>
                </c:pt>
                <c:pt idx="872">
                  <c:v>17.451474999999999</c:v>
                </c:pt>
                <c:pt idx="873">
                  <c:v>17.451474999999999</c:v>
                </c:pt>
                <c:pt idx="874">
                  <c:v>17.459588</c:v>
                </c:pt>
                <c:pt idx="875">
                  <c:v>17.472567999999999</c:v>
                </c:pt>
                <c:pt idx="876">
                  <c:v>17.485547</c:v>
                </c:pt>
                <c:pt idx="877">
                  <c:v>17.493659999999998</c:v>
                </c:pt>
                <c:pt idx="878">
                  <c:v>17.495282</c:v>
                </c:pt>
                <c:pt idx="879">
                  <c:v>17.509884</c:v>
                </c:pt>
                <c:pt idx="880">
                  <c:v>17.526108999999998</c:v>
                </c:pt>
                <c:pt idx="881">
                  <c:v>17.535844000000001</c:v>
                </c:pt>
                <c:pt idx="882">
                  <c:v>17.542334</c:v>
                </c:pt>
                <c:pt idx="883">
                  <c:v>17.542334</c:v>
                </c:pt>
                <c:pt idx="884">
                  <c:v>17.563426</c:v>
                </c:pt>
                <c:pt idx="885">
                  <c:v>17.556936</c:v>
                </c:pt>
                <c:pt idx="886">
                  <c:v>17.571538</c:v>
                </c:pt>
                <c:pt idx="887">
                  <c:v>17.576405999999999</c:v>
                </c:pt>
                <c:pt idx="888">
                  <c:v>17.584517999999999</c:v>
                </c:pt>
                <c:pt idx="889">
                  <c:v>17.607233000000001</c:v>
                </c:pt>
                <c:pt idx="890">
                  <c:v>17.608854999999998</c:v>
                </c:pt>
                <c:pt idx="891">
                  <c:v>17.616968</c:v>
                </c:pt>
                <c:pt idx="892">
                  <c:v>17.625080000000001</c:v>
                </c:pt>
                <c:pt idx="893">
                  <c:v>17.636437000000001</c:v>
                </c:pt>
                <c:pt idx="894">
                  <c:v>17.647794999999999</c:v>
                </c:pt>
                <c:pt idx="895">
                  <c:v>17.664019</c:v>
                </c:pt>
                <c:pt idx="896">
                  <c:v>17.659151999999999</c:v>
                </c:pt>
                <c:pt idx="897">
                  <c:v>17.680243999999998</c:v>
                </c:pt>
                <c:pt idx="898">
                  <c:v>17.676998999999999</c:v>
                </c:pt>
                <c:pt idx="899">
                  <c:v>17.689979000000001</c:v>
                </c:pt>
                <c:pt idx="900">
                  <c:v>17.701335999999998</c:v>
                </c:pt>
                <c:pt idx="901">
                  <c:v>17.711071</c:v>
                </c:pt>
                <c:pt idx="902">
                  <c:v>17.717561</c:v>
                </c:pt>
                <c:pt idx="903">
                  <c:v>17.728918</c:v>
                </c:pt>
                <c:pt idx="904">
                  <c:v>17.735408</c:v>
                </c:pt>
                <c:pt idx="905">
                  <c:v>17.751632999999998</c:v>
                </c:pt>
                <c:pt idx="906">
                  <c:v>17.761368000000001</c:v>
                </c:pt>
                <c:pt idx="907">
                  <c:v>17.756499999999999</c:v>
                </c:pt>
                <c:pt idx="908">
                  <c:v>17.777593</c:v>
                </c:pt>
                <c:pt idx="909">
                  <c:v>17.779215000000001</c:v>
                </c:pt>
                <c:pt idx="910">
                  <c:v>17.779215000000001</c:v>
                </c:pt>
                <c:pt idx="911">
                  <c:v>17.798684999999999</c:v>
                </c:pt>
                <c:pt idx="912">
                  <c:v>17.806797</c:v>
                </c:pt>
                <c:pt idx="913">
                  <c:v>17.808419999999998</c:v>
                </c:pt>
                <c:pt idx="914">
                  <c:v>17.827888999999999</c:v>
                </c:pt>
                <c:pt idx="915">
                  <c:v>17.839247</c:v>
                </c:pt>
                <c:pt idx="916">
                  <c:v>17.847359000000001</c:v>
                </c:pt>
                <c:pt idx="917">
                  <c:v>17.855470999999998</c:v>
                </c:pt>
                <c:pt idx="918">
                  <c:v>17.871696</c:v>
                </c:pt>
                <c:pt idx="919">
                  <c:v>17.878185999999999</c:v>
                </c:pt>
                <c:pt idx="920">
                  <c:v>17.879808000000001</c:v>
                </c:pt>
                <c:pt idx="921">
                  <c:v>17.902522999999999</c:v>
                </c:pt>
                <c:pt idx="922">
                  <c:v>17.910634999999999</c:v>
                </c:pt>
                <c:pt idx="923">
                  <c:v>17.909012999999998</c:v>
                </c:pt>
                <c:pt idx="924">
                  <c:v>17.925238</c:v>
                </c:pt>
                <c:pt idx="925">
                  <c:v>17.930105000000001</c:v>
                </c:pt>
                <c:pt idx="926">
                  <c:v>17.936595000000001</c:v>
                </c:pt>
                <c:pt idx="927">
                  <c:v>17.944707000000001</c:v>
                </c:pt>
                <c:pt idx="928">
                  <c:v>17.947952000000001</c:v>
                </c:pt>
                <c:pt idx="929">
                  <c:v>17.970666999999999</c:v>
                </c:pt>
                <c:pt idx="930">
                  <c:v>17.983646999999998</c:v>
                </c:pt>
                <c:pt idx="931">
                  <c:v>17.991758999999998</c:v>
                </c:pt>
                <c:pt idx="932">
                  <c:v>17.993382</c:v>
                </c:pt>
                <c:pt idx="933">
                  <c:v>18.004739000000001</c:v>
                </c:pt>
                <c:pt idx="934">
                  <c:v>18.016096000000001</c:v>
                </c:pt>
                <c:pt idx="935">
                  <c:v>18.029076</c:v>
                </c:pt>
                <c:pt idx="936">
                  <c:v>18.027453999999999</c:v>
                </c:pt>
                <c:pt idx="937">
                  <c:v>18.038810999999999</c:v>
                </c:pt>
                <c:pt idx="938">
                  <c:v>18.061525</c:v>
                </c:pt>
                <c:pt idx="939">
                  <c:v>18.056657999999999</c:v>
                </c:pt>
                <c:pt idx="940">
                  <c:v>18.064769999999999</c:v>
                </c:pt>
                <c:pt idx="941">
                  <c:v>18.082618</c:v>
                </c:pt>
                <c:pt idx="942">
                  <c:v>18.090730000000001</c:v>
                </c:pt>
                <c:pt idx="943">
                  <c:v>18.095596999999998</c:v>
                </c:pt>
                <c:pt idx="944">
                  <c:v>18.102087000000001</c:v>
                </c:pt>
                <c:pt idx="945">
                  <c:v>18.119934999999998</c:v>
                </c:pt>
                <c:pt idx="946">
                  <c:v>18.129669</c:v>
                </c:pt>
                <c:pt idx="947">
                  <c:v>18.139403999999999</c:v>
                </c:pt>
                <c:pt idx="948">
                  <c:v>18.137781999999998</c:v>
                </c:pt>
                <c:pt idx="949">
                  <c:v>18.163740999999998</c:v>
                </c:pt>
                <c:pt idx="950">
                  <c:v>18.163740999999998</c:v>
                </c:pt>
                <c:pt idx="951">
                  <c:v>18.175098999999999</c:v>
                </c:pt>
                <c:pt idx="952">
                  <c:v>18.181588999999999</c:v>
                </c:pt>
                <c:pt idx="953">
                  <c:v>18.192945999999999</c:v>
                </c:pt>
                <c:pt idx="954">
                  <c:v>18.194568</c:v>
                </c:pt>
                <c:pt idx="955">
                  <c:v>18.220527999999998</c:v>
                </c:pt>
                <c:pt idx="956">
                  <c:v>18.228639999999999</c:v>
                </c:pt>
                <c:pt idx="957">
                  <c:v>18.238374999999998</c:v>
                </c:pt>
                <c:pt idx="958">
                  <c:v>18.251355</c:v>
                </c:pt>
                <c:pt idx="959">
                  <c:v>18.259467000000001</c:v>
                </c:pt>
                <c:pt idx="960">
                  <c:v>18.267579999999999</c:v>
                </c:pt>
                <c:pt idx="961">
                  <c:v>18.278936999999999</c:v>
                </c:pt>
                <c:pt idx="962">
                  <c:v>18.285426999999999</c:v>
                </c:pt>
                <c:pt idx="963">
                  <c:v>18.293538999999999</c:v>
                </c:pt>
                <c:pt idx="964">
                  <c:v>18.296783999999999</c:v>
                </c:pt>
                <c:pt idx="965">
                  <c:v>18.306518999999998</c:v>
                </c:pt>
                <c:pt idx="966">
                  <c:v>18.319499</c:v>
                </c:pt>
                <c:pt idx="967">
                  <c:v>18.329234</c:v>
                </c:pt>
                <c:pt idx="968">
                  <c:v>18.337346</c:v>
                </c:pt>
                <c:pt idx="969">
                  <c:v>18.347080999999999</c:v>
                </c:pt>
                <c:pt idx="970">
                  <c:v>18.356815999999998</c:v>
                </c:pt>
                <c:pt idx="971">
                  <c:v>18.361682999999999</c:v>
                </c:pt>
                <c:pt idx="972">
                  <c:v>18.37304</c:v>
                </c:pt>
                <c:pt idx="973">
                  <c:v>18.386019999999998</c:v>
                </c:pt>
                <c:pt idx="974">
                  <c:v>18.390888</c:v>
                </c:pt>
                <c:pt idx="975">
                  <c:v>18.399000000000001</c:v>
                </c:pt>
                <c:pt idx="976">
                  <c:v>18.421714999999999</c:v>
                </c:pt>
                <c:pt idx="977">
                  <c:v>18.428204000000001</c:v>
                </c:pt>
                <c:pt idx="978">
                  <c:v>18.426582</c:v>
                </c:pt>
                <c:pt idx="979">
                  <c:v>18.439561999999999</c:v>
                </c:pt>
                <c:pt idx="980">
                  <c:v>18.449296999999998</c:v>
                </c:pt>
                <c:pt idx="981">
                  <c:v>18.455786</c:v>
                </c:pt>
                <c:pt idx="982">
                  <c:v>18.467144000000001</c:v>
                </c:pt>
                <c:pt idx="983">
                  <c:v>18.468765999999999</c:v>
                </c:pt>
                <c:pt idx="984">
                  <c:v>18.481746000000001</c:v>
                </c:pt>
                <c:pt idx="985">
                  <c:v>18.507705999999999</c:v>
                </c:pt>
                <c:pt idx="986">
                  <c:v>18.509328</c:v>
                </c:pt>
                <c:pt idx="987">
                  <c:v>18.512573</c:v>
                </c:pt>
                <c:pt idx="988">
                  <c:v>18.528797999999998</c:v>
                </c:pt>
                <c:pt idx="989">
                  <c:v>18.549889999999998</c:v>
                </c:pt>
                <c:pt idx="990">
                  <c:v>18.546644999999998</c:v>
                </c:pt>
                <c:pt idx="991">
                  <c:v>18.551511999999999</c:v>
                </c:pt>
                <c:pt idx="992">
                  <c:v>18.566115</c:v>
                </c:pt>
                <c:pt idx="993">
                  <c:v>18.574227</c:v>
                </c:pt>
                <c:pt idx="994">
                  <c:v>18.575848999999998</c:v>
                </c:pt>
                <c:pt idx="995">
                  <c:v>18.588829</c:v>
                </c:pt>
                <c:pt idx="996">
                  <c:v>18.608298999999999</c:v>
                </c:pt>
                <c:pt idx="997">
                  <c:v>18.618033999999998</c:v>
                </c:pt>
                <c:pt idx="998">
                  <c:v>18.614788999999998</c:v>
                </c:pt>
                <c:pt idx="999">
                  <c:v>18.637502999999999</c:v>
                </c:pt>
                <c:pt idx="1000">
                  <c:v>18.627769000000001</c:v>
                </c:pt>
                <c:pt idx="1001">
                  <c:v>18.645616</c:v>
                </c:pt>
                <c:pt idx="1002">
                  <c:v>18.653728000000001</c:v>
                </c:pt>
                <c:pt idx="1003">
                  <c:v>18.673197999999999</c:v>
                </c:pt>
                <c:pt idx="1004">
                  <c:v>18.656973000000001</c:v>
                </c:pt>
                <c:pt idx="1005">
                  <c:v>18.679687999999999</c:v>
                </c:pt>
                <c:pt idx="1006">
                  <c:v>18.666708</c:v>
                </c:pt>
                <c:pt idx="1007">
                  <c:v>18.705646999999999</c:v>
                </c:pt>
                <c:pt idx="1008">
                  <c:v>18.710515000000001</c:v>
                </c:pt>
                <c:pt idx="1009">
                  <c:v>18.729983999999998</c:v>
                </c:pt>
                <c:pt idx="1010">
                  <c:v>18.721871999999998</c:v>
                </c:pt>
                <c:pt idx="1011">
                  <c:v>18.751075999999998</c:v>
                </c:pt>
                <c:pt idx="1012">
                  <c:v>18.759188999999999</c:v>
                </c:pt>
                <c:pt idx="1013">
                  <c:v>18.762433999999999</c:v>
                </c:pt>
                <c:pt idx="1014">
                  <c:v>18.770546</c:v>
                </c:pt>
                <c:pt idx="1015">
                  <c:v>18.780280999999999</c:v>
                </c:pt>
                <c:pt idx="1016">
                  <c:v>18.809484999999999</c:v>
                </c:pt>
                <c:pt idx="1017">
                  <c:v>18.8322</c:v>
                </c:pt>
                <c:pt idx="1018">
                  <c:v>18.840312000000001</c:v>
                </c:pt>
                <c:pt idx="1019">
                  <c:v>18.863026999999999</c:v>
                </c:pt>
                <c:pt idx="1020">
                  <c:v>18.877628999999999</c:v>
                </c:pt>
                <c:pt idx="1021">
                  <c:v>18.893854000000001</c:v>
                </c:pt>
                <c:pt idx="1022">
                  <c:v>18.916568999999999</c:v>
                </c:pt>
                <c:pt idx="1023">
                  <c:v>18.924681</c:v>
                </c:pt>
                <c:pt idx="1024">
                  <c:v>18.947395999999998</c:v>
                </c:pt>
                <c:pt idx="1025">
                  <c:v>19.000937</c:v>
                </c:pt>
                <c:pt idx="1026">
                  <c:v>18.997692000000001</c:v>
                </c:pt>
                <c:pt idx="1027">
                  <c:v>19.012294000000001</c:v>
                </c:pt>
                <c:pt idx="1028">
                  <c:v>19.028518999999999</c:v>
                </c:pt>
                <c:pt idx="1029">
                  <c:v>19.046365999999999</c:v>
                </c:pt>
                <c:pt idx="1030">
                  <c:v>19.077192999999998</c:v>
                </c:pt>
                <c:pt idx="1031">
                  <c:v>19.077192999999998</c:v>
                </c:pt>
                <c:pt idx="1032">
                  <c:v>19.093418</c:v>
                </c:pt>
                <c:pt idx="1033">
                  <c:v>19.109642999999998</c:v>
                </c:pt>
                <c:pt idx="1034">
                  <c:v>19.140470000000001</c:v>
                </c:pt>
                <c:pt idx="1035">
                  <c:v>19.148582000000001</c:v>
                </c:pt>
                <c:pt idx="1036">
                  <c:v>19.176164</c:v>
                </c:pt>
                <c:pt idx="1037">
                  <c:v>19.189143999999999</c:v>
                </c:pt>
                <c:pt idx="1038">
                  <c:v>19.205369000000001</c:v>
                </c:pt>
                <c:pt idx="1039">
                  <c:v>19.226461</c:v>
                </c:pt>
                <c:pt idx="1040">
                  <c:v>19.249175000000001</c:v>
                </c:pt>
                <c:pt idx="1041">
                  <c:v>19.2654</c:v>
                </c:pt>
                <c:pt idx="1042">
                  <c:v>19.284869999999998</c:v>
                </c:pt>
                <c:pt idx="1043">
                  <c:v>19.297848999999999</c:v>
                </c:pt>
                <c:pt idx="1044">
                  <c:v>19.312452</c:v>
                </c:pt>
                <c:pt idx="1045">
                  <c:v>19.330299</c:v>
                </c:pt>
                <c:pt idx="1046">
                  <c:v>19.369237999999999</c:v>
                </c:pt>
                <c:pt idx="1047">
                  <c:v>19.374105999999998</c:v>
                </c:pt>
                <c:pt idx="1048">
                  <c:v>19.390329999999999</c:v>
                </c:pt>
                <c:pt idx="1049">
                  <c:v>19.411421999999998</c:v>
                </c:pt>
                <c:pt idx="1050">
                  <c:v>19.424402000000001</c:v>
                </c:pt>
                <c:pt idx="1051">
                  <c:v>19.450361999999998</c:v>
                </c:pt>
                <c:pt idx="1052">
                  <c:v>19.473075999999999</c:v>
                </c:pt>
                <c:pt idx="1053">
                  <c:v>19.473075999999999</c:v>
                </c:pt>
                <c:pt idx="1054">
                  <c:v>19.499036</c:v>
                </c:pt>
                <c:pt idx="1055">
                  <c:v>19.520128</c:v>
                </c:pt>
                <c:pt idx="1056">
                  <c:v>19.533107999999999</c:v>
                </c:pt>
                <c:pt idx="1057">
                  <c:v>19.555821999999999</c:v>
                </c:pt>
                <c:pt idx="1058">
                  <c:v>19.572046999999998</c:v>
                </c:pt>
                <c:pt idx="1059">
                  <c:v>19.586648999999998</c:v>
                </c:pt>
                <c:pt idx="1060">
                  <c:v>19.602874</c:v>
                </c:pt>
                <c:pt idx="1061">
                  <c:v>19.632079000000001</c:v>
                </c:pt>
                <c:pt idx="1062">
                  <c:v>19.648302999999999</c:v>
                </c:pt>
                <c:pt idx="1063">
                  <c:v>19.666149999999998</c:v>
                </c:pt>
                <c:pt idx="1064">
                  <c:v>19.688865</c:v>
                </c:pt>
                <c:pt idx="1065">
                  <c:v>19.698599999999999</c:v>
                </c:pt>
                <c:pt idx="1066">
                  <c:v>19.719691999999998</c:v>
                </c:pt>
                <c:pt idx="1067">
                  <c:v>19.724558999999999</c:v>
                </c:pt>
                <c:pt idx="1068">
                  <c:v>19.760254</c:v>
                </c:pt>
                <c:pt idx="1069">
                  <c:v>19.774856</c:v>
                </c:pt>
                <c:pt idx="1070">
                  <c:v>19.787835999999999</c:v>
                </c:pt>
                <c:pt idx="1071">
                  <c:v>19.817039999999999</c:v>
                </c:pt>
                <c:pt idx="1072">
                  <c:v>19.838131999999998</c:v>
                </c:pt>
                <c:pt idx="1073">
                  <c:v>19.846245</c:v>
                </c:pt>
                <c:pt idx="1074">
                  <c:v>19.867336999999999</c:v>
                </c:pt>
                <c:pt idx="1075">
                  <c:v>19.873826999999999</c:v>
                </c:pt>
                <c:pt idx="1076">
                  <c:v>19.906275999999998</c:v>
                </c:pt>
                <c:pt idx="1077">
                  <c:v>19.912765999999998</c:v>
                </c:pt>
                <c:pt idx="1078">
                  <c:v>19.946838</c:v>
                </c:pt>
                <c:pt idx="1079">
                  <c:v>19.951705</c:v>
                </c:pt>
                <c:pt idx="1080">
                  <c:v>19.976042</c:v>
                </c:pt>
                <c:pt idx="1081">
                  <c:v>19.992266999999998</c:v>
                </c:pt>
                <c:pt idx="1082">
                  <c:v>19.998756999999998</c:v>
                </c:pt>
                <c:pt idx="1083">
                  <c:v>20.019849000000001</c:v>
                </c:pt>
                <c:pt idx="1084">
                  <c:v>20.045808999999998</c:v>
                </c:pt>
                <c:pt idx="1085">
                  <c:v>20.075012999999998</c:v>
                </c:pt>
                <c:pt idx="1086">
                  <c:v>20.079881</c:v>
                </c:pt>
                <c:pt idx="1087">
                  <c:v>20.096104999999998</c:v>
                </c:pt>
                <c:pt idx="1088">
                  <c:v>20.110706999999998</c:v>
                </c:pt>
                <c:pt idx="1089">
                  <c:v>20.144779</c:v>
                </c:pt>
                <c:pt idx="1090">
                  <c:v>20.151268999999999</c:v>
                </c:pt>
                <c:pt idx="1091">
                  <c:v>20.172360999999999</c:v>
                </c:pt>
                <c:pt idx="1092">
                  <c:v>20.191831000000001</c:v>
                </c:pt>
                <c:pt idx="1093">
                  <c:v>20.22428</c:v>
                </c:pt>
                <c:pt idx="1094">
                  <c:v>20.225902999999999</c:v>
                </c:pt>
                <c:pt idx="1095">
                  <c:v>20.256730000000001</c:v>
                </c:pt>
                <c:pt idx="1096">
                  <c:v>20.276198999999998</c:v>
                </c:pt>
                <c:pt idx="1097">
                  <c:v>20.294046999999999</c:v>
                </c:pt>
                <c:pt idx="1098">
                  <c:v>20.307026</c:v>
                </c:pt>
                <c:pt idx="1099">
                  <c:v>20.339475999999998</c:v>
                </c:pt>
                <c:pt idx="1100">
                  <c:v>20.350832999999998</c:v>
                </c:pt>
                <c:pt idx="1101">
                  <c:v>20.367058</c:v>
                </c:pt>
                <c:pt idx="1102">
                  <c:v>20.38815</c:v>
                </c:pt>
                <c:pt idx="1103">
                  <c:v>20.405996999999999</c:v>
                </c:pt>
                <c:pt idx="1104">
                  <c:v>20.420598999999999</c:v>
                </c:pt>
                <c:pt idx="1105">
                  <c:v>20.449804</c:v>
                </c:pt>
                <c:pt idx="1106">
                  <c:v>20.461161000000001</c:v>
                </c:pt>
                <c:pt idx="1107">
                  <c:v>20.496855</c:v>
                </c:pt>
                <c:pt idx="1108">
                  <c:v>20.506589999999999</c:v>
                </c:pt>
                <c:pt idx="1109">
                  <c:v>20.547152000000001</c:v>
                </c:pt>
                <c:pt idx="1110">
                  <c:v>20.553642</c:v>
                </c:pt>
                <c:pt idx="1111">
                  <c:v>20.563376999999999</c:v>
                </c:pt>
                <c:pt idx="1112">
                  <c:v>20.594203999999998</c:v>
                </c:pt>
                <c:pt idx="1113">
                  <c:v>20.605560999999998</c:v>
                </c:pt>
                <c:pt idx="1114">
                  <c:v>20.633143</c:v>
                </c:pt>
                <c:pt idx="1115">
                  <c:v>20.634764999999998</c:v>
                </c:pt>
                <c:pt idx="1116">
                  <c:v>20.667214999999999</c:v>
                </c:pt>
                <c:pt idx="1117">
                  <c:v>20.685061999999999</c:v>
                </c:pt>
                <c:pt idx="1118">
                  <c:v>20.706153999999998</c:v>
                </c:pt>
                <c:pt idx="1119">
                  <c:v>20.733736</c:v>
                </c:pt>
                <c:pt idx="1120">
                  <c:v>20.745093000000001</c:v>
                </c:pt>
                <c:pt idx="1121">
                  <c:v>20.771052999999998</c:v>
                </c:pt>
                <c:pt idx="1122">
                  <c:v>20.774297999999998</c:v>
                </c:pt>
                <c:pt idx="1123">
                  <c:v>20.797011999999999</c:v>
                </c:pt>
                <c:pt idx="1124">
                  <c:v>20.816482000000001</c:v>
                </c:pt>
                <c:pt idx="1125">
                  <c:v>20.840819</c:v>
                </c:pt>
                <c:pt idx="1126">
                  <c:v>20.866778</c:v>
                </c:pt>
                <c:pt idx="1127">
                  <c:v>20.881381000000001</c:v>
                </c:pt>
                <c:pt idx="1128">
                  <c:v>20.908963</c:v>
                </c:pt>
                <c:pt idx="1129">
                  <c:v>20.92681</c:v>
                </c:pt>
                <c:pt idx="1130">
                  <c:v>20.941412</c:v>
                </c:pt>
                <c:pt idx="1131">
                  <c:v>20.957636999999998</c:v>
                </c:pt>
                <c:pt idx="1132">
                  <c:v>20.978728999999998</c:v>
                </c:pt>
                <c:pt idx="1133">
                  <c:v>20.996576000000001</c:v>
                </c:pt>
                <c:pt idx="1134">
                  <c:v>21.009556</c:v>
                </c:pt>
                <c:pt idx="1135">
                  <c:v>21.040382999999999</c:v>
                </c:pt>
                <c:pt idx="1136">
                  <c:v>21.066341999999999</c:v>
                </c:pt>
                <c:pt idx="1137">
                  <c:v>21.089057</c:v>
                </c:pt>
                <c:pt idx="1138">
                  <c:v>21.100414000000001</c:v>
                </c:pt>
                <c:pt idx="1139">
                  <c:v>21.129618000000001</c:v>
                </c:pt>
                <c:pt idx="1140">
                  <c:v>21.142598</c:v>
                </c:pt>
                <c:pt idx="1141">
                  <c:v>21.162067999999998</c:v>
                </c:pt>
                <c:pt idx="1142">
                  <c:v>21.192895</c:v>
                </c:pt>
                <c:pt idx="1143">
                  <c:v>21.199384999999999</c:v>
                </c:pt>
                <c:pt idx="1144">
                  <c:v>21.223721999999999</c:v>
                </c:pt>
                <c:pt idx="1145">
                  <c:v>21.236701</c:v>
                </c:pt>
                <c:pt idx="1146">
                  <c:v>21.272395999999997</c:v>
                </c:pt>
                <c:pt idx="1147">
                  <c:v>21.290243</c:v>
                </c:pt>
                <c:pt idx="1148">
                  <c:v>21.314579999999996</c:v>
                </c:pt>
                <c:pt idx="1149">
                  <c:v>21.322692</c:v>
                </c:pt>
                <c:pt idx="1150">
                  <c:v>21.342161999999998</c:v>
                </c:pt>
                <c:pt idx="1151">
                  <c:v>21.372989</c:v>
                </c:pt>
                <c:pt idx="1152">
                  <c:v>21.385968999999999</c:v>
                </c:pt>
                <c:pt idx="1153">
                  <c:v>21.407061000000002</c:v>
                </c:pt>
                <c:pt idx="1154">
                  <c:v>21.433020000000003</c:v>
                </c:pt>
                <c:pt idx="1155">
                  <c:v>21.449245000000001</c:v>
                </c:pt>
                <c:pt idx="1156">
                  <c:v>21.46547</c:v>
                </c:pt>
                <c:pt idx="1157">
                  <c:v>21.491429</c:v>
                </c:pt>
                <c:pt idx="1158">
                  <c:v>21.517388999999998</c:v>
                </c:pt>
                <c:pt idx="1159">
                  <c:v>21.535236000000001</c:v>
                </c:pt>
                <c:pt idx="1160">
                  <c:v>21.548215000000003</c:v>
                </c:pt>
                <c:pt idx="1161">
                  <c:v>21.574175</c:v>
                </c:pt>
                <c:pt idx="1162">
                  <c:v>21.579041999999998</c:v>
                </c:pt>
                <c:pt idx="1163">
                  <c:v>21.622848999999999</c:v>
                </c:pt>
                <c:pt idx="1164">
                  <c:v>21.634206000000002</c:v>
                </c:pt>
                <c:pt idx="1165">
                  <c:v>21.648808999999996</c:v>
                </c:pt>
                <c:pt idx="1166">
                  <c:v>21.661787999999998</c:v>
                </c:pt>
                <c:pt idx="1167">
                  <c:v>21.668277999999997</c:v>
                </c:pt>
                <c:pt idx="1168">
                  <c:v>21.682880000000001</c:v>
                </c:pt>
                <c:pt idx="1169">
                  <c:v>21.68937</c:v>
                </c:pt>
                <c:pt idx="1170">
                  <c:v>21.703971999999997</c:v>
                </c:pt>
                <c:pt idx="1171">
                  <c:v>21.705594999999999</c:v>
                </c:pt>
                <c:pt idx="1172">
                  <c:v>21.716952000000003</c:v>
                </c:pt>
                <c:pt idx="1173">
                  <c:v>21.733177000000001</c:v>
                </c:pt>
                <c:pt idx="1174">
                  <c:v>21.747778999999998</c:v>
                </c:pt>
                <c:pt idx="1175">
                  <c:v>21.759136000000002</c:v>
                </c:pt>
                <c:pt idx="1176">
                  <c:v>21.764003999999996</c:v>
                </c:pt>
                <c:pt idx="1177">
                  <c:v>21.775361</c:v>
                </c:pt>
                <c:pt idx="1178">
                  <c:v>21.780227999999997</c:v>
                </c:pt>
                <c:pt idx="1179">
                  <c:v>21.798075999999998</c:v>
                </c:pt>
                <c:pt idx="1180">
                  <c:v>21.812678000000002</c:v>
                </c:pt>
                <c:pt idx="1181">
                  <c:v>21.80781</c:v>
                </c:pt>
                <c:pt idx="1182">
                  <c:v>21.835392000000002</c:v>
                </c:pt>
                <c:pt idx="1183">
                  <c:v>21.853239999999996</c:v>
                </c:pt>
                <c:pt idx="1184">
                  <c:v>21.862973999999998</c:v>
                </c:pt>
                <c:pt idx="1185">
                  <c:v>21.867842</c:v>
                </c:pt>
                <c:pt idx="1186">
                  <c:v>21.884066000000001</c:v>
                </c:pt>
                <c:pt idx="1187">
                  <c:v>21.888934000000003</c:v>
                </c:pt>
                <c:pt idx="1188">
                  <c:v>21.890556</c:v>
                </c:pt>
                <c:pt idx="1189">
                  <c:v>21.910025999999998</c:v>
                </c:pt>
                <c:pt idx="1190">
                  <c:v>21.924628000000002</c:v>
                </c:pt>
                <c:pt idx="1191">
                  <c:v>21.932739999999999</c:v>
                </c:pt>
                <c:pt idx="1192">
                  <c:v>21.947343</c:v>
                </c:pt>
                <c:pt idx="1193">
                  <c:v>21.948964999999998</c:v>
                </c:pt>
                <c:pt idx="1194">
                  <c:v>21.973302</c:v>
                </c:pt>
                <c:pt idx="1195">
                  <c:v>21.979792</c:v>
                </c:pt>
                <c:pt idx="1196">
                  <c:v>21.987903999999997</c:v>
                </c:pt>
                <c:pt idx="1197">
                  <c:v>22.000884000000003</c:v>
                </c:pt>
                <c:pt idx="1198">
                  <c:v>22.018730999999999</c:v>
                </c:pt>
                <c:pt idx="1199">
                  <c:v>22.051180999999996</c:v>
                </c:pt>
                <c:pt idx="1200">
                  <c:v>22.046313000000001</c:v>
                </c:pt>
                <c:pt idx="1201">
                  <c:v>22.043068000000002</c:v>
                </c:pt>
                <c:pt idx="1202">
                  <c:v>22.059293</c:v>
                </c:pt>
                <c:pt idx="1203">
                  <c:v>22.070649999999997</c:v>
                </c:pt>
                <c:pt idx="1204">
                  <c:v>22.078762999999999</c:v>
                </c:pt>
                <c:pt idx="1205">
                  <c:v>22.093365000000002</c:v>
                </c:pt>
                <c:pt idx="1206">
                  <c:v>22.104721999999999</c:v>
                </c:pt>
                <c:pt idx="1207">
                  <c:v>22.114456999999998</c:v>
                </c:pt>
                <c:pt idx="1208">
                  <c:v>22.132304000000001</c:v>
                </c:pt>
                <c:pt idx="1209">
                  <c:v>22.127436999999997</c:v>
                </c:pt>
                <c:pt idx="1210">
                  <c:v>22.143660999999998</c:v>
                </c:pt>
                <c:pt idx="1211">
                  <c:v>22.169621000000003</c:v>
                </c:pt>
                <c:pt idx="1212">
                  <c:v>22.171243</c:v>
                </c:pt>
                <c:pt idx="1213">
                  <c:v>22.180978</c:v>
                </c:pt>
                <c:pt idx="1214">
                  <c:v>22.192334999999996</c:v>
                </c:pt>
                <c:pt idx="1215">
                  <c:v>22.195579999999996</c:v>
                </c:pt>
                <c:pt idx="1216">
                  <c:v>22.213426999999999</c:v>
                </c:pt>
                <c:pt idx="1217">
                  <c:v>22.224785000000001</c:v>
                </c:pt>
                <c:pt idx="1218">
                  <c:v>22.242631999999997</c:v>
                </c:pt>
                <c:pt idx="1219">
                  <c:v>22.250744000000001</c:v>
                </c:pt>
                <c:pt idx="1220">
                  <c:v>22.268590999999997</c:v>
                </c:pt>
                <c:pt idx="1221">
                  <c:v>22.278325999999996</c:v>
                </c:pt>
                <c:pt idx="1222">
                  <c:v>22.279948999999998</c:v>
                </c:pt>
                <c:pt idx="1223">
                  <c:v>22.296173</c:v>
                </c:pt>
                <c:pt idx="1224">
                  <c:v>22.309152999999998</c:v>
                </c:pt>
                <c:pt idx="1225">
                  <c:v>22.312397999999998</c:v>
                </c:pt>
                <c:pt idx="1226">
                  <c:v>22.322132999999997</c:v>
                </c:pt>
                <c:pt idx="1227">
                  <c:v>22.338356999999998</c:v>
                </c:pt>
                <c:pt idx="1228">
                  <c:v>22.348091999999998</c:v>
                </c:pt>
                <c:pt idx="1229">
                  <c:v>22.361071999999997</c:v>
                </c:pt>
                <c:pt idx="1230">
                  <c:v>22.370807000000003</c:v>
                </c:pt>
                <c:pt idx="1231">
                  <c:v>22.382164</c:v>
                </c:pt>
                <c:pt idx="1232">
                  <c:v>22.391898999999999</c:v>
                </c:pt>
                <c:pt idx="1233">
                  <c:v>22.409746000000002</c:v>
                </c:pt>
                <c:pt idx="1234">
                  <c:v>22.412991000000002</c:v>
                </c:pt>
                <c:pt idx="1235">
                  <c:v>22.430837999999998</c:v>
                </c:pt>
                <c:pt idx="1236">
                  <c:v>22.450307999999996</c:v>
                </c:pt>
                <c:pt idx="1237">
                  <c:v>22.450307999999996</c:v>
                </c:pt>
                <c:pt idx="1238">
                  <c:v>22.471399999999999</c:v>
                </c:pt>
                <c:pt idx="1239">
                  <c:v>22.477889999999999</c:v>
                </c:pt>
                <c:pt idx="1240">
                  <c:v>22.481134999999998</c:v>
                </c:pt>
                <c:pt idx="1241">
                  <c:v>22.492492000000002</c:v>
                </c:pt>
                <c:pt idx="1242">
                  <c:v>22.513583999999998</c:v>
                </c:pt>
                <c:pt idx="1243">
                  <c:v>22.526563999999997</c:v>
                </c:pt>
                <c:pt idx="1244">
                  <c:v>22.536297999999999</c:v>
                </c:pt>
                <c:pt idx="1245">
                  <c:v>22.552522999999997</c:v>
                </c:pt>
                <c:pt idx="1246">
                  <c:v>22.557390999999999</c:v>
                </c:pt>
                <c:pt idx="1247">
                  <c:v>22.575238000000002</c:v>
                </c:pt>
                <c:pt idx="1248">
                  <c:v>22.57686</c:v>
                </c:pt>
                <c:pt idx="1249">
                  <c:v>22.596329999999998</c:v>
                </c:pt>
                <c:pt idx="1250">
                  <c:v>22.612553999999999</c:v>
                </c:pt>
                <c:pt idx="1251">
                  <c:v>22.627157</c:v>
                </c:pt>
                <c:pt idx="1252">
                  <c:v>22.641758999999997</c:v>
                </c:pt>
                <c:pt idx="1253">
                  <c:v>22.636891000000002</c:v>
                </c:pt>
                <c:pt idx="1254">
                  <c:v>22.651493999999996</c:v>
                </c:pt>
                <c:pt idx="1255">
                  <c:v>22.657982999999998</c:v>
                </c:pt>
                <c:pt idx="1256">
                  <c:v>22.672585999999999</c:v>
                </c:pt>
                <c:pt idx="1257">
                  <c:v>22.679075999999998</c:v>
                </c:pt>
                <c:pt idx="1258">
                  <c:v>22.698544999999999</c:v>
                </c:pt>
                <c:pt idx="1259">
                  <c:v>22.713147000000003</c:v>
                </c:pt>
                <c:pt idx="1260">
                  <c:v>22.734238999999999</c:v>
                </c:pt>
                <c:pt idx="1261">
                  <c:v>22.734238999999999</c:v>
                </c:pt>
                <c:pt idx="1262">
                  <c:v>22.748842</c:v>
                </c:pt>
                <c:pt idx="1263">
                  <c:v>22.763443999999996</c:v>
                </c:pt>
                <c:pt idx="1264">
                  <c:v>22.761821000000001</c:v>
                </c:pt>
                <c:pt idx="1265">
                  <c:v>22.781291</c:v>
                </c:pt>
                <c:pt idx="1266">
                  <c:v>22.787780999999999</c:v>
                </c:pt>
                <c:pt idx="1267">
                  <c:v>22.797515999999998</c:v>
                </c:pt>
                <c:pt idx="1268">
                  <c:v>22.828343</c:v>
                </c:pt>
                <c:pt idx="1269">
                  <c:v>22.820229999999999</c:v>
                </c:pt>
                <c:pt idx="1270">
                  <c:v>22.834832000000002</c:v>
                </c:pt>
                <c:pt idx="1271">
                  <c:v>22.857547</c:v>
                </c:pt>
                <c:pt idx="1272">
                  <c:v>22.851057000000001</c:v>
                </c:pt>
                <c:pt idx="1273">
                  <c:v>22.875393999999996</c:v>
                </c:pt>
                <c:pt idx="1274">
                  <c:v>22.889996</c:v>
                </c:pt>
                <c:pt idx="1275">
                  <c:v>22.899730999999999</c:v>
                </c:pt>
                <c:pt idx="1276">
                  <c:v>22.906220999999999</c:v>
                </c:pt>
                <c:pt idx="1277">
                  <c:v>22.927313000000002</c:v>
                </c:pt>
                <c:pt idx="1278">
                  <c:v>22.925690999999997</c:v>
                </c:pt>
                <c:pt idx="1279">
                  <c:v>22.950028</c:v>
                </c:pt>
                <c:pt idx="1280">
                  <c:v>22.948404999999998</c:v>
                </c:pt>
                <c:pt idx="1281">
                  <c:v>22.972742</c:v>
                </c:pt>
                <c:pt idx="1282">
                  <c:v>22.984098999999997</c:v>
                </c:pt>
                <c:pt idx="1283">
                  <c:v>22.984098999999997</c:v>
                </c:pt>
                <c:pt idx="1284">
                  <c:v>23.023039000000001</c:v>
                </c:pt>
                <c:pt idx="1285">
                  <c:v>23.011680999999999</c:v>
                </c:pt>
                <c:pt idx="1286">
                  <c:v>23.026282999999996</c:v>
                </c:pt>
                <c:pt idx="1287">
                  <c:v>23.044130999999997</c:v>
                </c:pt>
                <c:pt idx="1288">
                  <c:v>23.053864999999998</c:v>
                </c:pt>
                <c:pt idx="1289">
                  <c:v>23.070089999999997</c:v>
                </c:pt>
                <c:pt idx="1290">
                  <c:v>23.068467999999999</c:v>
                </c:pt>
                <c:pt idx="1291">
                  <c:v>23.083070000000003</c:v>
                </c:pt>
                <c:pt idx="1292">
                  <c:v>23.091182</c:v>
                </c:pt>
                <c:pt idx="1293">
                  <c:v>23.110651999999998</c:v>
                </c:pt>
                <c:pt idx="1294">
                  <c:v>23.110651999999998</c:v>
                </c:pt>
                <c:pt idx="1295">
                  <c:v>23.120386999999997</c:v>
                </c:pt>
                <c:pt idx="1296">
                  <c:v>23.151213000000002</c:v>
                </c:pt>
                <c:pt idx="1297">
                  <c:v>23.154458000000002</c:v>
                </c:pt>
                <c:pt idx="1298">
                  <c:v>23.167438000000001</c:v>
                </c:pt>
                <c:pt idx="1299">
                  <c:v>23.175549999999998</c:v>
                </c:pt>
                <c:pt idx="1300">
                  <c:v>23.208000000000002</c:v>
                </c:pt>
                <c:pt idx="1301">
                  <c:v>23.203132</c:v>
                </c:pt>
                <c:pt idx="1302">
                  <c:v>23.219356999999999</c:v>
                </c:pt>
                <c:pt idx="1303">
                  <c:v>23.230714000000003</c:v>
                </c:pt>
                <c:pt idx="1304">
                  <c:v>23.237204000000002</c:v>
                </c:pt>
                <c:pt idx="1305">
                  <c:v>23.253429000000001</c:v>
                </c:pt>
                <c:pt idx="1306">
                  <c:v>23.256674</c:v>
                </c:pt>
                <c:pt idx="1307">
                  <c:v>23.261540999999998</c:v>
                </c:pt>
                <c:pt idx="1308">
                  <c:v>23.290744999999998</c:v>
                </c:pt>
                <c:pt idx="1309">
                  <c:v>23.295612999999999</c:v>
                </c:pt>
                <c:pt idx="1310">
                  <c:v>23.308592999999998</c:v>
                </c:pt>
                <c:pt idx="1311">
                  <c:v>23.324816999999999</c:v>
                </c:pt>
                <c:pt idx="1312">
                  <c:v>23.334551999999999</c:v>
                </c:pt>
                <c:pt idx="1313">
                  <c:v>23.357266999999997</c:v>
                </c:pt>
                <c:pt idx="1314">
                  <c:v>23.358889000000001</c:v>
                </c:pt>
                <c:pt idx="1315">
                  <c:v>23.371869</c:v>
                </c:pt>
                <c:pt idx="1316">
                  <c:v>23.418919999999996</c:v>
                </c:pt>
                <c:pt idx="1317">
                  <c:v>23.422164999999996</c:v>
                </c:pt>
                <c:pt idx="1318">
                  <c:v>23.456236999999998</c:v>
                </c:pt>
                <c:pt idx="1319">
                  <c:v>23.482197000000003</c:v>
                </c:pt>
                <c:pt idx="1320">
                  <c:v>23.504910999999996</c:v>
                </c:pt>
                <c:pt idx="1321">
                  <c:v>23.529247999999999</c:v>
                </c:pt>
                <c:pt idx="1322">
                  <c:v>23.551962999999997</c:v>
                </c:pt>
                <c:pt idx="1323">
                  <c:v>23.584411999999997</c:v>
                </c:pt>
                <c:pt idx="1324">
                  <c:v>23.616860999999997</c:v>
                </c:pt>
                <c:pt idx="1325">
                  <c:v>23.649311000000001</c:v>
                </c:pt>
                <c:pt idx="1326">
                  <c:v>23.670402999999997</c:v>
                </c:pt>
                <c:pt idx="1327">
                  <c:v>23.697984000000002</c:v>
                </c:pt>
                <c:pt idx="1328">
                  <c:v>23.728810999999997</c:v>
                </c:pt>
                <c:pt idx="1329">
                  <c:v>23.756392999999999</c:v>
                </c:pt>
                <c:pt idx="1330">
                  <c:v>23.787220000000001</c:v>
                </c:pt>
                <c:pt idx="1331">
                  <c:v>23.808311999999997</c:v>
                </c:pt>
                <c:pt idx="1332">
                  <c:v>23.845628999999999</c:v>
                </c:pt>
                <c:pt idx="1333">
                  <c:v>23.850495999999996</c:v>
                </c:pt>
                <c:pt idx="1334">
                  <c:v>23.873211000000001</c:v>
                </c:pt>
                <c:pt idx="1335">
                  <c:v>23.902415000000001</c:v>
                </c:pt>
                <c:pt idx="1336">
                  <c:v>23.933241999999996</c:v>
                </c:pt>
                <c:pt idx="1337">
                  <c:v>23.954333999999999</c:v>
                </c:pt>
                <c:pt idx="1338">
                  <c:v>23.993272999999999</c:v>
                </c:pt>
                <c:pt idx="1339">
                  <c:v>24.003007999999998</c:v>
                </c:pt>
                <c:pt idx="1340">
                  <c:v>24.032211999999998</c:v>
                </c:pt>
                <c:pt idx="1341">
                  <c:v>24.059794</c:v>
                </c:pt>
                <c:pt idx="1342">
                  <c:v>24.077640999999996</c:v>
                </c:pt>
                <c:pt idx="1343">
                  <c:v>24.105222999999999</c:v>
                </c:pt>
                <c:pt idx="1344">
                  <c:v>24.136050000000001</c:v>
                </c:pt>
                <c:pt idx="1345">
                  <c:v>24.150651999999997</c:v>
                </c:pt>
                <c:pt idx="1346">
                  <c:v>24.186347000000001</c:v>
                </c:pt>
                <c:pt idx="1347">
                  <c:v>24.200948999999998</c:v>
                </c:pt>
                <c:pt idx="1348">
                  <c:v>24.246377999999996</c:v>
                </c:pt>
                <c:pt idx="1349">
                  <c:v>24.246377999999996</c:v>
                </c:pt>
                <c:pt idx="1350">
                  <c:v>24.278826999999996</c:v>
                </c:pt>
                <c:pt idx="1351">
                  <c:v>24.306408999999999</c:v>
                </c:pt>
                <c:pt idx="1352">
                  <c:v>24.332367999999999</c:v>
                </c:pt>
                <c:pt idx="1353">
                  <c:v>24.366440000000001</c:v>
                </c:pt>
                <c:pt idx="1354">
                  <c:v>24.382664999999999</c:v>
                </c:pt>
                <c:pt idx="1355">
                  <c:v>24.424848999999998</c:v>
                </c:pt>
                <c:pt idx="1356">
                  <c:v>24.449186000000001</c:v>
                </c:pt>
                <c:pt idx="1357">
                  <c:v>24.462166</c:v>
                </c:pt>
                <c:pt idx="1358">
                  <c:v>24.496236999999997</c:v>
                </c:pt>
                <c:pt idx="1359">
                  <c:v>24.515707000000003</c:v>
                </c:pt>
                <c:pt idx="1360">
                  <c:v>24.546533999999998</c:v>
                </c:pt>
                <c:pt idx="1361">
                  <c:v>24.572492999999998</c:v>
                </c:pt>
                <c:pt idx="1362">
                  <c:v>24.604943000000002</c:v>
                </c:pt>
                <c:pt idx="1363">
                  <c:v>24.640637000000002</c:v>
                </c:pt>
                <c:pt idx="1364">
                  <c:v>24.666596000000002</c:v>
                </c:pt>
                <c:pt idx="1365">
                  <c:v>24.687687999999998</c:v>
                </c:pt>
                <c:pt idx="1366">
                  <c:v>24.710402999999996</c:v>
                </c:pt>
                <c:pt idx="1367">
                  <c:v>24.737984999999998</c:v>
                </c:pt>
                <c:pt idx="1368">
                  <c:v>24.770433999999998</c:v>
                </c:pt>
                <c:pt idx="1369">
                  <c:v>24.807751</c:v>
                </c:pt>
                <c:pt idx="1370">
                  <c:v>24.823975000000001</c:v>
                </c:pt>
                <c:pt idx="1371">
                  <c:v>24.853179999999998</c:v>
                </c:pt>
                <c:pt idx="1372">
                  <c:v>24.888873999999998</c:v>
                </c:pt>
                <c:pt idx="1373">
                  <c:v>24.919701</c:v>
                </c:pt>
                <c:pt idx="1374">
                  <c:v>24.939170000000001</c:v>
                </c:pt>
                <c:pt idx="1375">
                  <c:v>24.974864</c:v>
                </c:pt>
                <c:pt idx="1376">
                  <c:v>25.004068999999998</c:v>
                </c:pt>
                <c:pt idx="1377">
                  <c:v>25.023537999999999</c:v>
                </c:pt>
                <c:pt idx="1378">
                  <c:v>25.059233000000003</c:v>
                </c:pt>
                <c:pt idx="1379">
                  <c:v>25.083569999999998</c:v>
                </c:pt>
                <c:pt idx="1380">
                  <c:v>25.116018999999998</c:v>
                </c:pt>
                <c:pt idx="1381">
                  <c:v>25.143601</c:v>
                </c:pt>
                <c:pt idx="1382">
                  <c:v>25.179295</c:v>
                </c:pt>
                <c:pt idx="1383">
                  <c:v>25.200387000000003</c:v>
                </c:pt>
                <c:pt idx="1384">
                  <c:v>25.234458999999998</c:v>
                </c:pt>
                <c:pt idx="1385">
                  <c:v>25.266907999999997</c:v>
                </c:pt>
                <c:pt idx="1386">
                  <c:v>25.305846999999996</c:v>
                </c:pt>
                <c:pt idx="1387">
                  <c:v>25.322072000000002</c:v>
                </c:pt>
                <c:pt idx="1388">
                  <c:v>25.361011000000001</c:v>
                </c:pt>
                <c:pt idx="1389">
                  <c:v>25.396705000000001</c:v>
                </c:pt>
                <c:pt idx="1390">
                  <c:v>25.429154</c:v>
                </c:pt>
                <c:pt idx="1391">
                  <c:v>25.463226000000002</c:v>
                </c:pt>
                <c:pt idx="1392">
                  <c:v>25.477827999999999</c:v>
                </c:pt>
                <c:pt idx="1393">
                  <c:v>25.507032999999996</c:v>
                </c:pt>
                <c:pt idx="1394">
                  <c:v>25.544349</c:v>
                </c:pt>
                <c:pt idx="1395">
                  <c:v>25.567063999999998</c:v>
                </c:pt>
                <c:pt idx="1396">
                  <c:v>25.602757999999998</c:v>
                </c:pt>
                <c:pt idx="1397">
                  <c:v>25.631961999999998</c:v>
                </c:pt>
                <c:pt idx="1398">
                  <c:v>25.662789</c:v>
                </c:pt>
                <c:pt idx="1399">
                  <c:v>25.704972999999999</c:v>
                </c:pt>
                <c:pt idx="1400">
                  <c:v>25.727687999999997</c:v>
                </c:pt>
                <c:pt idx="1401">
                  <c:v>25.761759000000001</c:v>
                </c:pt>
                <c:pt idx="1402">
                  <c:v>25.802321000000003</c:v>
                </c:pt>
                <c:pt idx="1403">
                  <c:v>25.826657999999998</c:v>
                </c:pt>
                <c:pt idx="1404">
                  <c:v>25.898045999999997</c:v>
                </c:pt>
                <c:pt idx="1405">
                  <c:v>25.901290999999997</c:v>
                </c:pt>
                <c:pt idx="1406">
                  <c:v>25.930496000000002</c:v>
                </c:pt>
                <c:pt idx="1407">
                  <c:v>25.962945000000001</c:v>
                </c:pt>
                <c:pt idx="1408">
                  <c:v>26.005129</c:v>
                </c:pt>
                <c:pt idx="1409">
                  <c:v>26.044067999999999</c:v>
                </c:pt>
                <c:pt idx="1410">
                  <c:v>26.065160000000002</c:v>
                </c:pt>
                <c:pt idx="1411">
                  <c:v>26.097609000000002</c:v>
                </c:pt>
                <c:pt idx="1412">
                  <c:v>26.143038000000001</c:v>
                </c:pt>
                <c:pt idx="1413">
                  <c:v>26.173865000000003</c:v>
                </c:pt>
                <c:pt idx="1414">
                  <c:v>26.206314000000003</c:v>
                </c:pt>
                <c:pt idx="1415">
                  <c:v>26.243630999999997</c:v>
                </c:pt>
                <c:pt idx="1416">
                  <c:v>26.293927</c:v>
                </c:pt>
                <c:pt idx="1417">
                  <c:v>26.319886999999998</c:v>
                </c:pt>
                <c:pt idx="1418">
                  <c:v>26.349090999999998</c:v>
                </c:pt>
                <c:pt idx="1419">
                  <c:v>26.386407999999999</c:v>
                </c:pt>
                <c:pt idx="1420">
                  <c:v>26.422101999999999</c:v>
                </c:pt>
                <c:pt idx="1421">
                  <c:v>26.459417999999996</c:v>
                </c:pt>
                <c:pt idx="1422">
                  <c:v>26.496734999999997</c:v>
                </c:pt>
                <c:pt idx="1423">
                  <c:v>26.555144000000002</c:v>
                </c:pt>
                <c:pt idx="1424">
                  <c:v>26.572990999999998</c:v>
                </c:pt>
                <c:pt idx="1425">
                  <c:v>26.595704999999999</c:v>
                </c:pt>
                <c:pt idx="1426">
                  <c:v>26.603818</c:v>
                </c:pt>
                <c:pt idx="1427">
                  <c:v>26.629777000000001</c:v>
                </c:pt>
                <c:pt idx="1428">
                  <c:v>26.633022</c:v>
                </c:pt>
                <c:pt idx="1429">
                  <c:v>26.646001999999999</c:v>
                </c:pt>
                <c:pt idx="1430">
                  <c:v>26.673582999999997</c:v>
                </c:pt>
                <c:pt idx="1431">
                  <c:v>26.710899999999999</c:v>
                </c:pt>
                <c:pt idx="1432">
                  <c:v>26.757951000000002</c:v>
                </c:pt>
                <c:pt idx="1433">
                  <c:v>26.796890999999999</c:v>
                </c:pt>
                <c:pt idx="1434">
                  <c:v>26.847187000000002</c:v>
                </c:pt>
                <c:pt idx="1435">
                  <c:v>26.895861</c:v>
                </c:pt>
                <c:pt idx="1436">
                  <c:v>26.929931999999997</c:v>
                </c:pt>
                <c:pt idx="1437">
                  <c:v>26.981851000000002</c:v>
                </c:pt>
                <c:pt idx="1438">
                  <c:v>27.033770000000001</c:v>
                </c:pt>
                <c:pt idx="1439">
                  <c:v>27.087310999999996</c:v>
                </c:pt>
                <c:pt idx="1440">
                  <c:v>27.116516000000001</c:v>
                </c:pt>
                <c:pt idx="1441">
                  <c:v>27.155455</c:v>
                </c:pt>
                <c:pt idx="1442">
                  <c:v>27.202505999999996</c:v>
                </c:pt>
                <c:pt idx="1443">
                  <c:v>27.244690000000002</c:v>
                </c:pt>
                <c:pt idx="1444">
                  <c:v>27.304720999999997</c:v>
                </c:pt>
                <c:pt idx="1445">
                  <c:v>27.338792999999999</c:v>
                </c:pt>
                <c:pt idx="1446">
                  <c:v>27.387466999999997</c:v>
                </c:pt>
                <c:pt idx="1447">
                  <c:v>27.437763</c:v>
                </c:pt>
                <c:pt idx="1448">
                  <c:v>27.478323999999997</c:v>
                </c:pt>
                <c:pt idx="1449">
                  <c:v>27.548089999999998</c:v>
                </c:pt>
                <c:pt idx="1450">
                  <c:v>27.593518999999997</c:v>
                </c:pt>
                <c:pt idx="1451">
                  <c:v>27.634080999999998</c:v>
                </c:pt>
                <c:pt idx="1452">
                  <c:v>27.679509999999997</c:v>
                </c:pt>
                <c:pt idx="1453">
                  <c:v>27.731427999999998</c:v>
                </c:pt>
                <c:pt idx="1454">
                  <c:v>27.778479999999998</c:v>
                </c:pt>
                <c:pt idx="1455">
                  <c:v>27.822286000000002</c:v>
                </c:pt>
                <c:pt idx="1456">
                  <c:v>27.874205</c:v>
                </c:pt>
                <c:pt idx="1457">
                  <c:v>27.921255999999996</c:v>
                </c:pt>
                <c:pt idx="1458">
                  <c:v>27.98291</c:v>
                </c:pt>
                <c:pt idx="1459">
                  <c:v>28.029960999999997</c:v>
                </c:pt>
                <c:pt idx="1460">
                  <c:v>28.073767999999998</c:v>
                </c:pt>
                <c:pt idx="1461">
                  <c:v>28.122440999999998</c:v>
                </c:pt>
                <c:pt idx="1462">
                  <c:v>28.177604999999996</c:v>
                </c:pt>
                <c:pt idx="1463">
                  <c:v>28.231145999999999</c:v>
                </c:pt>
                <c:pt idx="1464">
                  <c:v>28.278198</c:v>
                </c:pt>
                <c:pt idx="1465">
                  <c:v>28.338229000000002</c:v>
                </c:pt>
                <c:pt idx="1466">
                  <c:v>28.331739000000002</c:v>
                </c:pt>
                <c:pt idx="1467">
                  <c:v>28.372299999999999</c:v>
                </c:pt>
                <c:pt idx="1468">
                  <c:v>28.393392000000002</c:v>
                </c:pt>
                <c:pt idx="1469">
                  <c:v>28.411238999999998</c:v>
                </c:pt>
                <c:pt idx="1470">
                  <c:v>28.445311</c:v>
                </c:pt>
                <c:pt idx="1471">
                  <c:v>28.476138000000002</c:v>
                </c:pt>
                <c:pt idx="1472">
                  <c:v>28.492361999999996</c:v>
                </c:pt>
                <c:pt idx="1473">
                  <c:v>28.518322000000001</c:v>
                </c:pt>
                <c:pt idx="1474">
                  <c:v>28.536168999999997</c:v>
                </c:pt>
                <c:pt idx="1475">
                  <c:v>28.566995000000002</c:v>
                </c:pt>
                <c:pt idx="1476">
                  <c:v>28.581597999999996</c:v>
                </c:pt>
                <c:pt idx="1477">
                  <c:v>28.605934000000001</c:v>
                </c:pt>
                <c:pt idx="1478">
                  <c:v>28.636760999999996</c:v>
                </c:pt>
                <c:pt idx="1479">
                  <c:v>28.661097999999999</c:v>
                </c:pt>
                <c:pt idx="1480">
                  <c:v>28.688680000000002</c:v>
                </c:pt>
                <c:pt idx="1481">
                  <c:v>28.708149000000002</c:v>
                </c:pt>
                <c:pt idx="1482">
                  <c:v>28.734109</c:v>
                </c:pt>
                <c:pt idx="1483">
                  <c:v>28.758446000000003</c:v>
                </c:pt>
                <c:pt idx="1484">
                  <c:v>28.786027999999998</c:v>
                </c:pt>
                <c:pt idx="1485">
                  <c:v>28.799007</c:v>
                </c:pt>
                <c:pt idx="1486">
                  <c:v>28.834700999999999</c:v>
                </c:pt>
                <c:pt idx="1487">
                  <c:v>28.854170999999997</c:v>
                </c:pt>
                <c:pt idx="1488">
                  <c:v>28.881753</c:v>
                </c:pt>
                <c:pt idx="1489">
                  <c:v>28.906090000000003</c:v>
                </c:pt>
                <c:pt idx="1490">
                  <c:v>28.932049000000003</c:v>
                </c:pt>
                <c:pt idx="1491">
                  <c:v>28.954762999999996</c:v>
                </c:pt>
                <c:pt idx="1492">
                  <c:v>28.985589999999998</c:v>
                </c:pt>
                <c:pt idx="1493">
                  <c:v>28.996947000000002</c:v>
                </c:pt>
                <c:pt idx="1494">
                  <c:v>29.027773999999997</c:v>
                </c:pt>
                <c:pt idx="1495">
                  <c:v>29.045621000000001</c:v>
                </c:pt>
                <c:pt idx="1496">
                  <c:v>29.076448000000003</c:v>
                </c:pt>
                <c:pt idx="1497">
                  <c:v>29.095916999999996</c:v>
                </c:pt>
                <c:pt idx="1498">
                  <c:v>29.133233999999998</c:v>
                </c:pt>
                <c:pt idx="1499">
                  <c:v>29.146213999999997</c:v>
                </c:pt>
                <c:pt idx="1500">
                  <c:v>29.183530000000001</c:v>
                </c:pt>
                <c:pt idx="1501">
                  <c:v>29.202999999999999</c:v>
                </c:pt>
                <c:pt idx="1502">
                  <c:v>29.233825999999997</c:v>
                </c:pt>
                <c:pt idx="1503">
                  <c:v>29.256541000000002</c:v>
                </c:pt>
                <c:pt idx="1504">
                  <c:v>29.284122999999997</c:v>
                </c:pt>
                <c:pt idx="1505">
                  <c:v>29.310081999999998</c:v>
                </c:pt>
                <c:pt idx="1506">
                  <c:v>29.334419</c:v>
                </c:pt>
                <c:pt idx="1507">
                  <c:v>29.358755999999996</c:v>
                </c:pt>
                <c:pt idx="1508">
                  <c:v>29.392827</c:v>
                </c:pt>
                <c:pt idx="1509">
                  <c:v>29.417163999999996</c:v>
                </c:pt>
                <c:pt idx="1510">
                  <c:v>29.451235999999998</c:v>
                </c:pt>
                <c:pt idx="1511">
                  <c:v>29.473949999999999</c:v>
                </c:pt>
                <c:pt idx="1512">
                  <c:v>29.509643999999998</c:v>
                </c:pt>
                <c:pt idx="1513">
                  <c:v>29.532358999999996</c:v>
                </c:pt>
                <c:pt idx="1514">
                  <c:v>29.555072999999997</c:v>
                </c:pt>
                <c:pt idx="1515">
                  <c:v>29.589144999999998</c:v>
                </c:pt>
                <c:pt idx="1516">
                  <c:v>29.616727000000001</c:v>
                </c:pt>
                <c:pt idx="1517">
                  <c:v>29.647552999999998</c:v>
                </c:pt>
                <c:pt idx="1518">
                  <c:v>29.670267999999997</c:v>
                </c:pt>
                <c:pt idx="1519">
                  <c:v>29.69136</c:v>
                </c:pt>
                <c:pt idx="1520">
                  <c:v>29.722185999999997</c:v>
                </c:pt>
                <c:pt idx="1521">
                  <c:v>29.748146000000002</c:v>
                </c:pt>
                <c:pt idx="1522">
                  <c:v>29.777350000000002</c:v>
                </c:pt>
                <c:pt idx="1523">
                  <c:v>29.816289000000001</c:v>
                </c:pt>
                <c:pt idx="1524">
                  <c:v>29.830890999999998</c:v>
                </c:pt>
                <c:pt idx="1525">
                  <c:v>29.892545000000002</c:v>
                </c:pt>
                <c:pt idx="1526">
                  <c:v>29.903901999999999</c:v>
                </c:pt>
                <c:pt idx="1527">
                  <c:v>29.939595999999998</c:v>
                </c:pt>
                <c:pt idx="1528">
                  <c:v>29.978534999999997</c:v>
                </c:pt>
                <c:pt idx="1529">
                  <c:v>30.002872</c:v>
                </c:pt>
                <c:pt idx="1530">
                  <c:v>30.043432999999997</c:v>
                </c:pt>
                <c:pt idx="1531">
                  <c:v>30.062903000000002</c:v>
                </c:pt>
                <c:pt idx="1532">
                  <c:v>30.100218999999999</c:v>
                </c:pt>
                <c:pt idx="1533">
                  <c:v>30.126178999999997</c:v>
                </c:pt>
                <c:pt idx="1534">
                  <c:v>30.161872999999996</c:v>
                </c:pt>
                <c:pt idx="1535">
                  <c:v>30.189454000000001</c:v>
                </c:pt>
                <c:pt idx="1536">
                  <c:v>30.218658999999999</c:v>
                </c:pt>
                <c:pt idx="1537">
                  <c:v>30.260842999999998</c:v>
                </c:pt>
                <c:pt idx="1538">
                  <c:v>30.291669000000002</c:v>
                </c:pt>
                <c:pt idx="1539">
                  <c:v>30.314384</c:v>
                </c:pt>
                <c:pt idx="1540">
                  <c:v>30.350078</c:v>
                </c:pt>
                <c:pt idx="1541">
                  <c:v>30.376037</c:v>
                </c:pt>
                <c:pt idx="1542">
                  <c:v>30.406864000000002</c:v>
                </c:pt>
                <c:pt idx="1543">
                  <c:v>30.442558000000002</c:v>
                </c:pt>
                <c:pt idx="1544">
                  <c:v>30.463649999999998</c:v>
                </c:pt>
                <c:pt idx="1545">
                  <c:v>30.500966000000002</c:v>
                </c:pt>
                <c:pt idx="1546">
                  <c:v>30.536660000000001</c:v>
                </c:pt>
                <c:pt idx="1547">
                  <c:v>30.603181000000003</c:v>
                </c:pt>
                <c:pt idx="1548">
                  <c:v>30.595068999999999</c:v>
                </c:pt>
                <c:pt idx="1549">
                  <c:v>30.640497999999997</c:v>
                </c:pt>
                <c:pt idx="1550">
                  <c:v>30.656721999999998</c:v>
                </c:pt>
                <c:pt idx="1551">
                  <c:v>30.705395999999997</c:v>
                </c:pt>
                <c:pt idx="1552">
                  <c:v>30.723243</c:v>
                </c:pt>
                <c:pt idx="1553">
                  <c:v>30.763805000000001</c:v>
                </c:pt>
                <c:pt idx="1554">
                  <c:v>30.802744000000001</c:v>
                </c:pt>
                <c:pt idx="1555">
                  <c:v>30.831948000000001</c:v>
                </c:pt>
                <c:pt idx="1556">
                  <c:v>30.869263999999998</c:v>
                </c:pt>
                <c:pt idx="1557">
                  <c:v>30.903335999999999</c:v>
                </c:pt>
                <c:pt idx="1558">
                  <c:v>30.934163000000002</c:v>
                </c:pt>
                <c:pt idx="1559">
                  <c:v>30.964988999999999</c:v>
                </c:pt>
                <c:pt idx="1560">
                  <c:v>30.999061000000001</c:v>
                </c:pt>
                <c:pt idx="1561">
                  <c:v>31.036376999999998</c:v>
                </c:pt>
                <c:pt idx="1562">
                  <c:v>31.070449</c:v>
                </c:pt>
                <c:pt idx="1563">
                  <c:v>31.112632999999999</c:v>
                </c:pt>
                <c:pt idx="1564">
                  <c:v>31.146703999999996</c:v>
                </c:pt>
                <c:pt idx="1565">
                  <c:v>31.184020999999998</c:v>
                </c:pt>
                <c:pt idx="1566">
                  <c:v>31.231072000000001</c:v>
                </c:pt>
                <c:pt idx="1567">
                  <c:v>31.257031999999999</c:v>
                </c:pt>
                <c:pt idx="1568">
                  <c:v>31.310573000000002</c:v>
                </c:pt>
                <c:pt idx="1569">
                  <c:v>31.341398999999999</c:v>
                </c:pt>
                <c:pt idx="1570">
                  <c:v>31.383582999999998</c:v>
                </c:pt>
                <c:pt idx="1571">
                  <c:v>31.425766999999997</c:v>
                </c:pt>
                <c:pt idx="1572">
                  <c:v>31.453348999999999</c:v>
                </c:pt>
                <c:pt idx="1573">
                  <c:v>31.503645000000002</c:v>
                </c:pt>
                <c:pt idx="1574">
                  <c:v>31.534471999999997</c:v>
                </c:pt>
                <c:pt idx="1575">
                  <c:v>31.594503</c:v>
                </c:pt>
                <c:pt idx="1576">
                  <c:v>31.630196999999999</c:v>
                </c:pt>
                <c:pt idx="1577">
                  <c:v>31.657777999999997</c:v>
                </c:pt>
                <c:pt idx="1578">
                  <c:v>31.709697000000002</c:v>
                </c:pt>
                <c:pt idx="1579">
                  <c:v>31.730788999999998</c:v>
                </c:pt>
                <c:pt idx="1580">
                  <c:v>31.805421999999997</c:v>
                </c:pt>
                <c:pt idx="1581">
                  <c:v>31.841115999999996</c:v>
                </c:pt>
                <c:pt idx="1582">
                  <c:v>31.876810000000003</c:v>
                </c:pt>
                <c:pt idx="1583">
                  <c:v>31.927105999999998</c:v>
                </c:pt>
                <c:pt idx="1584">
                  <c:v>31.972534999999997</c:v>
                </c:pt>
                <c:pt idx="1585">
                  <c:v>32.013096000000004</c:v>
                </c:pt>
                <c:pt idx="1586">
                  <c:v>32.052035000000004</c:v>
                </c:pt>
                <c:pt idx="1587">
                  <c:v>32.108821000000006</c:v>
                </c:pt>
                <c:pt idx="1588">
                  <c:v>32.129913000000002</c:v>
                </c:pt>
                <c:pt idx="1589">
                  <c:v>32.194811000000001</c:v>
                </c:pt>
                <c:pt idx="1590">
                  <c:v>32.232128000000003</c:v>
                </c:pt>
                <c:pt idx="1591">
                  <c:v>32.261331999999996</c:v>
                </c:pt>
                <c:pt idx="1592">
                  <c:v>32.319739999999996</c:v>
                </c:pt>
                <c:pt idx="1593">
                  <c:v>32.366792000000004</c:v>
                </c:pt>
                <c:pt idx="1594">
                  <c:v>32.418710000000004</c:v>
                </c:pt>
                <c:pt idx="1595">
                  <c:v>32.483609000000001</c:v>
                </c:pt>
                <c:pt idx="1596">
                  <c:v>32.506322999999995</c:v>
                </c:pt>
                <c:pt idx="1597">
                  <c:v>32.553374000000005</c:v>
                </c:pt>
                <c:pt idx="1598">
                  <c:v>32.606915000000001</c:v>
                </c:pt>
                <c:pt idx="1599">
                  <c:v>32.662079000000006</c:v>
                </c:pt>
                <c:pt idx="1600">
                  <c:v>32.705884999999995</c:v>
                </c:pt>
                <c:pt idx="1601">
                  <c:v>32.754559</c:v>
                </c:pt>
                <c:pt idx="1602">
                  <c:v>32.811345000000003</c:v>
                </c:pt>
                <c:pt idx="1603">
                  <c:v>32.868129999999994</c:v>
                </c:pt>
                <c:pt idx="1604">
                  <c:v>32.926539000000005</c:v>
                </c:pt>
                <c:pt idx="1605">
                  <c:v>32.981701999999999</c:v>
                </c:pt>
                <c:pt idx="1606">
                  <c:v>33.023886000000005</c:v>
                </c:pt>
                <c:pt idx="1607">
                  <c:v>33.090406999999999</c:v>
                </c:pt>
                <c:pt idx="1608">
                  <c:v>33.132591000000005</c:v>
                </c:pt>
                <c:pt idx="1609">
                  <c:v>33.200733999999997</c:v>
                </c:pt>
                <c:pt idx="1610">
                  <c:v>33.267253999999994</c:v>
                </c:pt>
                <c:pt idx="1611">
                  <c:v>33.324039999999997</c:v>
                </c:pt>
                <c:pt idx="1612">
                  <c:v>33.388937999999996</c:v>
                </c:pt>
                <c:pt idx="1613">
                  <c:v>33.448969000000005</c:v>
                </c:pt>
                <c:pt idx="1614">
                  <c:v>33.523601999999997</c:v>
                </c:pt>
                <c:pt idx="1615">
                  <c:v>33.586877999999999</c:v>
                </c:pt>
                <c:pt idx="1616">
                  <c:v>33.770214999999993</c:v>
                </c:pt>
                <c:pt idx="1617">
                  <c:v>33.981133999999997</c:v>
                </c:pt>
                <c:pt idx="1618">
                  <c:v>34.240726999999993</c:v>
                </c:pt>
                <c:pt idx="1619">
                  <c:v>34.454891000000003</c:v>
                </c:pt>
                <c:pt idx="1620">
                  <c:v>34.742064999999997</c:v>
                </c:pt>
                <c:pt idx="1621">
                  <c:v>35.030861999999999</c:v>
                </c:pt>
                <c:pt idx="1622">
                  <c:v>35.371577000000002</c:v>
                </c:pt>
                <c:pt idx="1623">
                  <c:v>35.746363000000002</c:v>
                </c:pt>
                <c:pt idx="1624">
                  <c:v>36.184425000000005</c:v>
                </c:pt>
                <c:pt idx="1625">
                  <c:v>36.726324000000005</c:v>
                </c:pt>
                <c:pt idx="1626">
                  <c:v>37.428845999999993</c:v>
                </c:pt>
                <c:pt idx="1627">
                  <c:v>45.430755000000005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488320"/>
        <c:axId val="173488896"/>
      </c:scatterChart>
      <c:valAx>
        <c:axId val="173488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3488896"/>
        <c:crosses val="autoZero"/>
        <c:crossBetween val="midCat"/>
      </c:valAx>
      <c:valAx>
        <c:axId val="173488896"/>
        <c:scaling>
          <c:orientation val="minMax"/>
          <c:max val="5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34883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data!$T$1:$T$2</c:f>
              <c:strCache>
                <c:ptCount val="1"/>
                <c:pt idx="0">
                  <c:v>0.5-1 SR</c:v>
                </c:pt>
              </c:strCache>
            </c:strRef>
          </c:tx>
          <c:marker>
            <c:symbol val="none"/>
          </c:marker>
          <c:xVal>
            <c:numRef>
              <c:f>data!$H$3:$H$4454</c:f>
              <c:numCache>
                <c:formatCode>0.00E+00</c:formatCode>
                <c:ptCount val="4452"/>
                <c:pt idx="0" formatCode="General">
                  <c:v>0</c:v>
                </c:pt>
                <c:pt idx="1">
                  <c:v>1E-4</c:v>
                </c:pt>
                <c:pt idx="2">
                  <c:v>1.1000000000000002E-4</c:v>
                </c:pt>
                <c:pt idx="3">
                  <c:v>1.2100000000000003E-4</c:v>
                </c:pt>
                <c:pt idx="4">
                  <c:v>1.3310000000000004E-4</c:v>
                </c:pt>
                <c:pt idx="5">
                  <c:v>1.4641000000000006E-4</c:v>
                </c:pt>
                <c:pt idx="6">
                  <c:v>1.6105100000000008E-4</c:v>
                </c:pt>
                <c:pt idx="7">
                  <c:v>1.771561000000001E-4</c:v>
                </c:pt>
                <c:pt idx="8">
                  <c:v>1.9487171000000012E-4</c:v>
                </c:pt>
                <c:pt idx="9">
                  <c:v>2.1435888100000014E-4</c:v>
                </c:pt>
                <c:pt idx="10">
                  <c:v>2.3579476910000016E-4</c:v>
                </c:pt>
                <c:pt idx="11">
                  <c:v>2.5937424601000017E-4</c:v>
                </c:pt>
                <c:pt idx="12">
                  <c:v>2.8531167061100022E-4</c:v>
                </c:pt>
                <c:pt idx="13">
                  <c:v>3.1384283767210024E-4</c:v>
                </c:pt>
                <c:pt idx="14">
                  <c:v>3.452271214393103E-4</c:v>
                </c:pt>
                <c:pt idx="15">
                  <c:v>3.7974983358324136E-4</c:v>
                </c:pt>
                <c:pt idx="16">
                  <c:v>4.1772481694156552E-4</c:v>
                </c:pt>
                <c:pt idx="17">
                  <c:v>4.5949729863572212E-4</c:v>
                </c:pt>
                <c:pt idx="18">
                  <c:v>5.0544702849929441E-4</c:v>
                </c:pt>
                <c:pt idx="19">
                  <c:v>5.5599173134922395E-4</c:v>
                </c:pt>
                <c:pt idx="20">
                  <c:v>6.115909044841464E-4</c:v>
                </c:pt>
                <c:pt idx="21">
                  <c:v>6.7274999493256108E-4</c:v>
                </c:pt>
                <c:pt idx="22">
                  <c:v>7.4002499442581723E-4</c:v>
                </c:pt>
                <c:pt idx="23">
                  <c:v>8.1402749386839902E-4</c:v>
                </c:pt>
                <c:pt idx="24">
                  <c:v>8.9543024325523899E-4</c:v>
                </c:pt>
                <c:pt idx="25">
                  <c:v>9.8497326758076298E-4</c:v>
                </c:pt>
                <c:pt idx="26">
                  <c:v>1.0834705943388394E-3</c:v>
                </c:pt>
                <c:pt idx="27">
                  <c:v>1.1918176537727234E-3</c:v>
                </c:pt>
                <c:pt idx="28">
                  <c:v>1.3109994191499959E-3</c:v>
                </c:pt>
                <c:pt idx="29">
                  <c:v>1.4420993610649957E-3</c:v>
                </c:pt>
                <c:pt idx="30">
                  <c:v>1.5863092971714955E-3</c:v>
                </c:pt>
                <c:pt idx="31">
                  <c:v>1.7449402268886452E-3</c:v>
                </c:pt>
                <c:pt idx="32">
                  <c:v>1.9194342495775099E-3</c:v>
                </c:pt>
                <c:pt idx="33">
                  <c:v>2.1113776745352612E-3</c:v>
                </c:pt>
                <c:pt idx="34">
                  <c:v>2.3225154419887874E-3</c:v>
                </c:pt>
                <c:pt idx="35">
                  <c:v>2.5547669861876662E-3</c:v>
                </c:pt>
                <c:pt idx="36">
                  <c:v>2.8102436848064329E-3</c:v>
                </c:pt>
                <c:pt idx="37">
                  <c:v>3.0912680532870765E-3</c:v>
                </c:pt>
                <c:pt idx="38">
                  <c:v>3.4003948586157845E-3</c:v>
                </c:pt>
                <c:pt idx="39">
                  <c:v>3.7404343444773632E-3</c:v>
                </c:pt>
                <c:pt idx="40">
                  <c:v>4.1144777789250998E-3</c:v>
                </c:pt>
                <c:pt idx="41">
                  <c:v>4.5259255568176103E-3</c:v>
                </c:pt>
                <c:pt idx="42">
                  <c:v>4.9785181124993722E-3</c:v>
                </c:pt>
                <c:pt idx="43">
                  <c:v>5.4763699237493097E-3</c:v>
                </c:pt>
                <c:pt idx="44">
                  <c:v>6.0240069161242409E-3</c:v>
                </c:pt>
                <c:pt idx="45">
                  <c:v>6.6264076077366656E-3</c:v>
                </c:pt>
                <c:pt idx="46">
                  <c:v>7.2890483685103327E-3</c:v>
                </c:pt>
                <c:pt idx="47">
                  <c:v>8.0179532053613663E-3</c:v>
                </c:pt>
                <c:pt idx="48">
                  <c:v>8.8197485258975031E-3</c:v>
                </c:pt>
                <c:pt idx="49">
                  <c:v>9.7017233784872543E-3</c:v>
                </c:pt>
                <c:pt idx="50">
                  <c:v>1.0671895716335981E-2</c:v>
                </c:pt>
                <c:pt idx="51">
                  <c:v>1.173908528796958E-2</c:v>
                </c:pt>
                <c:pt idx="52">
                  <c:v>1.2912993816766539E-2</c:v>
                </c:pt>
                <c:pt idx="53">
                  <c:v>1.4204293198443194E-2</c:v>
                </c:pt>
                <c:pt idx="54">
                  <c:v>1.5624722518287514E-2</c:v>
                </c:pt>
                <c:pt idx="55">
                  <c:v>1.7187194770116265E-2</c:v>
                </c:pt>
                <c:pt idx="56">
                  <c:v>1.8905914247127894E-2</c:v>
                </c:pt>
                <c:pt idx="57">
                  <c:v>2.0796505671840684E-2</c:v>
                </c:pt>
                <c:pt idx="58">
                  <c:v>2.2876156239024753E-2</c:v>
                </c:pt>
                <c:pt idx="59">
                  <c:v>2.5163771862927231E-2</c:v>
                </c:pt>
                <c:pt idx="60">
                  <c:v>2.7680149049219956E-2</c:v>
                </c:pt>
                <c:pt idx="61">
                  <c:v>3.0448163954141953E-2</c:v>
                </c:pt>
                <c:pt idx="62">
                  <c:v>3.3492980349556153E-2</c:v>
                </c:pt>
                <c:pt idx="63">
                  <c:v>3.6842278384511769E-2</c:v>
                </c:pt>
                <c:pt idx="64">
                  <c:v>4.0526506222962951E-2</c:v>
                </c:pt>
                <c:pt idx="65">
                  <c:v>4.4579156845259246E-2</c:v>
                </c:pt>
                <c:pt idx="66">
                  <c:v>4.9037072529785175E-2</c:v>
                </c:pt>
                <c:pt idx="67">
                  <c:v>5.3940779782763695E-2</c:v>
                </c:pt>
                <c:pt idx="68">
                  <c:v>5.9334857761040069E-2</c:v>
                </c:pt>
                <c:pt idx="69">
                  <c:v>6.5268343537144086E-2</c:v>
                </c:pt>
                <c:pt idx="70">
                  <c:v>7.17951778908585E-2</c:v>
                </c:pt>
                <c:pt idx="71">
                  <c:v>7.8974695679944362E-2</c:v>
                </c:pt>
                <c:pt idx="72">
                  <c:v>8.687216524793881E-2</c:v>
                </c:pt>
                <c:pt idx="73">
                  <c:v>9.5559381772732696E-2</c:v>
                </c:pt>
                <c:pt idx="74">
                  <c:v>0.10511531995000598</c:v>
                </c:pt>
                <c:pt idx="75">
                  <c:v>0.11562685194500658</c:v>
                </c:pt>
                <c:pt idx="76">
                  <c:v>0.12718953713950723</c:v>
                </c:pt>
                <c:pt idx="77">
                  <c:v>0.13990849085345797</c:v>
                </c:pt>
                <c:pt idx="78">
                  <c:v>0.15389933993880378</c:v>
                </c:pt>
                <c:pt idx="79">
                  <c:v>0.16928927393268417</c:v>
                </c:pt>
                <c:pt idx="80">
                  <c:v>0.1862182013259526</c:v>
                </c:pt>
                <c:pt idx="81">
                  <c:v>0.20484002145854788</c:v>
                </c:pt>
                <c:pt idx="82">
                  <c:v>0.22532402360440268</c:v>
                </c:pt>
                <c:pt idx="83">
                  <c:v>0.24785642596484297</c:v>
                </c:pt>
                <c:pt idx="84">
                  <c:v>0.27264206856132728</c:v>
                </c:pt>
                <c:pt idx="85">
                  <c:v>0.29990627541746001</c:v>
                </c:pt>
                <c:pt idx="86">
                  <c:v>0.32989690295920604</c:v>
                </c:pt>
                <c:pt idx="87">
                  <c:v>0.36288659325512668</c:v>
                </c:pt>
                <c:pt idx="88">
                  <c:v>0.39917525258063935</c:v>
                </c:pt>
                <c:pt idx="89">
                  <c:v>0.43909277783870332</c:v>
                </c:pt>
                <c:pt idx="90">
                  <c:v>0.4830020556225737</c:v>
                </c:pt>
                <c:pt idx="91">
                  <c:v>0.53130226118483115</c:v>
                </c:pt>
                <c:pt idx="92">
                  <c:v>0.58443248730331432</c:v>
                </c:pt>
                <c:pt idx="93">
                  <c:v>0.64287573603364578</c:v>
                </c:pt>
                <c:pt idx="94">
                  <c:v>0.70716330963701046</c:v>
                </c:pt>
                <c:pt idx="95">
                  <c:v>0.77787964060071157</c:v>
                </c:pt>
                <c:pt idx="96">
                  <c:v>0.85566760466078284</c:v>
                </c:pt>
                <c:pt idx="97">
                  <c:v>0.94123436512686121</c:v>
                </c:pt>
                <c:pt idx="98">
                  <c:v>1.0353578016395475</c:v>
                </c:pt>
                <c:pt idx="99">
                  <c:v>1.1388935818035024</c:v>
                </c:pt>
                <c:pt idx="100">
                  <c:v>1.2527829399838528</c:v>
                </c:pt>
                <c:pt idx="101">
                  <c:v>1.3780612339822382</c:v>
                </c:pt>
                <c:pt idx="102">
                  <c:v>1.5158673573804622</c:v>
                </c:pt>
                <c:pt idx="103">
                  <c:v>1.6674540931185085</c:v>
                </c:pt>
                <c:pt idx="104">
                  <c:v>1.8341995024303595</c:v>
                </c:pt>
                <c:pt idx="105">
                  <c:v>2.0176194526733955</c:v>
                </c:pt>
                <c:pt idx="106">
                  <c:v>2.2193813979407353</c:v>
                </c:pt>
                <c:pt idx="107">
                  <c:v>2.4413195377348091</c:v>
                </c:pt>
                <c:pt idx="108">
                  <c:v>2.6854514915082901</c:v>
                </c:pt>
                <c:pt idx="109">
                  <c:v>2.9539966406591192</c:v>
                </c:pt>
                <c:pt idx="110">
                  <c:v>3.2493963047250314</c:v>
                </c:pt>
                <c:pt idx="111">
                  <c:v>3.574335935197535</c:v>
                </c:pt>
                <c:pt idx="112">
                  <c:v>3.9317695287172887</c:v>
                </c:pt>
                <c:pt idx="113">
                  <c:v>4.3249464815890182</c:v>
                </c:pt>
                <c:pt idx="114">
                  <c:v>4.75744112974792</c:v>
                </c:pt>
                <c:pt idx="115">
                  <c:v>5.2331852427227128</c:v>
                </c:pt>
                <c:pt idx="116">
                  <c:v>5.7565037669949843</c:v>
                </c:pt>
                <c:pt idx="117">
                  <c:v>6.332154143694483</c:v>
                </c:pt>
                <c:pt idx="118">
                  <c:v>6.9653695580639319</c:v>
                </c:pt>
                <c:pt idx="119">
                  <c:v>7.661906513870326</c:v>
                </c:pt>
                <c:pt idx="120">
                  <c:v>8.4280971652573591</c:v>
                </c:pt>
                <c:pt idx="121">
                  <c:v>9.2709068817830964</c:v>
                </c:pt>
                <c:pt idx="122">
                  <c:v>10</c:v>
                </c:pt>
                <c:pt idx="123">
                  <c:v>11</c:v>
                </c:pt>
                <c:pt idx="124">
                  <c:v>12</c:v>
                </c:pt>
                <c:pt idx="125">
                  <c:v>13</c:v>
                </c:pt>
                <c:pt idx="126">
                  <c:v>14</c:v>
                </c:pt>
                <c:pt idx="127">
                  <c:v>15</c:v>
                </c:pt>
                <c:pt idx="128">
                  <c:v>16</c:v>
                </c:pt>
                <c:pt idx="129">
                  <c:v>17</c:v>
                </c:pt>
                <c:pt idx="130">
                  <c:v>18</c:v>
                </c:pt>
                <c:pt idx="131">
                  <c:v>19</c:v>
                </c:pt>
                <c:pt idx="132">
                  <c:v>20</c:v>
                </c:pt>
                <c:pt idx="133">
                  <c:v>21</c:v>
                </c:pt>
                <c:pt idx="134">
                  <c:v>22</c:v>
                </c:pt>
                <c:pt idx="135">
                  <c:v>23</c:v>
                </c:pt>
                <c:pt idx="136">
                  <c:v>24</c:v>
                </c:pt>
                <c:pt idx="137">
                  <c:v>25</c:v>
                </c:pt>
                <c:pt idx="138">
                  <c:v>26</c:v>
                </c:pt>
                <c:pt idx="139">
                  <c:v>27</c:v>
                </c:pt>
                <c:pt idx="140">
                  <c:v>28</c:v>
                </c:pt>
                <c:pt idx="141">
                  <c:v>29</c:v>
                </c:pt>
                <c:pt idx="142">
                  <c:v>30</c:v>
                </c:pt>
                <c:pt idx="143">
                  <c:v>31</c:v>
                </c:pt>
                <c:pt idx="144">
                  <c:v>32</c:v>
                </c:pt>
                <c:pt idx="145">
                  <c:v>33</c:v>
                </c:pt>
                <c:pt idx="146">
                  <c:v>34</c:v>
                </c:pt>
                <c:pt idx="147">
                  <c:v>35</c:v>
                </c:pt>
                <c:pt idx="148">
                  <c:v>36</c:v>
                </c:pt>
                <c:pt idx="149">
                  <c:v>37</c:v>
                </c:pt>
                <c:pt idx="150">
                  <c:v>38</c:v>
                </c:pt>
                <c:pt idx="151">
                  <c:v>39</c:v>
                </c:pt>
                <c:pt idx="152">
                  <c:v>40</c:v>
                </c:pt>
                <c:pt idx="153">
                  <c:v>41</c:v>
                </c:pt>
                <c:pt idx="154">
                  <c:v>42</c:v>
                </c:pt>
                <c:pt idx="155">
                  <c:v>43</c:v>
                </c:pt>
                <c:pt idx="156">
                  <c:v>44</c:v>
                </c:pt>
                <c:pt idx="157">
                  <c:v>45</c:v>
                </c:pt>
                <c:pt idx="158">
                  <c:v>46</c:v>
                </c:pt>
                <c:pt idx="159">
                  <c:v>47</c:v>
                </c:pt>
                <c:pt idx="160">
                  <c:v>48</c:v>
                </c:pt>
                <c:pt idx="161">
                  <c:v>49</c:v>
                </c:pt>
                <c:pt idx="162">
                  <c:v>50</c:v>
                </c:pt>
                <c:pt idx="163">
                  <c:v>51</c:v>
                </c:pt>
                <c:pt idx="164">
                  <c:v>52</c:v>
                </c:pt>
                <c:pt idx="165">
                  <c:v>53</c:v>
                </c:pt>
                <c:pt idx="166">
                  <c:v>54</c:v>
                </c:pt>
                <c:pt idx="167">
                  <c:v>55</c:v>
                </c:pt>
                <c:pt idx="168">
                  <c:v>56</c:v>
                </c:pt>
                <c:pt idx="169">
                  <c:v>57</c:v>
                </c:pt>
                <c:pt idx="170">
                  <c:v>58</c:v>
                </c:pt>
                <c:pt idx="171">
                  <c:v>59</c:v>
                </c:pt>
                <c:pt idx="172">
                  <c:v>60</c:v>
                </c:pt>
                <c:pt idx="173">
                  <c:v>61</c:v>
                </c:pt>
                <c:pt idx="174">
                  <c:v>62</c:v>
                </c:pt>
                <c:pt idx="175">
                  <c:v>63</c:v>
                </c:pt>
                <c:pt idx="176">
                  <c:v>64</c:v>
                </c:pt>
                <c:pt idx="177">
                  <c:v>65</c:v>
                </c:pt>
                <c:pt idx="178">
                  <c:v>66</c:v>
                </c:pt>
                <c:pt idx="179">
                  <c:v>67</c:v>
                </c:pt>
                <c:pt idx="180">
                  <c:v>68</c:v>
                </c:pt>
                <c:pt idx="181">
                  <c:v>69</c:v>
                </c:pt>
                <c:pt idx="182">
                  <c:v>70</c:v>
                </c:pt>
                <c:pt idx="183">
                  <c:v>71</c:v>
                </c:pt>
                <c:pt idx="184">
                  <c:v>72</c:v>
                </c:pt>
                <c:pt idx="185">
                  <c:v>73</c:v>
                </c:pt>
                <c:pt idx="186">
                  <c:v>74</c:v>
                </c:pt>
                <c:pt idx="187">
                  <c:v>75</c:v>
                </c:pt>
                <c:pt idx="188">
                  <c:v>76</c:v>
                </c:pt>
                <c:pt idx="189">
                  <c:v>77</c:v>
                </c:pt>
                <c:pt idx="190">
                  <c:v>78</c:v>
                </c:pt>
                <c:pt idx="191">
                  <c:v>79</c:v>
                </c:pt>
                <c:pt idx="192">
                  <c:v>80</c:v>
                </c:pt>
                <c:pt idx="193">
                  <c:v>81</c:v>
                </c:pt>
                <c:pt idx="194">
                  <c:v>82</c:v>
                </c:pt>
                <c:pt idx="195">
                  <c:v>83</c:v>
                </c:pt>
                <c:pt idx="196">
                  <c:v>84</c:v>
                </c:pt>
                <c:pt idx="197">
                  <c:v>85</c:v>
                </c:pt>
                <c:pt idx="198">
                  <c:v>86</c:v>
                </c:pt>
                <c:pt idx="199">
                  <c:v>87</c:v>
                </c:pt>
                <c:pt idx="200">
                  <c:v>88</c:v>
                </c:pt>
                <c:pt idx="201">
                  <c:v>89</c:v>
                </c:pt>
                <c:pt idx="202">
                  <c:v>90</c:v>
                </c:pt>
                <c:pt idx="203">
                  <c:v>91</c:v>
                </c:pt>
                <c:pt idx="204">
                  <c:v>92</c:v>
                </c:pt>
                <c:pt idx="205">
                  <c:v>93</c:v>
                </c:pt>
                <c:pt idx="206">
                  <c:v>94</c:v>
                </c:pt>
                <c:pt idx="207">
                  <c:v>95</c:v>
                </c:pt>
                <c:pt idx="208">
                  <c:v>96</c:v>
                </c:pt>
                <c:pt idx="209">
                  <c:v>97</c:v>
                </c:pt>
                <c:pt idx="210">
                  <c:v>98</c:v>
                </c:pt>
                <c:pt idx="211">
                  <c:v>99</c:v>
                </c:pt>
                <c:pt idx="212">
                  <c:v>100</c:v>
                </c:pt>
                <c:pt idx="213">
                  <c:v>101</c:v>
                </c:pt>
                <c:pt idx="214">
                  <c:v>102</c:v>
                </c:pt>
                <c:pt idx="215">
                  <c:v>103</c:v>
                </c:pt>
                <c:pt idx="216">
                  <c:v>104</c:v>
                </c:pt>
                <c:pt idx="217">
                  <c:v>105</c:v>
                </c:pt>
                <c:pt idx="218">
                  <c:v>106</c:v>
                </c:pt>
                <c:pt idx="219">
                  <c:v>107</c:v>
                </c:pt>
                <c:pt idx="220">
                  <c:v>108</c:v>
                </c:pt>
                <c:pt idx="221">
                  <c:v>109</c:v>
                </c:pt>
                <c:pt idx="222">
                  <c:v>110</c:v>
                </c:pt>
                <c:pt idx="223">
                  <c:v>111</c:v>
                </c:pt>
                <c:pt idx="224">
                  <c:v>112</c:v>
                </c:pt>
                <c:pt idx="225">
                  <c:v>113</c:v>
                </c:pt>
                <c:pt idx="226">
                  <c:v>114</c:v>
                </c:pt>
                <c:pt idx="227">
                  <c:v>115</c:v>
                </c:pt>
                <c:pt idx="228">
                  <c:v>116</c:v>
                </c:pt>
                <c:pt idx="229">
                  <c:v>117</c:v>
                </c:pt>
                <c:pt idx="230">
                  <c:v>118</c:v>
                </c:pt>
                <c:pt idx="231">
                  <c:v>119</c:v>
                </c:pt>
                <c:pt idx="232">
                  <c:v>120</c:v>
                </c:pt>
                <c:pt idx="233">
                  <c:v>121</c:v>
                </c:pt>
                <c:pt idx="234">
                  <c:v>122</c:v>
                </c:pt>
                <c:pt idx="235">
                  <c:v>123</c:v>
                </c:pt>
                <c:pt idx="236">
                  <c:v>124</c:v>
                </c:pt>
                <c:pt idx="237">
                  <c:v>125</c:v>
                </c:pt>
                <c:pt idx="238">
                  <c:v>126</c:v>
                </c:pt>
                <c:pt idx="239">
                  <c:v>127</c:v>
                </c:pt>
                <c:pt idx="240">
                  <c:v>128</c:v>
                </c:pt>
                <c:pt idx="241">
                  <c:v>129</c:v>
                </c:pt>
                <c:pt idx="242">
                  <c:v>130</c:v>
                </c:pt>
                <c:pt idx="243">
                  <c:v>131</c:v>
                </c:pt>
                <c:pt idx="244">
                  <c:v>132</c:v>
                </c:pt>
                <c:pt idx="245">
                  <c:v>133</c:v>
                </c:pt>
                <c:pt idx="246">
                  <c:v>134</c:v>
                </c:pt>
                <c:pt idx="247">
                  <c:v>135</c:v>
                </c:pt>
                <c:pt idx="248">
                  <c:v>136</c:v>
                </c:pt>
                <c:pt idx="249">
                  <c:v>137</c:v>
                </c:pt>
                <c:pt idx="250">
                  <c:v>138</c:v>
                </c:pt>
                <c:pt idx="251">
                  <c:v>139</c:v>
                </c:pt>
                <c:pt idx="252">
                  <c:v>140</c:v>
                </c:pt>
                <c:pt idx="253">
                  <c:v>141</c:v>
                </c:pt>
                <c:pt idx="254">
                  <c:v>142</c:v>
                </c:pt>
                <c:pt idx="255">
                  <c:v>143</c:v>
                </c:pt>
                <c:pt idx="256">
                  <c:v>144</c:v>
                </c:pt>
                <c:pt idx="257">
                  <c:v>145</c:v>
                </c:pt>
                <c:pt idx="258">
                  <c:v>146</c:v>
                </c:pt>
                <c:pt idx="259">
                  <c:v>147</c:v>
                </c:pt>
                <c:pt idx="260">
                  <c:v>148</c:v>
                </c:pt>
                <c:pt idx="261">
                  <c:v>149</c:v>
                </c:pt>
                <c:pt idx="262">
                  <c:v>150</c:v>
                </c:pt>
                <c:pt idx="263">
                  <c:v>151</c:v>
                </c:pt>
                <c:pt idx="264">
                  <c:v>152</c:v>
                </c:pt>
                <c:pt idx="265">
                  <c:v>153</c:v>
                </c:pt>
                <c:pt idx="266">
                  <c:v>154</c:v>
                </c:pt>
                <c:pt idx="267">
                  <c:v>155</c:v>
                </c:pt>
                <c:pt idx="268">
                  <c:v>156</c:v>
                </c:pt>
                <c:pt idx="269">
                  <c:v>157</c:v>
                </c:pt>
                <c:pt idx="270">
                  <c:v>158</c:v>
                </c:pt>
                <c:pt idx="271">
                  <c:v>159</c:v>
                </c:pt>
                <c:pt idx="272">
                  <c:v>160</c:v>
                </c:pt>
                <c:pt idx="273">
                  <c:v>161</c:v>
                </c:pt>
                <c:pt idx="274">
                  <c:v>162</c:v>
                </c:pt>
                <c:pt idx="275">
                  <c:v>163</c:v>
                </c:pt>
                <c:pt idx="276">
                  <c:v>164</c:v>
                </c:pt>
                <c:pt idx="277">
                  <c:v>165</c:v>
                </c:pt>
                <c:pt idx="278">
                  <c:v>166</c:v>
                </c:pt>
                <c:pt idx="279">
                  <c:v>167</c:v>
                </c:pt>
                <c:pt idx="280">
                  <c:v>168</c:v>
                </c:pt>
                <c:pt idx="281">
                  <c:v>169</c:v>
                </c:pt>
                <c:pt idx="282">
                  <c:v>170</c:v>
                </c:pt>
                <c:pt idx="283">
                  <c:v>171</c:v>
                </c:pt>
                <c:pt idx="284">
                  <c:v>172</c:v>
                </c:pt>
                <c:pt idx="285">
                  <c:v>173</c:v>
                </c:pt>
                <c:pt idx="286">
                  <c:v>174</c:v>
                </c:pt>
                <c:pt idx="287">
                  <c:v>175</c:v>
                </c:pt>
                <c:pt idx="288">
                  <c:v>176</c:v>
                </c:pt>
                <c:pt idx="289">
                  <c:v>177</c:v>
                </c:pt>
                <c:pt idx="290">
                  <c:v>178</c:v>
                </c:pt>
                <c:pt idx="291">
                  <c:v>179</c:v>
                </c:pt>
                <c:pt idx="292">
                  <c:v>180</c:v>
                </c:pt>
                <c:pt idx="293">
                  <c:v>181</c:v>
                </c:pt>
                <c:pt idx="294">
                  <c:v>182</c:v>
                </c:pt>
                <c:pt idx="295">
                  <c:v>183</c:v>
                </c:pt>
                <c:pt idx="296">
                  <c:v>184</c:v>
                </c:pt>
                <c:pt idx="297">
                  <c:v>185</c:v>
                </c:pt>
                <c:pt idx="298">
                  <c:v>186</c:v>
                </c:pt>
                <c:pt idx="299">
                  <c:v>187</c:v>
                </c:pt>
                <c:pt idx="300">
                  <c:v>188</c:v>
                </c:pt>
                <c:pt idx="301">
                  <c:v>189</c:v>
                </c:pt>
                <c:pt idx="302">
                  <c:v>190</c:v>
                </c:pt>
                <c:pt idx="303">
                  <c:v>191</c:v>
                </c:pt>
                <c:pt idx="304">
                  <c:v>192</c:v>
                </c:pt>
                <c:pt idx="305">
                  <c:v>193</c:v>
                </c:pt>
                <c:pt idx="306">
                  <c:v>194</c:v>
                </c:pt>
                <c:pt idx="307">
                  <c:v>195</c:v>
                </c:pt>
                <c:pt idx="308">
                  <c:v>196</c:v>
                </c:pt>
                <c:pt idx="309">
                  <c:v>197</c:v>
                </c:pt>
                <c:pt idx="310">
                  <c:v>198</c:v>
                </c:pt>
                <c:pt idx="311">
                  <c:v>199</c:v>
                </c:pt>
                <c:pt idx="312">
                  <c:v>200</c:v>
                </c:pt>
                <c:pt idx="313">
                  <c:v>201</c:v>
                </c:pt>
                <c:pt idx="314">
                  <c:v>202</c:v>
                </c:pt>
                <c:pt idx="315">
                  <c:v>203</c:v>
                </c:pt>
                <c:pt idx="316">
                  <c:v>204</c:v>
                </c:pt>
                <c:pt idx="317">
                  <c:v>205</c:v>
                </c:pt>
                <c:pt idx="318">
                  <c:v>206</c:v>
                </c:pt>
                <c:pt idx="319">
                  <c:v>207</c:v>
                </c:pt>
                <c:pt idx="320">
                  <c:v>208</c:v>
                </c:pt>
                <c:pt idx="321">
                  <c:v>209</c:v>
                </c:pt>
                <c:pt idx="322">
                  <c:v>210</c:v>
                </c:pt>
                <c:pt idx="323">
                  <c:v>211</c:v>
                </c:pt>
                <c:pt idx="324">
                  <c:v>212</c:v>
                </c:pt>
                <c:pt idx="325">
                  <c:v>213</c:v>
                </c:pt>
                <c:pt idx="326">
                  <c:v>214</c:v>
                </c:pt>
                <c:pt idx="327">
                  <c:v>215</c:v>
                </c:pt>
                <c:pt idx="328">
                  <c:v>216</c:v>
                </c:pt>
                <c:pt idx="329">
                  <c:v>217</c:v>
                </c:pt>
                <c:pt idx="330">
                  <c:v>218</c:v>
                </c:pt>
                <c:pt idx="331">
                  <c:v>219</c:v>
                </c:pt>
                <c:pt idx="332">
                  <c:v>220</c:v>
                </c:pt>
                <c:pt idx="333">
                  <c:v>221</c:v>
                </c:pt>
                <c:pt idx="334">
                  <c:v>222</c:v>
                </c:pt>
                <c:pt idx="335">
                  <c:v>223</c:v>
                </c:pt>
                <c:pt idx="336">
                  <c:v>224</c:v>
                </c:pt>
                <c:pt idx="337">
                  <c:v>225</c:v>
                </c:pt>
                <c:pt idx="338">
                  <c:v>226</c:v>
                </c:pt>
                <c:pt idx="339">
                  <c:v>227</c:v>
                </c:pt>
                <c:pt idx="340">
                  <c:v>228</c:v>
                </c:pt>
                <c:pt idx="341">
                  <c:v>229</c:v>
                </c:pt>
                <c:pt idx="342">
                  <c:v>230</c:v>
                </c:pt>
                <c:pt idx="343">
                  <c:v>231</c:v>
                </c:pt>
                <c:pt idx="344">
                  <c:v>232</c:v>
                </c:pt>
                <c:pt idx="345">
                  <c:v>233</c:v>
                </c:pt>
                <c:pt idx="346">
                  <c:v>234</c:v>
                </c:pt>
                <c:pt idx="347">
                  <c:v>235</c:v>
                </c:pt>
                <c:pt idx="348">
                  <c:v>236</c:v>
                </c:pt>
                <c:pt idx="349">
                  <c:v>237</c:v>
                </c:pt>
                <c:pt idx="350">
                  <c:v>238</c:v>
                </c:pt>
                <c:pt idx="351">
                  <c:v>239</c:v>
                </c:pt>
                <c:pt idx="352">
                  <c:v>240</c:v>
                </c:pt>
                <c:pt idx="353">
                  <c:v>241</c:v>
                </c:pt>
                <c:pt idx="354">
                  <c:v>242</c:v>
                </c:pt>
                <c:pt idx="355">
                  <c:v>243</c:v>
                </c:pt>
                <c:pt idx="356">
                  <c:v>244</c:v>
                </c:pt>
                <c:pt idx="357">
                  <c:v>245</c:v>
                </c:pt>
                <c:pt idx="358">
                  <c:v>246</c:v>
                </c:pt>
                <c:pt idx="359">
                  <c:v>247</c:v>
                </c:pt>
                <c:pt idx="360">
                  <c:v>248</c:v>
                </c:pt>
                <c:pt idx="361">
                  <c:v>249</c:v>
                </c:pt>
                <c:pt idx="362">
                  <c:v>250</c:v>
                </c:pt>
                <c:pt idx="363">
                  <c:v>251</c:v>
                </c:pt>
                <c:pt idx="364">
                  <c:v>252</c:v>
                </c:pt>
                <c:pt idx="365">
                  <c:v>253</c:v>
                </c:pt>
                <c:pt idx="366">
                  <c:v>254</c:v>
                </c:pt>
                <c:pt idx="367">
                  <c:v>255</c:v>
                </c:pt>
                <c:pt idx="368">
                  <c:v>256</c:v>
                </c:pt>
                <c:pt idx="369">
                  <c:v>257</c:v>
                </c:pt>
                <c:pt idx="370">
                  <c:v>258</c:v>
                </c:pt>
                <c:pt idx="371">
                  <c:v>259</c:v>
                </c:pt>
                <c:pt idx="372">
                  <c:v>260</c:v>
                </c:pt>
                <c:pt idx="373">
                  <c:v>261</c:v>
                </c:pt>
                <c:pt idx="374">
                  <c:v>262</c:v>
                </c:pt>
                <c:pt idx="375">
                  <c:v>263</c:v>
                </c:pt>
                <c:pt idx="376">
                  <c:v>264</c:v>
                </c:pt>
                <c:pt idx="377">
                  <c:v>265</c:v>
                </c:pt>
                <c:pt idx="378">
                  <c:v>266</c:v>
                </c:pt>
                <c:pt idx="379">
                  <c:v>267</c:v>
                </c:pt>
                <c:pt idx="380">
                  <c:v>268</c:v>
                </c:pt>
                <c:pt idx="381">
                  <c:v>269</c:v>
                </c:pt>
                <c:pt idx="382">
                  <c:v>270</c:v>
                </c:pt>
                <c:pt idx="383">
                  <c:v>271</c:v>
                </c:pt>
                <c:pt idx="384">
                  <c:v>272</c:v>
                </c:pt>
                <c:pt idx="385">
                  <c:v>273</c:v>
                </c:pt>
                <c:pt idx="386">
                  <c:v>274</c:v>
                </c:pt>
                <c:pt idx="387">
                  <c:v>275</c:v>
                </c:pt>
                <c:pt idx="388">
                  <c:v>276</c:v>
                </c:pt>
                <c:pt idx="389">
                  <c:v>277</c:v>
                </c:pt>
                <c:pt idx="390">
                  <c:v>278</c:v>
                </c:pt>
                <c:pt idx="391">
                  <c:v>279</c:v>
                </c:pt>
                <c:pt idx="392">
                  <c:v>280</c:v>
                </c:pt>
                <c:pt idx="393">
                  <c:v>281</c:v>
                </c:pt>
                <c:pt idx="394">
                  <c:v>282</c:v>
                </c:pt>
                <c:pt idx="395">
                  <c:v>283</c:v>
                </c:pt>
                <c:pt idx="396">
                  <c:v>284</c:v>
                </c:pt>
                <c:pt idx="397">
                  <c:v>285</c:v>
                </c:pt>
                <c:pt idx="398">
                  <c:v>286</c:v>
                </c:pt>
                <c:pt idx="399">
                  <c:v>287</c:v>
                </c:pt>
                <c:pt idx="400">
                  <c:v>288</c:v>
                </c:pt>
                <c:pt idx="401">
                  <c:v>289</c:v>
                </c:pt>
                <c:pt idx="402">
                  <c:v>290</c:v>
                </c:pt>
                <c:pt idx="403">
                  <c:v>291</c:v>
                </c:pt>
                <c:pt idx="404">
                  <c:v>292</c:v>
                </c:pt>
                <c:pt idx="405">
                  <c:v>293</c:v>
                </c:pt>
                <c:pt idx="406">
                  <c:v>294</c:v>
                </c:pt>
                <c:pt idx="407">
                  <c:v>295</c:v>
                </c:pt>
                <c:pt idx="408">
                  <c:v>296</c:v>
                </c:pt>
                <c:pt idx="409">
                  <c:v>297</c:v>
                </c:pt>
                <c:pt idx="410">
                  <c:v>298</c:v>
                </c:pt>
                <c:pt idx="411">
                  <c:v>299</c:v>
                </c:pt>
                <c:pt idx="412">
                  <c:v>300</c:v>
                </c:pt>
                <c:pt idx="413">
                  <c:v>301</c:v>
                </c:pt>
                <c:pt idx="414">
                  <c:v>302</c:v>
                </c:pt>
                <c:pt idx="415">
                  <c:v>303</c:v>
                </c:pt>
                <c:pt idx="416">
                  <c:v>304</c:v>
                </c:pt>
                <c:pt idx="417">
                  <c:v>305</c:v>
                </c:pt>
                <c:pt idx="418">
                  <c:v>306</c:v>
                </c:pt>
                <c:pt idx="419">
                  <c:v>307</c:v>
                </c:pt>
                <c:pt idx="420">
                  <c:v>308</c:v>
                </c:pt>
                <c:pt idx="421">
                  <c:v>309</c:v>
                </c:pt>
                <c:pt idx="422">
                  <c:v>310</c:v>
                </c:pt>
                <c:pt idx="423">
                  <c:v>311</c:v>
                </c:pt>
                <c:pt idx="424">
                  <c:v>312</c:v>
                </c:pt>
                <c:pt idx="425">
                  <c:v>313</c:v>
                </c:pt>
                <c:pt idx="426">
                  <c:v>314</c:v>
                </c:pt>
                <c:pt idx="427">
                  <c:v>315</c:v>
                </c:pt>
                <c:pt idx="428">
                  <c:v>316</c:v>
                </c:pt>
                <c:pt idx="429">
                  <c:v>317</c:v>
                </c:pt>
                <c:pt idx="430">
                  <c:v>318</c:v>
                </c:pt>
                <c:pt idx="431">
                  <c:v>319</c:v>
                </c:pt>
                <c:pt idx="432">
                  <c:v>320</c:v>
                </c:pt>
                <c:pt idx="433">
                  <c:v>321</c:v>
                </c:pt>
                <c:pt idx="434">
                  <c:v>322</c:v>
                </c:pt>
                <c:pt idx="435">
                  <c:v>323</c:v>
                </c:pt>
                <c:pt idx="436">
                  <c:v>324</c:v>
                </c:pt>
                <c:pt idx="437">
                  <c:v>325</c:v>
                </c:pt>
                <c:pt idx="438">
                  <c:v>326</c:v>
                </c:pt>
                <c:pt idx="439">
                  <c:v>327</c:v>
                </c:pt>
                <c:pt idx="440">
                  <c:v>328</c:v>
                </c:pt>
                <c:pt idx="441">
                  <c:v>329</c:v>
                </c:pt>
                <c:pt idx="442">
                  <c:v>330</c:v>
                </c:pt>
                <c:pt idx="443">
                  <c:v>331</c:v>
                </c:pt>
                <c:pt idx="444">
                  <c:v>332</c:v>
                </c:pt>
                <c:pt idx="445">
                  <c:v>333</c:v>
                </c:pt>
                <c:pt idx="446">
                  <c:v>334</c:v>
                </c:pt>
                <c:pt idx="447">
                  <c:v>335</c:v>
                </c:pt>
                <c:pt idx="448">
                  <c:v>336</c:v>
                </c:pt>
                <c:pt idx="449">
                  <c:v>337</c:v>
                </c:pt>
                <c:pt idx="450">
                  <c:v>338</c:v>
                </c:pt>
                <c:pt idx="451">
                  <c:v>339</c:v>
                </c:pt>
                <c:pt idx="452">
                  <c:v>340</c:v>
                </c:pt>
                <c:pt idx="453">
                  <c:v>341</c:v>
                </c:pt>
                <c:pt idx="454">
                  <c:v>342</c:v>
                </c:pt>
                <c:pt idx="455">
                  <c:v>343</c:v>
                </c:pt>
                <c:pt idx="456">
                  <c:v>344</c:v>
                </c:pt>
                <c:pt idx="457">
                  <c:v>345</c:v>
                </c:pt>
                <c:pt idx="458">
                  <c:v>346</c:v>
                </c:pt>
                <c:pt idx="459">
                  <c:v>347</c:v>
                </c:pt>
                <c:pt idx="460">
                  <c:v>348</c:v>
                </c:pt>
                <c:pt idx="461">
                  <c:v>349</c:v>
                </c:pt>
                <c:pt idx="462">
                  <c:v>350</c:v>
                </c:pt>
                <c:pt idx="463">
                  <c:v>351</c:v>
                </c:pt>
                <c:pt idx="464">
                  <c:v>352</c:v>
                </c:pt>
                <c:pt idx="465">
                  <c:v>353</c:v>
                </c:pt>
                <c:pt idx="466">
                  <c:v>354</c:v>
                </c:pt>
                <c:pt idx="467">
                  <c:v>355</c:v>
                </c:pt>
                <c:pt idx="468">
                  <c:v>356</c:v>
                </c:pt>
                <c:pt idx="469">
                  <c:v>357</c:v>
                </c:pt>
                <c:pt idx="470">
                  <c:v>358</c:v>
                </c:pt>
                <c:pt idx="471">
                  <c:v>359</c:v>
                </c:pt>
                <c:pt idx="472">
                  <c:v>360</c:v>
                </c:pt>
                <c:pt idx="473">
                  <c:v>361</c:v>
                </c:pt>
                <c:pt idx="474">
                  <c:v>362</c:v>
                </c:pt>
                <c:pt idx="475">
                  <c:v>363</c:v>
                </c:pt>
                <c:pt idx="476">
                  <c:v>364</c:v>
                </c:pt>
                <c:pt idx="477">
                  <c:v>365</c:v>
                </c:pt>
                <c:pt idx="478">
                  <c:v>366</c:v>
                </c:pt>
                <c:pt idx="479">
                  <c:v>367</c:v>
                </c:pt>
                <c:pt idx="480">
                  <c:v>368</c:v>
                </c:pt>
                <c:pt idx="481">
                  <c:v>369</c:v>
                </c:pt>
                <c:pt idx="482">
                  <c:v>370</c:v>
                </c:pt>
                <c:pt idx="483">
                  <c:v>371</c:v>
                </c:pt>
                <c:pt idx="484">
                  <c:v>372</c:v>
                </c:pt>
                <c:pt idx="485">
                  <c:v>373</c:v>
                </c:pt>
                <c:pt idx="486">
                  <c:v>374</c:v>
                </c:pt>
                <c:pt idx="487">
                  <c:v>375</c:v>
                </c:pt>
                <c:pt idx="488">
                  <c:v>376</c:v>
                </c:pt>
                <c:pt idx="489">
                  <c:v>377</c:v>
                </c:pt>
                <c:pt idx="490">
                  <c:v>378</c:v>
                </c:pt>
                <c:pt idx="491">
                  <c:v>379</c:v>
                </c:pt>
                <c:pt idx="492">
                  <c:v>380</c:v>
                </c:pt>
                <c:pt idx="493">
                  <c:v>381</c:v>
                </c:pt>
                <c:pt idx="494">
                  <c:v>382</c:v>
                </c:pt>
                <c:pt idx="495">
                  <c:v>383</c:v>
                </c:pt>
                <c:pt idx="496">
                  <c:v>384</c:v>
                </c:pt>
                <c:pt idx="497">
                  <c:v>385</c:v>
                </c:pt>
                <c:pt idx="498">
                  <c:v>386</c:v>
                </c:pt>
                <c:pt idx="499">
                  <c:v>387</c:v>
                </c:pt>
                <c:pt idx="500">
                  <c:v>388</c:v>
                </c:pt>
                <c:pt idx="501">
                  <c:v>389</c:v>
                </c:pt>
                <c:pt idx="502">
                  <c:v>390</c:v>
                </c:pt>
                <c:pt idx="503">
                  <c:v>391</c:v>
                </c:pt>
                <c:pt idx="504">
                  <c:v>392</c:v>
                </c:pt>
                <c:pt idx="505">
                  <c:v>393</c:v>
                </c:pt>
                <c:pt idx="506">
                  <c:v>394</c:v>
                </c:pt>
                <c:pt idx="507">
                  <c:v>395</c:v>
                </c:pt>
                <c:pt idx="508">
                  <c:v>396</c:v>
                </c:pt>
                <c:pt idx="509">
                  <c:v>397</c:v>
                </c:pt>
                <c:pt idx="510">
                  <c:v>398</c:v>
                </c:pt>
                <c:pt idx="511">
                  <c:v>399</c:v>
                </c:pt>
                <c:pt idx="512">
                  <c:v>400</c:v>
                </c:pt>
                <c:pt idx="513">
                  <c:v>401</c:v>
                </c:pt>
                <c:pt idx="514">
                  <c:v>402</c:v>
                </c:pt>
                <c:pt idx="515">
                  <c:v>403</c:v>
                </c:pt>
                <c:pt idx="516">
                  <c:v>404</c:v>
                </c:pt>
                <c:pt idx="517">
                  <c:v>405</c:v>
                </c:pt>
                <c:pt idx="518">
                  <c:v>406</c:v>
                </c:pt>
                <c:pt idx="519">
                  <c:v>407</c:v>
                </c:pt>
                <c:pt idx="520">
                  <c:v>408</c:v>
                </c:pt>
                <c:pt idx="521">
                  <c:v>409</c:v>
                </c:pt>
                <c:pt idx="522">
                  <c:v>410</c:v>
                </c:pt>
                <c:pt idx="523">
                  <c:v>411</c:v>
                </c:pt>
                <c:pt idx="524">
                  <c:v>412</c:v>
                </c:pt>
                <c:pt idx="525">
                  <c:v>413</c:v>
                </c:pt>
                <c:pt idx="526">
                  <c:v>414</c:v>
                </c:pt>
                <c:pt idx="527">
                  <c:v>415</c:v>
                </c:pt>
                <c:pt idx="528">
                  <c:v>416</c:v>
                </c:pt>
                <c:pt idx="529">
                  <c:v>417</c:v>
                </c:pt>
                <c:pt idx="530">
                  <c:v>418</c:v>
                </c:pt>
                <c:pt idx="531">
                  <c:v>419</c:v>
                </c:pt>
                <c:pt idx="532">
                  <c:v>420</c:v>
                </c:pt>
                <c:pt idx="533">
                  <c:v>421</c:v>
                </c:pt>
                <c:pt idx="534">
                  <c:v>422</c:v>
                </c:pt>
                <c:pt idx="535">
                  <c:v>423</c:v>
                </c:pt>
                <c:pt idx="536">
                  <c:v>424</c:v>
                </c:pt>
                <c:pt idx="537">
                  <c:v>425</c:v>
                </c:pt>
                <c:pt idx="538">
                  <c:v>426</c:v>
                </c:pt>
                <c:pt idx="539">
                  <c:v>427</c:v>
                </c:pt>
                <c:pt idx="540">
                  <c:v>428</c:v>
                </c:pt>
                <c:pt idx="541">
                  <c:v>429</c:v>
                </c:pt>
                <c:pt idx="542">
                  <c:v>430</c:v>
                </c:pt>
                <c:pt idx="543">
                  <c:v>431</c:v>
                </c:pt>
                <c:pt idx="544">
                  <c:v>432</c:v>
                </c:pt>
                <c:pt idx="545">
                  <c:v>433</c:v>
                </c:pt>
                <c:pt idx="546">
                  <c:v>434</c:v>
                </c:pt>
                <c:pt idx="547">
                  <c:v>435</c:v>
                </c:pt>
                <c:pt idx="548">
                  <c:v>436</c:v>
                </c:pt>
                <c:pt idx="549">
                  <c:v>437</c:v>
                </c:pt>
                <c:pt idx="550">
                  <c:v>438</c:v>
                </c:pt>
                <c:pt idx="551">
                  <c:v>439</c:v>
                </c:pt>
                <c:pt idx="552">
                  <c:v>440</c:v>
                </c:pt>
                <c:pt idx="553">
                  <c:v>441</c:v>
                </c:pt>
                <c:pt idx="554">
                  <c:v>442</c:v>
                </c:pt>
                <c:pt idx="555">
                  <c:v>443</c:v>
                </c:pt>
                <c:pt idx="556">
                  <c:v>444</c:v>
                </c:pt>
                <c:pt idx="557">
                  <c:v>445</c:v>
                </c:pt>
                <c:pt idx="558">
                  <c:v>446</c:v>
                </c:pt>
                <c:pt idx="559">
                  <c:v>447</c:v>
                </c:pt>
                <c:pt idx="560">
                  <c:v>448</c:v>
                </c:pt>
                <c:pt idx="561">
                  <c:v>449</c:v>
                </c:pt>
                <c:pt idx="562">
                  <c:v>450</c:v>
                </c:pt>
                <c:pt idx="563">
                  <c:v>451</c:v>
                </c:pt>
                <c:pt idx="564">
                  <c:v>452</c:v>
                </c:pt>
                <c:pt idx="565">
                  <c:v>453</c:v>
                </c:pt>
                <c:pt idx="566">
                  <c:v>454</c:v>
                </c:pt>
                <c:pt idx="567">
                  <c:v>455</c:v>
                </c:pt>
                <c:pt idx="568">
                  <c:v>456</c:v>
                </c:pt>
                <c:pt idx="569">
                  <c:v>457</c:v>
                </c:pt>
                <c:pt idx="570">
                  <c:v>458</c:v>
                </c:pt>
                <c:pt idx="571">
                  <c:v>459</c:v>
                </c:pt>
                <c:pt idx="572">
                  <c:v>460</c:v>
                </c:pt>
                <c:pt idx="573">
                  <c:v>461</c:v>
                </c:pt>
                <c:pt idx="574">
                  <c:v>462</c:v>
                </c:pt>
                <c:pt idx="575">
                  <c:v>463</c:v>
                </c:pt>
                <c:pt idx="576">
                  <c:v>464</c:v>
                </c:pt>
                <c:pt idx="577">
                  <c:v>465</c:v>
                </c:pt>
                <c:pt idx="578">
                  <c:v>466</c:v>
                </c:pt>
                <c:pt idx="579">
                  <c:v>467</c:v>
                </c:pt>
                <c:pt idx="580">
                  <c:v>468</c:v>
                </c:pt>
                <c:pt idx="581">
                  <c:v>469</c:v>
                </c:pt>
                <c:pt idx="582">
                  <c:v>470</c:v>
                </c:pt>
                <c:pt idx="583">
                  <c:v>471</c:v>
                </c:pt>
                <c:pt idx="584">
                  <c:v>472</c:v>
                </c:pt>
                <c:pt idx="585">
                  <c:v>473</c:v>
                </c:pt>
                <c:pt idx="586">
                  <c:v>474</c:v>
                </c:pt>
                <c:pt idx="587">
                  <c:v>475</c:v>
                </c:pt>
                <c:pt idx="588">
                  <c:v>476</c:v>
                </c:pt>
                <c:pt idx="589">
                  <c:v>477</c:v>
                </c:pt>
                <c:pt idx="590">
                  <c:v>478</c:v>
                </c:pt>
                <c:pt idx="591">
                  <c:v>479</c:v>
                </c:pt>
                <c:pt idx="592">
                  <c:v>480</c:v>
                </c:pt>
                <c:pt idx="593">
                  <c:v>481</c:v>
                </c:pt>
                <c:pt idx="594">
                  <c:v>482</c:v>
                </c:pt>
                <c:pt idx="595">
                  <c:v>483</c:v>
                </c:pt>
                <c:pt idx="596">
                  <c:v>484</c:v>
                </c:pt>
                <c:pt idx="597">
                  <c:v>485</c:v>
                </c:pt>
                <c:pt idx="598">
                  <c:v>486</c:v>
                </c:pt>
                <c:pt idx="599">
                  <c:v>487</c:v>
                </c:pt>
                <c:pt idx="600">
                  <c:v>488</c:v>
                </c:pt>
                <c:pt idx="601">
                  <c:v>489</c:v>
                </c:pt>
                <c:pt idx="602">
                  <c:v>490</c:v>
                </c:pt>
                <c:pt idx="603">
                  <c:v>491</c:v>
                </c:pt>
                <c:pt idx="604">
                  <c:v>492</c:v>
                </c:pt>
                <c:pt idx="605">
                  <c:v>493</c:v>
                </c:pt>
                <c:pt idx="606">
                  <c:v>494</c:v>
                </c:pt>
                <c:pt idx="607">
                  <c:v>495</c:v>
                </c:pt>
                <c:pt idx="608">
                  <c:v>496</c:v>
                </c:pt>
                <c:pt idx="609">
                  <c:v>497</c:v>
                </c:pt>
                <c:pt idx="610">
                  <c:v>498</c:v>
                </c:pt>
                <c:pt idx="611">
                  <c:v>499</c:v>
                </c:pt>
                <c:pt idx="612">
                  <c:v>500</c:v>
                </c:pt>
                <c:pt idx="613">
                  <c:v>501</c:v>
                </c:pt>
                <c:pt idx="614">
                  <c:v>502</c:v>
                </c:pt>
                <c:pt idx="615">
                  <c:v>503</c:v>
                </c:pt>
                <c:pt idx="616">
                  <c:v>504</c:v>
                </c:pt>
                <c:pt idx="617">
                  <c:v>505</c:v>
                </c:pt>
                <c:pt idx="618">
                  <c:v>506</c:v>
                </c:pt>
                <c:pt idx="619">
                  <c:v>507</c:v>
                </c:pt>
                <c:pt idx="620">
                  <c:v>508</c:v>
                </c:pt>
                <c:pt idx="621">
                  <c:v>509</c:v>
                </c:pt>
                <c:pt idx="622">
                  <c:v>510</c:v>
                </c:pt>
                <c:pt idx="623">
                  <c:v>511</c:v>
                </c:pt>
                <c:pt idx="624">
                  <c:v>512</c:v>
                </c:pt>
                <c:pt idx="625">
                  <c:v>513</c:v>
                </c:pt>
                <c:pt idx="626">
                  <c:v>514</c:v>
                </c:pt>
                <c:pt idx="627">
                  <c:v>515</c:v>
                </c:pt>
                <c:pt idx="628">
                  <c:v>516</c:v>
                </c:pt>
                <c:pt idx="629">
                  <c:v>517</c:v>
                </c:pt>
                <c:pt idx="630">
                  <c:v>518</c:v>
                </c:pt>
                <c:pt idx="631">
                  <c:v>519</c:v>
                </c:pt>
                <c:pt idx="632">
                  <c:v>520</c:v>
                </c:pt>
                <c:pt idx="633">
                  <c:v>521</c:v>
                </c:pt>
                <c:pt idx="634">
                  <c:v>522</c:v>
                </c:pt>
                <c:pt idx="635">
                  <c:v>523</c:v>
                </c:pt>
                <c:pt idx="636">
                  <c:v>524</c:v>
                </c:pt>
                <c:pt idx="637">
                  <c:v>525</c:v>
                </c:pt>
                <c:pt idx="638">
                  <c:v>526</c:v>
                </c:pt>
                <c:pt idx="639">
                  <c:v>527</c:v>
                </c:pt>
                <c:pt idx="640">
                  <c:v>528</c:v>
                </c:pt>
                <c:pt idx="641">
                  <c:v>529</c:v>
                </c:pt>
                <c:pt idx="642">
                  <c:v>530</c:v>
                </c:pt>
                <c:pt idx="643">
                  <c:v>531</c:v>
                </c:pt>
                <c:pt idx="644">
                  <c:v>532</c:v>
                </c:pt>
                <c:pt idx="645">
                  <c:v>533</c:v>
                </c:pt>
                <c:pt idx="646">
                  <c:v>534</c:v>
                </c:pt>
                <c:pt idx="647">
                  <c:v>535</c:v>
                </c:pt>
                <c:pt idx="648">
                  <c:v>536</c:v>
                </c:pt>
                <c:pt idx="649">
                  <c:v>537</c:v>
                </c:pt>
                <c:pt idx="650">
                  <c:v>538</c:v>
                </c:pt>
                <c:pt idx="651">
                  <c:v>539</c:v>
                </c:pt>
                <c:pt idx="652">
                  <c:v>540</c:v>
                </c:pt>
                <c:pt idx="653">
                  <c:v>541</c:v>
                </c:pt>
                <c:pt idx="654">
                  <c:v>542</c:v>
                </c:pt>
                <c:pt idx="655">
                  <c:v>543</c:v>
                </c:pt>
                <c:pt idx="656">
                  <c:v>544</c:v>
                </c:pt>
                <c:pt idx="657">
                  <c:v>545</c:v>
                </c:pt>
                <c:pt idx="658">
                  <c:v>546</c:v>
                </c:pt>
                <c:pt idx="659">
                  <c:v>547</c:v>
                </c:pt>
                <c:pt idx="660">
                  <c:v>548</c:v>
                </c:pt>
                <c:pt idx="661">
                  <c:v>549</c:v>
                </c:pt>
                <c:pt idx="662">
                  <c:v>550</c:v>
                </c:pt>
                <c:pt idx="663">
                  <c:v>551</c:v>
                </c:pt>
                <c:pt idx="664">
                  <c:v>552</c:v>
                </c:pt>
                <c:pt idx="665">
                  <c:v>553</c:v>
                </c:pt>
                <c:pt idx="666">
                  <c:v>554</c:v>
                </c:pt>
                <c:pt idx="667">
                  <c:v>555</c:v>
                </c:pt>
                <c:pt idx="668">
                  <c:v>556</c:v>
                </c:pt>
                <c:pt idx="669">
                  <c:v>557</c:v>
                </c:pt>
                <c:pt idx="670">
                  <c:v>558</c:v>
                </c:pt>
                <c:pt idx="671">
                  <c:v>559</c:v>
                </c:pt>
                <c:pt idx="672">
                  <c:v>560</c:v>
                </c:pt>
                <c:pt idx="673">
                  <c:v>561</c:v>
                </c:pt>
                <c:pt idx="674">
                  <c:v>562</c:v>
                </c:pt>
                <c:pt idx="675">
                  <c:v>563</c:v>
                </c:pt>
                <c:pt idx="676">
                  <c:v>564</c:v>
                </c:pt>
                <c:pt idx="677">
                  <c:v>565</c:v>
                </c:pt>
                <c:pt idx="678">
                  <c:v>566</c:v>
                </c:pt>
                <c:pt idx="679">
                  <c:v>567</c:v>
                </c:pt>
                <c:pt idx="680">
                  <c:v>568</c:v>
                </c:pt>
                <c:pt idx="681">
                  <c:v>569</c:v>
                </c:pt>
                <c:pt idx="682">
                  <c:v>570</c:v>
                </c:pt>
                <c:pt idx="683">
                  <c:v>571</c:v>
                </c:pt>
                <c:pt idx="684">
                  <c:v>572</c:v>
                </c:pt>
                <c:pt idx="685">
                  <c:v>573</c:v>
                </c:pt>
                <c:pt idx="686">
                  <c:v>574</c:v>
                </c:pt>
                <c:pt idx="687">
                  <c:v>575</c:v>
                </c:pt>
                <c:pt idx="688">
                  <c:v>576</c:v>
                </c:pt>
                <c:pt idx="689">
                  <c:v>577</c:v>
                </c:pt>
                <c:pt idx="690">
                  <c:v>578</c:v>
                </c:pt>
                <c:pt idx="691">
                  <c:v>579</c:v>
                </c:pt>
                <c:pt idx="692">
                  <c:v>580</c:v>
                </c:pt>
                <c:pt idx="693">
                  <c:v>581</c:v>
                </c:pt>
                <c:pt idx="694">
                  <c:v>582</c:v>
                </c:pt>
                <c:pt idx="695">
                  <c:v>583</c:v>
                </c:pt>
                <c:pt idx="696">
                  <c:v>584</c:v>
                </c:pt>
                <c:pt idx="697">
                  <c:v>585</c:v>
                </c:pt>
                <c:pt idx="698">
                  <c:v>586</c:v>
                </c:pt>
                <c:pt idx="699">
                  <c:v>587</c:v>
                </c:pt>
                <c:pt idx="700">
                  <c:v>588</c:v>
                </c:pt>
                <c:pt idx="701">
                  <c:v>589</c:v>
                </c:pt>
                <c:pt idx="702">
                  <c:v>590</c:v>
                </c:pt>
                <c:pt idx="703">
                  <c:v>591</c:v>
                </c:pt>
                <c:pt idx="704">
                  <c:v>592</c:v>
                </c:pt>
                <c:pt idx="705">
                  <c:v>593</c:v>
                </c:pt>
                <c:pt idx="706">
                  <c:v>594</c:v>
                </c:pt>
                <c:pt idx="707">
                  <c:v>595</c:v>
                </c:pt>
                <c:pt idx="708">
                  <c:v>596</c:v>
                </c:pt>
                <c:pt idx="709">
                  <c:v>597</c:v>
                </c:pt>
                <c:pt idx="710">
                  <c:v>598</c:v>
                </c:pt>
                <c:pt idx="711">
                  <c:v>599</c:v>
                </c:pt>
                <c:pt idx="712">
                  <c:v>600</c:v>
                </c:pt>
                <c:pt idx="713">
                  <c:v>601</c:v>
                </c:pt>
                <c:pt idx="714">
                  <c:v>602</c:v>
                </c:pt>
                <c:pt idx="715">
                  <c:v>603</c:v>
                </c:pt>
                <c:pt idx="716">
                  <c:v>604</c:v>
                </c:pt>
                <c:pt idx="717">
                  <c:v>605</c:v>
                </c:pt>
                <c:pt idx="718">
                  <c:v>606</c:v>
                </c:pt>
                <c:pt idx="719">
                  <c:v>607</c:v>
                </c:pt>
                <c:pt idx="720">
                  <c:v>608</c:v>
                </c:pt>
                <c:pt idx="721">
                  <c:v>609</c:v>
                </c:pt>
                <c:pt idx="722">
                  <c:v>610</c:v>
                </c:pt>
                <c:pt idx="723">
                  <c:v>611</c:v>
                </c:pt>
                <c:pt idx="724">
                  <c:v>612</c:v>
                </c:pt>
                <c:pt idx="725">
                  <c:v>613</c:v>
                </c:pt>
                <c:pt idx="726">
                  <c:v>614</c:v>
                </c:pt>
                <c:pt idx="727">
                  <c:v>615</c:v>
                </c:pt>
                <c:pt idx="728">
                  <c:v>616</c:v>
                </c:pt>
                <c:pt idx="729">
                  <c:v>617</c:v>
                </c:pt>
                <c:pt idx="730">
                  <c:v>618</c:v>
                </c:pt>
                <c:pt idx="731">
                  <c:v>619</c:v>
                </c:pt>
                <c:pt idx="732">
                  <c:v>620</c:v>
                </c:pt>
                <c:pt idx="733">
                  <c:v>621</c:v>
                </c:pt>
                <c:pt idx="734">
                  <c:v>622</c:v>
                </c:pt>
                <c:pt idx="735">
                  <c:v>623</c:v>
                </c:pt>
                <c:pt idx="736">
                  <c:v>624</c:v>
                </c:pt>
                <c:pt idx="737">
                  <c:v>625</c:v>
                </c:pt>
                <c:pt idx="738">
                  <c:v>626</c:v>
                </c:pt>
                <c:pt idx="739">
                  <c:v>627</c:v>
                </c:pt>
                <c:pt idx="740">
                  <c:v>628</c:v>
                </c:pt>
                <c:pt idx="741">
                  <c:v>629</c:v>
                </c:pt>
                <c:pt idx="742">
                  <c:v>630</c:v>
                </c:pt>
                <c:pt idx="743">
                  <c:v>631</c:v>
                </c:pt>
                <c:pt idx="744">
                  <c:v>632</c:v>
                </c:pt>
                <c:pt idx="745">
                  <c:v>633</c:v>
                </c:pt>
                <c:pt idx="746">
                  <c:v>634</c:v>
                </c:pt>
                <c:pt idx="747">
                  <c:v>635</c:v>
                </c:pt>
                <c:pt idx="748">
                  <c:v>636</c:v>
                </c:pt>
                <c:pt idx="749">
                  <c:v>637</c:v>
                </c:pt>
                <c:pt idx="750">
                  <c:v>638</c:v>
                </c:pt>
                <c:pt idx="751">
                  <c:v>639</c:v>
                </c:pt>
                <c:pt idx="752">
                  <c:v>640</c:v>
                </c:pt>
                <c:pt idx="753">
                  <c:v>641</c:v>
                </c:pt>
                <c:pt idx="754">
                  <c:v>642</c:v>
                </c:pt>
                <c:pt idx="755">
                  <c:v>643</c:v>
                </c:pt>
                <c:pt idx="756">
                  <c:v>644</c:v>
                </c:pt>
                <c:pt idx="757">
                  <c:v>645</c:v>
                </c:pt>
                <c:pt idx="758">
                  <c:v>646</c:v>
                </c:pt>
                <c:pt idx="759">
                  <c:v>647</c:v>
                </c:pt>
                <c:pt idx="760">
                  <c:v>648</c:v>
                </c:pt>
                <c:pt idx="761">
                  <c:v>649</c:v>
                </c:pt>
                <c:pt idx="762">
                  <c:v>650</c:v>
                </c:pt>
                <c:pt idx="763">
                  <c:v>651</c:v>
                </c:pt>
                <c:pt idx="764">
                  <c:v>652</c:v>
                </c:pt>
                <c:pt idx="765">
                  <c:v>653</c:v>
                </c:pt>
                <c:pt idx="766">
                  <c:v>654</c:v>
                </c:pt>
                <c:pt idx="767">
                  <c:v>655</c:v>
                </c:pt>
                <c:pt idx="768">
                  <c:v>656</c:v>
                </c:pt>
                <c:pt idx="769">
                  <c:v>657</c:v>
                </c:pt>
                <c:pt idx="770">
                  <c:v>658</c:v>
                </c:pt>
                <c:pt idx="771">
                  <c:v>659</c:v>
                </c:pt>
                <c:pt idx="772">
                  <c:v>660</c:v>
                </c:pt>
                <c:pt idx="773">
                  <c:v>661</c:v>
                </c:pt>
                <c:pt idx="774">
                  <c:v>662</c:v>
                </c:pt>
                <c:pt idx="775">
                  <c:v>663</c:v>
                </c:pt>
                <c:pt idx="776">
                  <c:v>664</c:v>
                </c:pt>
                <c:pt idx="777">
                  <c:v>665</c:v>
                </c:pt>
                <c:pt idx="778">
                  <c:v>666</c:v>
                </c:pt>
                <c:pt idx="779">
                  <c:v>667</c:v>
                </c:pt>
                <c:pt idx="780">
                  <c:v>668</c:v>
                </c:pt>
                <c:pt idx="781">
                  <c:v>669</c:v>
                </c:pt>
                <c:pt idx="782">
                  <c:v>670</c:v>
                </c:pt>
                <c:pt idx="783">
                  <c:v>671</c:v>
                </c:pt>
                <c:pt idx="784">
                  <c:v>672</c:v>
                </c:pt>
                <c:pt idx="785">
                  <c:v>673</c:v>
                </c:pt>
                <c:pt idx="786">
                  <c:v>674</c:v>
                </c:pt>
                <c:pt idx="787">
                  <c:v>675</c:v>
                </c:pt>
                <c:pt idx="788">
                  <c:v>676</c:v>
                </c:pt>
                <c:pt idx="789">
                  <c:v>677</c:v>
                </c:pt>
                <c:pt idx="790">
                  <c:v>678</c:v>
                </c:pt>
                <c:pt idx="791">
                  <c:v>679</c:v>
                </c:pt>
                <c:pt idx="792">
                  <c:v>680</c:v>
                </c:pt>
                <c:pt idx="793">
                  <c:v>681</c:v>
                </c:pt>
                <c:pt idx="794">
                  <c:v>682</c:v>
                </c:pt>
                <c:pt idx="795">
                  <c:v>683</c:v>
                </c:pt>
                <c:pt idx="796">
                  <c:v>684</c:v>
                </c:pt>
                <c:pt idx="797">
                  <c:v>685</c:v>
                </c:pt>
                <c:pt idx="798">
                  <c:v>686</c:v>
                </c:pt>
                <c:pt idx="799">
                  <c:v>687</c:v>
                </c:pt>
                <c:pt idx="800">
                  <c:v>688</c:v>
                </c:pt>
                <c:pt idx="801">
                  <c:v>689</c:v>
                </c:pt>
                <c:pt idx="802">
                  <c:v>690</c:v>
                </c:pt>
                <c:pt idx="803">
                  <c:v>691</c:v>
                </c:pt>
                <c:pt idx="804">
                  <c:v>692</c:v>
                </c:pt>
                <c:pt idx="805">
                  <c:v>693</c:v>
                </c:pt>
                <c:pt idx="806">
                  <c:v>694</c:v>
                </c:pt>
                <c:pt idx="807">
                  <c:v>695</c:v>
                </c:pt>
                <c:pt idx="808">
                  <c:v>696</c:v>
                </c:pt>
                <c:pt idx="809">
                  <c:v>697</c:v>
                </c:pt>
                <c:pt idx="810">
                  <c:v>698</c:v>
                </c:pt>
                <c:pt idx="811">
                  <c:v>699</c:v>
                </c:pt>
                <c:pt idx="812">
                  <c:v>700</c:v>
                </c:pt>
                <c:pt idx="813">
                  <c:v>701</c:v>
                </c:pt>
                <c:pt idx="814">
                  <c:v>702</c:v>
                </c:pt>
                <c:pt idx="815">
                  <c:v>703</c:v>
                </c:pt>
                <c:pt idx="816">
                  <c:v>704</c:v>
                </c:pt>
                <c:pt idx="817">
                  <c:v>705</c:v>
                </c:pt>
                <c:pt idx="818">
                  <c:v>706</c:v>
                </c:pt>
                <c:pt idx="819">
                  <c:v>707</c:v>
                </c:pt>
                <c:pt idx="820">
                  <c:v>708</c:v>
                </c:pt>
                <c:pt idx="821">
                  <c:v>709</c:v>
                </c:pt>
                <c:pt idx="822">
                  <c:v>710</c:v>
                </c:pt>
                <c:pt idx="823">
                  <c:v>711</c:v>
                </c:pt>
                <c:pt idx="824">
                  <c:v>712</c:v>
                </c:pt>
                <c:pt idx="825">
                  <c:v>713</c:v>
                </c:pt>
                <c:pt idx="826">
                  <c:v>714</c:v>
                </c:pt>
                <c:pt idx="827">
                  <c:v>715</c:v>
                </c:pt>
                <c:pt idx="828">
                  <c:v>716</c:v>
                </c:pt>
                <c:pt idx="829">
                  <c:v>717</c:v>
                </c:pt>
                <c:pt idx="830">
                  <c:v>718</c:v>
                </c:pt>
                <c:pt idx="831">
                  <c:v>719</c:v>
                </c:pt>
                <c:pt idx="832">
                  <c:v>720</c:v>
                </c:pt>
                <c:pt idx="833">
                  <c:v>721</c:v>
                </c:pt>
                <c:pt idx="834">
                  <c:v>722</c:v>
                </c:pt>
                <c:pt idx="835">
                  <c:v>723</c:v>
                </c:pt>
                <c:pt idx="836">
                  <c:v>724</c:v>
                </c:pt>
                <c:pt idx="837">
                  <c:v>725</c:v>
                </c:pt>
                <c:pt idx="838">
                  <c:v>726</c:v>
                </c:pt>
                <c:pt idx="839">
                  <c:v>727</c:v>
                </c:pt>
                <c:pt idx="840">
                  <c:v>728</c:v>
                </c:pt>
                <c:pt idx="841">
                  <c:v>729</c:v>
                </c:pt>
                <c:pt idx="842">
                  <c:v>730</c:v>
                </c:pt>
                <c:pt idx="843">
                  <c:v>731</c:v>
                </c:pt>
                <c:pt idx="844">
                  <c:v>732</c:v>
                </c:pt>
                <c:pt idx="845">
                  <c:v>733</c:v>
                </c:pt>
                <c:pt idx="846">
                  <c:v>734</c:v>
                </c:pt>
                <c:pt idx="847">
                  <c:v>735</c:v>
                </c:pt>
                <c:pt idx="848">
                  <c:v>736</c:v>
                </c:pt>
                <c:pt idx="849">
                  <c:v>737</c:v>
                </c:pt>
                <c:pt idx="850">
                  <c:v>738</c:v>
                </c:pt>
                <c:pt idx="851">
                  <c:v>739</c:v>
                </c:pt>
                <c:pt idx="852">
                  <c:v>740</c:v>
                </c:pt>
                <c:pt idx="853">
                  <c:v>741</c:v>
                </c:pt>
                <c:pt idx="854">
                  <c:v>742</c:v>
                </c:pt>
                <c:pt idx="855">
                  <c:v>743</c:v>
                </c:pt>
                <c:pt idx="856">
                  <c:v>744</c:v>
                </c:pt>
                <c:pt idx="857">
                  <c:v>745</c:v>
                </c:pt>
                <c:pt idx="858">
                  <c:v>746</c:v>
                </c:pt>
                <c:pt idx="859">
                  <c:v>747</c:v>
                </c:pt>
                <c:pt idx="860">
                  <c:v>748</c:v>
                </c:pt>
                <c:pt idx="861">
                  <c:v>749</c:v>
                </c:pt>
                <c:pt idx="862">
                  <c:v>750</c:v>
                </c:pt>
                <c:pt idx="863">
                  <c:v>751</c:v>
                </c:pt>
                <c:pt idx="864">
                  <c:v>752</c:v>
                </c:pt>
                <c:pt idx="865">
                  <c:v>753</c:v>
                </c:pt>
                <c:pt idx="866">
                  <c:v>754</c:v>
                </c:pt>
                <c:pt idx="867">
                  <c:v>755</c:v>
                </c:pt>
                <c:pt idx="868">
                  <c:v>756</c:v>
                </c:pt>
                <c:pt idx="869">
                  <c:v>757</c:v>
                </c:pt>
                <c:pt idx="870">
                  <c:v>758</c:v>
                </c:pt>
                <c:pt idx="871">
                  <c:v>759</c:v>
                </c:pt>
                <c:pt idx="872">
                  <c:v>760</c:v>
                </c:pt>
                <c:pt idx="873">
                  <c:v>761</c:v>
                </c:pt>
                <c:pt idx="874">
                  <c:v>762</c:v>
                </c:pt>
                <c:pt idx="875">
                  <c:v>763</c:v>
                </c:pt>
                <c:pt idx="876">
                  <c:v>764</c:v>
                </c:pt>
                <c:pt idx="877">
                  <c:v>765</c:v>
                </c:pt>
                <c:pt idx="878">
                  <c:v>766</c:v>
                </c:pt>
                <c:pt idx="879">
                  <c:v>767</c:v>
                </c:pt>
                <c:pt idx="880">
                  <c:v>768</c:v>
                </c:pt>
                <c:pt idx="881">
                  <c:v>769</c:v>
                </c:pt>
                <c:pt idx="882">
                  <c:v>770</c:v>
                </c:pt>
                <c:pt idx="883">
                  <c:v>771</c:v>
                </c:pt>
                <c:pt idx="884">
                  <c:v>772</c:v>
                </c:pt>
                <c:pt idx="885">
                  <c:v>773</c:v>
                </c:pt>
                <c:pt idx="886">
                  <c:v>774</c:v>
                </c:pt>
                <c:pt idx="887">
                  <c:v>775</c:v>
                </c:pt>
                <c:pt idx="888">
                  <c:v>776</c:v>
                </c:pt>
                <c:pt idx="889">
                  <c:v>777</c:v>
                </c:pt>
                <c:pt idx="890">
                  <c:v>778</c:v>
                </c:pt>
                <c:pt idx="891">
                  <c:v>779</c:v>
                </c:pt>
                <c:pt idx="892">
                  <c:v>780</c:v>
                </c:pt>
                <c:pt idx="893">
                  <c:v>781</c:v>
                </c:pt>
                <c:pt idx="894">
                  <c:v>782</c:v>
                </c:pt>
                <c:pt idx="895">
                  <c:v>783</c:v>
                </c:pt>
                <c:pt idx="896">
                  <c:v>784</c:v>
                </c:pt>
                <c:pt idx="897">
                  <c:v>785</c:v>
                </c:pt>
                <c:pt idx="898">
                  <c:v>786</c:v>
                </c:pt>
                <c:pt idx="899">
                  <c:v>787</c:v>
                </c:pt>
                <c:pt idx="900">
                  <c:v>788</c:v>
                </c:pt>
                <c:pt idx="901">
                  <c:v>789</c:v>
                </c:pt>
                <c:pt idx="902">
                  <c:v>790</c:v>
                </c:pt>
                <c:pt idx="903">
                  <c:v>791</c:v>
                </c:pt>
                <c:pt idx="904">
                  <c:v>792</c:v>
                </c:pt>
                <c:pt idx="905">
                  <c:v>793</c:v>
                </c:pt>
                <c:pt idx="906">
                  <c:v>794</c:v>
                </c:pt>
                <c:pt idx="907">
                  <c:v>795</c:v>
                </c:pt>
                <c:pt idx="908">
                  <c:v>796</c:v>
                </c:pt>
                <c:pt idx="909">
                  <c:v>797</c:v>
                </c:pt>
                <c:pt idx="910">
                  <c:v>798</c:v>
                </c:pt>
                <c:pt idx="911">
                  <c:v>799</c:v>
                </c:pt>
                <c:pt idx="912">
                  <c:v>800</c:v>
                </c:pt>
                <c:pt idx="913">
                  <c:v>801</c:v>
                </c:pt>
                <c:pt idx="914">
                  <c:v>802</c:v>
                </c:pt>
                <c:pt idx="915">
                  <c:v>803</c:v>
                </c:pt>
                <c:pt idx="916">
                  <c:v>804</c:v>
                </c:pt>
                <c:pt idx="917">
                  <c:v>805</c:v>
                </c:pt>
                <c:pt idx="918">
                  <c:v>806</c:v>
                </c:pt>
                <c:pt idx="919">
                  <c:v>807</c:v>
                </c:pt>
                <c:pt idx="920">
                  <c:v>808</c:v>
                </c:pt>
                <c:pt idx="921">
                  <c:v>809</c:v>
                </c:pt>
                <c:pt idx="922">
                  <c:v>810</c:v>
                </c:pt>
                <c:pt idx="923">
                  <c:v>811</c:v>
                </c:pt>
                <c:pt idx="924">
                  <c:v>812</c:v>
                </c:pt>
                <c:pt idx="925">
                  <c:v>813</c:v>
                </c:pt>
                <c:pt idx="926">
                  <c:v>814</c:v>
                </c:pt>
                <c:pt idx="927">
                  <c:v>815</c:v>
                </c:pt>
                <c:pt idx="928">
                  <c:v>816</c:v>
                </c:pt>
                <c:pt idx="929">
                  <c:v>817</c:v>
                </c:pt>
                <c:pt idx="930">
                  <c:v>818</c:v>
                </c:pt>
                <c:pt idx="931">
                  <c:v>819</c:v>
                </c:pt>
                <c:pt idx="932">
                  <c:v>820</c:v>
                </c:pt>
                <c:pt idx="933">
                  <c:v>821</c:v>
                </c:pt>
                <c:pt idx="934">
                  <c:v>822</c:v>
                </c:pt>
                <c:pt idx="935">
                  <c:v>823</c:v>
                </c:pt>
                <c:pt idx="936">
                  <c:v>824</c:v>
                </c:pt>
                <c:pt idx="937">
                  <c:v>825</c:v>
                </c:pt>
                <c:pt idx="938">
                  <c:v>826</c:v>
                </c:pt>
                <c:pt idx="939">
                  <c:v>827</c:v>
                </c:pt>
                <c:pt idx="940">
                  <c:v>828</c:v>
                </c:pt>
                <c:pt idx="941">
                  <c:v>829</c:v>
                </c:pt>
                <c:pt idx="942">
                  <c:v>830</c:v>
                </c:pt>
                <c:pt idx="943">
                  <c:v>831</c:v>
                </c:pt>
                <c:pt idx="944">
                  <c:v>832</c:v>
                </c:pt>
                <c:pt idx="945">
                  <c:v>833</c:v>
                </c:pt>
                <c:pt idx="946">
                  <c:v>834</c:v>
                </c:pt>
                <c:pt idx="947">
                  <c:v>835</c:v>
                </c:pt>
                <c:pt idx="948">
                  <c:v>836</c:v>
                </c:pt>
                <c:pt idx="949">
                  <c:v>837</c:v>
                </c:pt>
                <c:pt idx="950">
                  <c:v>838</c:v>
                </c:pt>
                <c:pt idx="951">
                  <c:v>839</c:v>
                </c:pt>
                <c:pt idx="952">
                  <c:v>840</c:v>
                </c:pt>
                <c:pt idx="953">
                  <c:v>841</c:v>
                </c:pt>
                <c:pt idx="954">
                  <c:v>842</c:v>
                </c:pt>
                <c:pt idx="955">
                  <c:v>843</c:v>
                </c:pt>
                <c:pt idx="956">
                  <c:v>844</c:v>
                </c:pt>
                <c:pt idx="957">
                  <c:v>845</c:v>
                </c:pt>
                <c:pt idx="958">
                  <c:v>846</c:v>
                </c:pt>
                <c:pt idx="959">
                  <c:v>847</c:v>
                </c:pt>
                <c:pt idx="960">
                  <c:v>848</c:v>
                </c:pt>
                <c:pt idx="961">
                  <c:v>849</c:v>
                </c:pt>
                <c:pt idx="962">
                  <c:v>850</c:v>
                </c:pt>
                <c:pt idx="963">
                  <c:v>851</c:v>
                </c:pt>
                <c:pt idx="964">
                  <c:v>852</c:v>
                </c:pt>
                <c:pt idx="965">
                  <c:v>853</c:v>
                </c:pt>
                <c:pt idx="966">
                  <c:v>854</c:v>
                </c:pt>
                <c:pt idx="967">
                  <c:v>855</c:v>
                </c:pt>
                <c:pt idx="968">
                  <c:v>856</c:v>
                </c:pt>
                <c:pt idx="969">
                  <c:v>857</c:v>
                </c:pt>
                <c:pt idx="970">
                  <c:v>858</c:v>
                </c:pt>
                <c:pt idx="971">
                  <c:v>859</c:v>
                </c:pt>
                <c:pt idx="972">
                  <c:v>860</c:v>
                </c:pt>
                <c:pt idx="973">
                  <c:v>861</c:v>
                </c:pt>
                <c:pt idx="974">
                  <c:v>862</c:v>
                </c:pt>
                <c:pt idx="975">
                  <c:v>863</c:v>
                </c:pt>
                <c:pt idx="976">
                  <c:v>864</c:v>
                </c:pt>
                <c:pt idx="977">
                  <c:v>865</c:v>
                </c:pt>
                <c:pt idx="978">
                  <c:v>866</c:v>
                </c:pt>
                <c:pt idx="979">
                  <c:v>867</c:v>
                </c:pt>
                <c:pt idx="980">
                  <c:v>868</c:v>
                </c:pt>
                <c:pt idx="981">
                  <c:v>869</c:v>
                </c:pt>
                <c:pt idx="982">
                  <c:v>870</c:v>
                </c:pt>
                <c:pt idx="983">
                  <c:v>871</c:v>
                </c:pt>
                <c:pt idx="984">
                  <c:v>872</c:v>
                </c:pt>
                <c:pt idx="985">
                  <c:v>873</c:v>
                </c:pt>
                <c:pt idx="986">
                  <c:v>874</c:v>
                </c:pt>
                <c:pt idx="987">
                  <c:v>875</c:v>
                </c:pt>
                <c:pt idx="988">
                  <c:v>876</c:v>
                </c:pt>
                <c:pt idx="989">
                  <c:v>877</c:v>
                </c:pt>
                <c:pt idx="990">
                  <c:v>878</c:v>
                </c:pt>
                <c:pt idx="991">
                  <c:v>879</c:v>
                </c:pt>
                <c:pt idx="992">
                  <c:v>880</c:v>
                </c:pt>
                <c:pt idx="993">
                  <c:v>881</c:v>
                </c:pt>
                <c:pt idx="994">
                  <c:v>882</c:v>
                </c:pt>
                <c:pt idx="995">
                  <c:v>883</c:v>
                </c:pt>
                <c:pt idx="996">
                  <c:v>884</c:v>
                </c:pt>
                <c:pt idx="997">
                  <c:v>885</c:v>
                </c:pt>
                <c:pt idx="998">
                  <c:v>886</c:v>
                </c:pt>
                <c:pt idx="999">
                  <c:v>887</c:v>
                </c:pt>
                <c:pt idx="1000">
                  <c:v>888</c:v>
                </c:pt>
                <c:pt idx="1001">
                  <c:v>889</c:v>
                </c:pt>
                <c:pt idx="1002">
                  <c:v>890</c:v>
                </c:pt>
                <c:pt idx="1003">
                  <c:v>891</c:v>
                </c:pt>
                <c:pt idx="1004">
                  <c:v>892</c:v>
                </c:pt>
                <c:pt idx="1005">
                  <c:v>893</c:v>
                </c:pt>
                <c:pt idx="1006">
                  <c:v>894</c:v>
                </c:pt>
                <c:pt idx="1007">
                  <c:v>895</c:v>
                </c:pt>
                <c:pt idx="1008">
                  <c:v>896</c:v>
                </c:pt>
                <c:pt idx="1009">
                  <c:v>897</c:v>
                </c:pt>
                <c:pt idx="1010">
                  <c:v>898</c:v>
                </c:pt>
                <c:pt idx="1011">
                  <c:v>899</c:v>
                </c:pt>
                <c:pt idx="1012">
                  <c:v>900</c:v>
                </c:pt>
                <c:pt idx="1013">
                  <c:v>901</c:v>
                </c:pt>
                <c:pt idx="1014">
                  <c:v>902</c:v>
                </c:pt>
                <c:pt idx="1015">
                  <c:v>903</c:v>
                </c:pt>
                <c:pt idx="1016">
                  <c:v>904</c:v>
                </c:pt>
                <c:pt idx="1017">
                  <c:v>905</c:v>
                </c:pt>
                <c:pt idx="1018">
                  <c:v>906</c:v>
                </c:pt>
                <c:pt idx="1019">
                  <c:v>907</c:v>
                </c:pt>
                <c:pt idx="1020">
                  <c:v>908</c:v>
                </c:pt>
                <c:pt idx="1021">
                  <c:v>909</c:v>
                </c:pt>
                <c:pt idx="1022">
                  <c:v>910</c:v>
                </c:pt>
                <c:pt idx="1023">
                  <c:v>911</c:v>
                </c:pt>
                <c:pt idx="1024">
                  <c:v>912</c:v>
                </c:pt>
                <c:pt idx="1025">
                  <c:v>913</c:v>
                </c:pt>
                <c:pt idx="1026">
                  <c:v>914</c:v>
                </c:pt>
                <c:pt idx="1027">
                  <c:v>915</c:v>
                </c:pt>
                <c:pt idx="1028">
                  <c:v>916</c:v>
                </c:pt>
                <c:pt idx="1029">
                  <c:v>917</c:v>
                </c:pt>
                <c:pt idx="1030">
                  <c:v>918</c:v>
                </c:pt>
                <c:pt idx="1031">
                  <c:v>919</c:v>
                </c:pt>
                <c:pt idx="1032">
                  <c:v>920</c:v>
                </c:pt>
                <c:pt idx="1033">
                  <c:v>921</c:v>
                </c:pt>
                <c:pt idx="1034">
                  <c:v>922</c:v>
                </c:pt>
                <c:pt idx="1035">
                  <c:v>923</c:v>
                </c:pt>
                <c:pt idx="1036">
                  <c:v>924</c:v>
                </c:pt>
                <c:pt idx="1037">
                  <c:v>925</c:v>
                </c:pt>
                <c:pt idx="1038">
                  <c:v>926</c:v>
                </c:pt>
                <c:pt idx="1039">
                  <c:v>927</c:v>
                </c:pt>
                <c:pt idx="1040">
                  <c:v>928</c:v>
                </c:pt>
                <c:pt idx="1041">
                  <c:v>929</c:v>
                </c:pt>
                <c:pt idx="1042">
                  <c:v>930</c:v>
                </c:pt>
                <c:pt idx="1043">
                  <c:v>931</c:v>
                </c:pt>
                <c:pt idx="1044">
                  <c:v>932</c:v>
                </c:pt>
                <c:pt idx="1045">
                  <c:v>933</c:v>
                </c:pt>
                <c:pt idx="1046">
                  <c:v>934</c:v>
                </c:pt>
                <c:pt idx="1047">
                  <c:v>935</c:v>
                </c:pt>
                <c:pt idx="1048">
                  <c:v>936</c:v>
                </c:pt>
                <c:pt idx="1049">
                  <c:v>937</c:v>
                </c:pt>
                <c:pt idx="1050">
                  <c:v>938</c:v>
                </c:pt>
                <c:pt idx="1051">
                  <c:v>939</c:v>
                </c:pt>
                <c:pt idx="1052">
                  <c:v>940</c:v>
                </c:pt>
                <c:pt idx="1053">
                  <c:v>941</c:v>
                </c:pt>
                <c:pt idx="1054">
                  <c:v>942</c:v>
                </c:pt>
                <c:pt idx="1055">
                  <c:v>943</c:v>
                </c:pt>
                <c:pt idx="1056">
                  <c:v>944</c:v>
                </c:pt>
                <c:pt idx="1057">
                  <c:v>945</c:v>
                </c:pt>
                <c:pt idx="1058">
                  <c:v>946</c:v>
                </c:pt>
                <c:pt idx="1059">
                  <c:v>947</c:v>
                </c:pt>
                <c:pt idx="1060">
                  <c:v>948</c:v>
                </c:pt>
                <c:pt idx="1061">
                  <c:v>949</c:v>
                </c:pt>
                <c:pt idx="1062">
                  <c:v>950</c:v>
                </c:pt>
                <c:pt idx="1063">
                  <c:v>951</c:v>
                </c:pt>
                <c:pt idx="1064">
                  <c:v>952</c:v>
                </c:pt>
                <c:pt idx="1065">
                  <c:v>953</c:v>
                </c:pt>
                <c:pt idx="1066">
                  <c:v>954</c:v>
                </c:pt>
                <c:pt idx="1067">
                  <c:v>955</c:v>
                </c:pt>
                <c:pt idx="1068">
                  <c:v>956</c:v>
                </c:pt>
                <c:pt idx="1069">
                  <c:v>957</c:v>
                </c:pt>
                <c:pt idx="1070">
                  <c:v>958</c:v>
                </c:pt>
                <c:pt idx="1071">
                  <c:v>959</c:v>
                </c:pt>
                <c:pt idx="1072">
                  <c:v>960</c:v>
                </c:pt>
                <c:pt idx="1073">
                  <c:v>961</c:v>
                </c:pt>
                <c:pt idx="1074">
                  <c:v>962</c:v>
                </c:pt>
                <c:pt idx="1075">
                  <c:v>963</c:v>
                </c:pt>
                <c:pt idx="1076">
                  <c:v>964</c:v>
                </c:pt>
                <c:pt idx="1077">
                  <c:v>965</c:v>
                </c:pt>
                <c:pt idx="1078">
                  <c:v>966</c:v>
                </c:pt>
                <c:pt idx="1079">
                  <c:v>967</c:v>
                </c:pt>
                <c:pt idx="1080">
                  <c:v>968</c:v>
                </c:pt>
                <c:pt idx="1081">
                  <c:v>969</c:v>
                </c:pt>
                <c:pt idx="1082">
                  <c:v>970</c:v>
                </c:pt>
                <c:pt idx="1083">
                  <c:v>971</c:v>
                </c:pt>
                <c:pt idx="1084">
                  <c:v>972</c:v>
                </c:pt>
                <c:pt idx="1085">
                  <c:v>973</c:v>
                </c:pt>
                <c:pt idx="1086">
                  <c:v>974</c:v>
                </c:pt>
                <c:pt idx="1087">
                  <c:v>975</c:v>
                </c:pt>
                <c:pt idx="1088">
                  <c:v>976</c:v>
                </c:pt>
                <c:pt idx="1089">
                  <c:v>977</c:v>
                </c:pt>
                <c:pt idx="1090">
                  <c:v>978</c:v>
                </c:pt>
                <c:pt idx="1091">
                  <c:v>979</c:v>
                </c:pt>
                <c:pt idx="1092">
                  <c:v>980</c:v>
                </c:pt>
                <c:pt idx="1093">
                  <c:v>981</c:v>
                </c:pt>
                <c:pt idx="1094">
                  <c:v>982</c:v>
                </c:pt>
                <c:pt idx="1095">
                  <c:v>983</c:v>
                </c:pt>
                <c:pt idx="1096">
                  <c:v>984</c:v>
                </c:pt>
                <c:pt idx="1097">
                  <c:v>985</c:v>
                </c:pt>
                <c:pt idx="1098">
                  <c:v>986</c:v>
                </c:pt>
                <c:pt idx="1099">
                  <c:v>987</c:v>
                </c:pt>
                <c:pt idx="1100">
                  <c:v>988</c:v>
                </c:pt>
                <c:pt idx="1101">
                  <c:v>989</c:v>
                </c:pt>
                <c:pt idx="1102">
                  <c:v>990</c:v>
                </c:pt>
                <c:pt idx="1103">
                  <c:v>991</c:v>
                </c:pt>
                <c:pt idx="1104">
                  <c:v>992</c:v>
                </c:pt>
                <c:pt idx="1105">
                  <c:v>993</c:v>
                </c:pt>
                <c:pt idx="1106">
                  <c:v>994</c:v>
                </c:pt>
                <c:pt idx="1107">
                  <c:v>995</c:v>
                </c:pt>
                <c:pt idx="1108">
                  <c:v>996</c:v>
                </c:pt>
                <c:pt idx="1109">
                  <c:v>997</c:v>
                </c:pt>
                <c:pt idx="1110">
                  <c:v>998</c:v>
                </c:pt>
                <c:pt idx="1111">
                  <c:v>999</c:v>
                </c:pt>
                <c:pt idx="1112">
                  <c:v>1000</c:v>
                </c:pt>
                <c:pt idx="1113">
                  <c:v>1001</c:v>
                </c:pt>
                <c:pt idx="1114">
                  <c:v>1002</c:v>
                </c:pt>
                <c:pt idx="1115">
                  <c:v>1003</c:v>
                </c:pt>
                <c:pt idx="1116">
                  <c:v>1004</c:v>
                </c:pt>
                <c:pt idx="1117">
                  <c:v>1005</c:v>
                </c:pt>
                <c:pt idx="1118">
                  <c:v>1006</c:v>
                </c:pt>
                <c:pt idx="1119">
                  <c:v>1007</c:v>
                </c:pt>
                <c:pt idx="1120">
                  <c:v>1008</c:v>
                </c:pt>
                <c:pt idx="1121">
                  <c:v>1009</c:v>
                </c:pt>
                <c:pt idx="1122">
                  <c:v>1010</c:v>
                </c:pt>
                <c:pt idx="1123">
                  <c:v>1011</c:v>
                </c:pt>
                <c:pt idx="1124">
                  <c:v>1012</c:v>
                </c:pt>
                <c:pt idx="1125">
                  <c:v>1013</c:v>
                </c:pt>
                <c:pt idx="1126">
                  <c:v>1014</c:v>
                </c:pt>
                <c:pt idx="1127">
                  <c:v>1015</c:v>
                </c:pt>
                <c:pt idx="1128">
                  <c:v>1016</c:v>
                </c:pt>
                <c:pt idx="1129">
                  <c:v>1017</c:v>
                </c:pt>
                <c:pt idx="1130">
                  <c:v>1018</c:v>
                </c:pt>
                <c:pt idx="1131">
                  <c:v>1019</c:v>
                </c:pt>
                <c:pt idx="1132">
                  <c:v>1020</c:v>
                </c:pt>
                <c:pt idx="1133">
                  <c:v>1021</c:v>
                </c:pt>
                <c:pt idx="1134">
                  <c:v>1022</c:v>
                </c:pt>
                <c:pt idx="1135">
                  <c:v>1023</c:v>
                </c:pt>
                <c:pt idx="1136">
                  <c:v>1024</c:v>
                </c:pt>
                <c:pt idx="1137">
                  <c:v>1025</c:v>
                </c:pt>
                <c:pt idx="1138">
                  <c:v>1026</c:v>
                </c:pt>
                <c:pt idx="1139">
                  <c:v>1027</c:v>
                </c:pt>
                <c:pt idx="1140">
                  <c:v>1028</c:v>
                </c:pt>
                <c:pt idx="1141">
                  <c:v>1029</c:v>
                </c:pt>
                <c:pt idx="1142">
                  <c:v>1030</c:v>
                </c:pt>
                <c:pt idx="1143">
                  <c:v>1031</c:v>
                </c:pt>
                <c:pt idx="1144">
                  <c:v>1032</c:v>
                </c:pt>
                <c:pt idx="1145">
                  <c:v>1033</c:v>
                </c:pt>
                <c:pt idx="1146">
                  <c:v>1034</c:v>
                </c:pt>
                <c:pt idx="1147">
                  <c:v>1035</c:v>
                </c:pt>
                <c:pt idx="1148">
                  <c:v>1036</c:v>
                </c:pt>
                <c:pt idx="1149">
                  <c:v>1037</c:v>
                </c:pt>
                <c:pt idx="1150">
                  <c:v>1038</c:v>
                </c:pt>
                <c:pt idx="1151">
                  <c:v>1039</c:v>
                </c:pt>
                <c:pt idx="1152">
                  <c:v>1040</c:v>
                </c:pt>
                <c:pt idx="1153">
                  <c:v>1041</c:v>
                </c:pt>
                <c:pt idx="1154">
                  <c:v>1042</c:v>
                </c:pt>
                <c:pt idx="1155">
                  <c:v>1043</c:v>
                </c:pt>
                <c:pt idx="1156">
                  <c:v>1044</c:v>
                </c:pt>
                <c:pt idx="1157">
                  <c:v>1045</c:v>
                </c:pt>
                <c:pt idx="1158">
                  <c:v>1046</c:v>
                </c:pt>
                <c:pt idx="1159">
                  <c:v>1047</c:v>
                </c:pt>
                <c:pt idx="1160">
                  <c:v>1048</c:v>
                </c:pt>
                <c:pt idx="1161">
                  <c:v>1049</c:v>
                </c:pt>
                <c:pt idx="1162">
                  <c:v>1050</c:v>
                </c:pt>
                <c:pt idx="1163">
                  <c:v>1051</c:v>
                </c:pt>
                <c:pt idx="1164">
                  <c:v>1052</c:v>
                </c:pt>
                <c:pt idx="1165">
                  <c:v>1053</c:v>
                </c:pt>
                <c:pt idx="1166">
                  <c:v>1054</c:v>
                </c:pt>
                <c:pt idx="1167">
                  <c:v>1055</c:v>
                </c:pt>
                <c:pt idx="1168">
                  <c:v>1056</c:v>
                </c:pt>
                <c:pt idx="1169">
                  <c:v>1057</c:v>
                </c:pt>
                <c:pt idx="1170">
                  <c:v>1058</c:v>
                </c:pt>
                <c:pt idx="1171">
                  <c:v>1059</c:v>
                </c:pt>
                <c:pt idx="1172">
                  <c:v>1060</c:v>
                </c:pt>
                <c:pt idx="1173">
                  <c:v>1061</c:v>
                </c:pt>
                <c:pt idx="1174">
                  <c:v>1062</c:v>
                </c:pt>
                <c:pt idx="1175">
                  <c:v>1063</c:v>
                </c:pt>
                <c:pt idx="1176">
                  <c:v>1064</c:v>
                </c:pt>
                <c:pt idx="1177">
                  <c:v>1065</c:v>
                </c:pt>
                <c:pt idx="1178">
                  <c:v>1066</c:v>
                </c:pt>
                <c:pt idx="1179">
                  <c:v>1067</c:v>
                </c:pt>
                <c:pt idx="1180">
                  <c:v>1068</c:v>
                </c:pt>
                <c:pt idx="1181">
                  <c:v>1069</c:v>
                </c:pt>
                <c:pt idx="1182">
                  <c:v>1070</c:v>
                </c:pt>
                <c:pt idx="1183">
                  <c:v>1071</c:v>
                </c:pt>
                <c:pt idx="1184">
                  <c:v>1072</c:v>
                </c:pt>
                <c:pt idx="1185">
                  <c:v>1073</c:v>
                </c:pt>
                <c:pt idx="1186">
                  <c:v>1074</c:v>
                </c:pt>
                <c:pt idx="1187">
                  <c:v>1075</c:v>
                </c:pt>
                <c:pt idx="1188">
                  <c:v>1076</c:v>
                </c:pt>
                <c:pt idx="1189">
                  <c:v>1077</c:v>
                </c:pt>
                <c:pt idx="1190">
                  <c:v>1078</c:v>
                </c:pt>
                <c:pt idx="1191">
                  <c:v>1079</c:v>
                </c:pt>
                <c:pt idx="1192">
                  <c:v>1080</c:v>
                </c:pt>
                <c:pt idx="1193">
                  <c:v>1081</c:v>
                </c:pt>
                <c:pt idx="1194">
                  <c:v>1082</c:v>
                </c:pt>
                <c:pt idx="1195">
                  <c:v>1083</c:v>
                </c:pt>
                <c:pt idx="1196">
                  <c:v>1084</c:v>
                </c:pt>
                <c:pt idx="1197">
                  <c:v>1085</c:v>
                </c:pt>
                <c:pt idx="1198">
                  <c:v>1086</c:v>
                </c:pt>
                <c:pt idx="1199">
                  <c:v>1087</c:v>
                </c:pt>
                <c:pt idx="1200">
                  <c:v>1088</c:v>
                </c:pt>
                <c:pt idx="1201">
                  <c:v>1089</c:v>
                </c:pt>
                <c:pt idx="1202">
                  <c:v>1090</c:v>
                </c:pt>
                <c:pt idx="1203">
                  <c:v>1091</c:v>
                </c:pt>
                <c:pt idx="1204">
                  <c:v>1092</c:v>
                </c:pt>
                <c:pt idx="1205">
                  <c:v>1093</c:v>
                </c:pt>
                <c:pt idx="1206">
                  <c:v>1094</c:v>
                </c:pt>
                <c:pt idx="1207">
                  <c:v>1095</c:v>
                </c:pt>
                <c:pt idx="1208">
                  <c:v>1096</c:v>
                </c:pt>
                <c:pt idx="1209">
                  <c:v>1097</c:v>
                </c:pt>
                <c:pt idx="1210">
                  <c:v>1098</c:v>
                </c:pt>
                <c:pt idx="1211">
                  <c:v>1099</c:v>
                </c:pt>
                <c:pt idx="1212">
                  <c:v>1100</c:v>
                </c:pt>
                <c:pt idx="1213">
                  <c:v>1101</c:v>
                </c:pt>
                <c:pt idx="1214">
                  <c:v>1102</c:v>
                </c:pt>
                <c:pt idx="1215">
                  <c:v>1103</c:v>
                </c:pt>
                <c:pt idx="1216">
                  <c:v>1104</c:v>
                </c:pt>
                <c:pt idx="1217">
                  <c:v>1105</c:v>
                </c:pt>
                <c:pt idx="1218">
                  <c:v>1106</c:v>
                </c:pt>
                <c:pt idx="1219">
                  <c:v>1107</c:v>
                </c:pt>
                <c:pt idx="1220">
                  <c:v>1108</c:v>
                </c:pt>
                <c:pt idx="1221">
                  <c:v>1109</c:v>
                </c:pt>
                <c:pt idx="1222">
                  <c:v>1110</c:v>
                </c:pt>
                <c:pt idx="1223">
                  <c:v>1111</c:v>
                </c:pt>
                <c:pt idx="1224">
                  <c:v>1112</c:v>
                </c:pt>
                <c:pt idx="1225">
                  <c:v>1113</c:v>
                </c:pt>
                <c:pt idx="1226">
                  <c:v>1114</c:v>
                </c:pt>
                <c:pt idx="1227">
                  <c:v>1115</c:v>
                </c:pt>
                <c:pt idx="1228">
                  <c:v>1116</c:v>
                </c:pt>
                <c:pt idx="1229">
                  <c:v>1117</c:v>
                </c:pt>
                <c:pt idx="1230">
                  <c:v>1118</c:v>
                </c:pt>
                <c:pt idx="1231">
                  <c:v>1119</c:v>
                </c:pt>
                <c:pt idx="1232">
                  <c:v>1120</c:v>
                </c:pt>
                <c:pt idx="1233">
                  <c:v>1121</c:v>
                </c:pt>
                <c:pt idx="1234">
                  <c:v>1122</c:v>
                </c:pt>
                <c:pt idx="1235">
                  <c:v>1123</c:v>
                </c:pt>
                <c:pt idx="1236">
                  <c:v>1124</c:v>
                </c:pt>
                <c:pt idx="1237">
                  <c:v>1125</c:v>
                </c:pt>
                <c:pt idx="1238">
                  <c:v>1126</c:v>
                </c:pt>
                <c:pt idx="1239">
                  <c:v>1127</c:v>
                </c:pt>
                <c:pt idx="1240">
                  <c:v>1128</c:v>
                </c:pt>
                <c:pt idx="1241">
                  <c:v>1129</c:v>
                </c:pt>
                <c:pt idx="1242">
                  <c:v>1130</c:v>
                </c:pt>
                <c:pt idx="1243">
                  <c:v>1131</c:v>
                </c:pt>
                <c:pt idx="1244">
                  <c:v>1132</c:v>
                </c:pt>
                <c:pt idx="1245">
                  <c:v>1133</c:v>
                </c:pt>
                <c:pt idx="1246">
                  <c:v>1134</c:v>
                </c:pt>
                <c:pt idx="1247">
                  <c:v>1135</c:v>
                </c:pt>
                <c:pt idx="1248">
                  <c:v>1136</c:v>
                </c:pt>
                <c:pt idx="1249">
                  <c:v>1137</c:v>
                </c:pt>
                <c:pt idx="1250">
                  <c:v>1138</c:v>
                </c:pt>
                <c:pt idx="1251">
                  <c:v>1139</c:v>
                </c:pt>
                <c:pt idx="1252">
                  <c:v>1140</c:v>
                </c:pt>
                <c:pt idx="1253">
                  <c:v>1141</c:v>
                </c:pt>
                <c:pt idx="1254">
                  <c:v>1142</c:v>
                </c:pt>
                <c:pt idx="1255">
                  <c:v>1143</c:v>
                </c:pt>
                <c:pt idx="1256">
                  <c:v>1144</c:v>
                </c:pt>
                <c:pt idx="1257">
                  <c:v>1145</c:v>
                </c:pt>
                <c:pt idx="1258">
                  <c:v>1146</c:v>
                </c:pt>
                <c:pt idx="1259">
                  <c:v>1147</c:v>
                </c:pt>
                <c:pt idx="1260">
                  <c:v>1148</c:v>
                </c:pt>
                <c:pt idx="1261">
                  <c:v>1149</c:v>
                </c:pt>
                <c:pt idx="1262">
                  <c:v>1150</c:v>
                </c:pt>
                <c:pt idx="1263">
                  <c:v>1151</c:v>
                </c:pt>
                <c:pt idx="1264">
                  <c:v>1152</c:v>
                </c:pt>
                <c:pt idx="1265">
                  <c:v>1153</c:v>
                </c:pt>
                <c:pt idx="1266">
                  <c:v>1154</c:v>
                </c:pt>
                <c:pt idx="1267">
                  <c:v>1155</c:v>
                </c:pt>
                <c:pt idx="1268">
                  <c:v>1156</c:v>
                </c:pt>
                <c:pt idx="1269">
                  <c:v>1157</c:v>
                </c:pt>
                <c:pt idx="1270">
                  <c:v>1158</c:v>
                </c:pt>
                <c:pt idx="1271">
                  <c:v>1159</c:v>
                </c:pt>
                <c:pt idx="1272">
                  <c:v>1160</c:v>
                </c:pt>
                <c:pt idx="1273">
                  <c:v>1161</c:v>
                </c:pt>
                <c:pt idx="1274">
                  <c:v>1162</c:v>
                </c:pt>
                <c:pt idx="1275">
                  <c:v>1163</c:v>
                </c:pt>
                <c:pt idx="1276">
                  <c:v>1164</c:v>
                </c:pt>
                <c:pt idx="1277">
                  <c:v>1165</c:v>
                </c:pt>
                <c:pt idx="1278">
                  <c:v>1166</c:v>
                </c:pt>
                <c:pt idx="1279">
                  <c:v>1167</c:v>
                </c:pt>
                <c:pt idx="1280">
                  <c:v>1168</c:v>
                </c:pt>
                <c:pt idx="1281">
                  <c:v>1169</c:v>
                </c:pt>
                <c:pt idx="1282">
                  <c:v>1170</c:v>
                </c:pt>
                <c:pt idx="1283">
                  <c:v>1171</c:v>
                </c:pt>
                <c:pt idx="1284">
                  <c:v>1172</c:v>
                </c:pt>
                <c:pt idx="1285">
                  <c:v>1173</c:v>
                </c:pt>
                <c:pt idx="1286">
                  <c:v>1174</c:v>
                </c:pt>
                <c:pt idx="1287">
                  <c:v>1175</c:v>
                </c:pt>
                <c:pt idx="1288">
                  <c:v>1176</c:v>
                </c:pt>
                <c:pt idx="1289">
                  <c:v>1177</c:v>
                </c:pt>
                <c:pt idx="1290">
                  <c:v>1178</c:v>
                </c:pt>
                <c:pt idx="1291">
                  <c:v>1179</c:v>
                </c:pt>
                <c:pt idx="1292">
                  <c:v>1180</c:v>
                </c:pt>
                <c:pt idx="1293">
                  <c:v>1181</c:v>
                </c:pt>
                <c:pt idx="1294">
                  <c:v>1182</c:v>
                </c:pt>
                <c:pt idx="1295">
                  <c:v>1183</c:v>
                </c:pt>
                <c:pt idx="1296">
                  <c:v>1184</c:v>
                </c:pt>
                <c:pt idx="1297">
                  <c:v>1185</c:v>
                </c:pt>
                <c:pt idx="1298">
                  <c:v>1186</c:v>
                </c:pt>
                <c:pt idx="1299">
                  <c:v>1187</c:v>
                </c:pt>
                <c:pt idx="1300">
                  <c:v>1188</c:v>
                </c:pt>
                <c:pt idx="1301">
                  <c:v>1189</c:v>
                </c:pt>
                <c:pt idx="1302">
                  <c:v>1190</c:v>
                </c:pt>
                <c:pt idx="1303">
                  <c:v>1191</c:v>
                </c:pt>
                <c:pt idx="1304">
                  <c:v>1192</c:v>
                </c:pt>
                <c:pt idx="1305">
                  <c:v>1193</c:v>
                </c:pt>
                <c:pt idx="1306">
                  <c:v>1194</c:v>
                </c:pt>
                <c:pt idx="1307">
                  <c:v>1195</c:v>
                </c:pt>
                <c:pt idx="1308">
                  <c:v>1196</c:v>
                </c:pt>
                <c:pt idx="1309">
                  <c:v>1197</c:v>
                </c:pt>
                <c:pt idx="1310">
                  <c:v>1198</c:v>
                </c:pt>
                <c:pt idx="1311">
                  <c:v>1199</c:v>
                </c:pt>
                <c:pt idx="1312">
                  <c:v>1200</c:v>
                </c:pt>
                <c:pt idx="1313">
                  <c:v>1201</c:v>
                </c:pt>
                <c:pt idx="1314">
                  <c:v>1202</c:v>
                </c:pt>
                <c:pt idx="1315">
                  <c:v>1203</c:v>
                </c:pt>
                <c:pt idx="1316">
                  <c:v>1204</c:v>
                </c:pt>
                <c:pt idx="1317">
                  <c:v>1205</c:v>
                </c:pt>
                <c:pt idx="1318">
                  <c:v>1206</c:v>
                </c:pt>
                <c:pt idx="1319">
                  <c:v>1207</c:v>
                </c:pt>
                <c:pt idx="1320">
                  <c:v>1208</c:v>
                </c:pt>
                <c:pt idx="1321">
                  <c:v>1209</c:v>
                </c:pt>
                <c:pt idx="1322">
                  <c:v>1210</c:v>
                </c:pt>
                <c:pt idx="1323">
                  <c:v>1211</c:v>
                </c:pt>
                <c:pt idx="1324">
                  <c:v>1212</c:v>
                </c:pt>
                <c:pt idx="1325">
                  <c:v>1213</c:v>
                </c:pt>
                <c:pt idx="1326">
                  <c:v>1214</c:v>
                </c:pt>
                <c:pt idx="1327">
                  <c:v>1215</c:v>
                </c:pt>
                <c:pt idx="1328">
                  <c:v>1216</c:v>
                </c:pt>
                <c:pt idx="1329">
                  <c:v>1217</c:v>
                </c:pt>
                <c:pt idx="1330">
                  <c:v>1218</c:v>
                </c:pt>
                <c:pt idx="1331">
                  <c:v>1219</c:v>
                </c:pt>
                <c:pt idx="1332">
                  <c:v>1220</c:v>
                </c:pt>
                <c:pt idx="1333">
                  <c:v>1221</c:v>
                </c:pt>
                <c:pt idx="1334">
                  <c:v>1222</c:v>
                </c:pt>
                <c:pt idx="1335">
                  <c:v>1223</c:v>
                </c:pt>
                <c:pt idx="1336">
                  <c:v>1224</c:v>
                </c:pt>
                <c:pt idx="1337">
                  <c:v>1225</c:v>
                </c:pt>
                <c:pt idx="1338">
                  <c:v>1226</c:v>
                </c:pt>
                <c:pt idx="1339">
                  <c:v>1227</c:v>
                </c:pt>
                <c:pt idx="1340">
                  <c:v>1228</c:v>
                </c:pt>
                <c:pt idx="1341">
                  <c:v>1229</c:v>
                </c:pt>
                <c:pt idx="1342">
                  <c:v>1230</c:v>
                </c:pt>
                <c:pt idx="1343">
                  <c:v>1231</c:v>
                </c:pt>
                <c:pt idx="1344">
                  <c:v>1232</c:v>
                </c:pt>
                <c:pt idx="1345">
                  <c:v>1233</c:v>
                </c:pt>
                <c:pt idx="1346">
                  <c:v>1234</c:v>
                </c:pt>
                <c:pt idx="1347">
                  <c:v>1235</c:v>
                </c:pt>
                <c:pt idx="1348">
                  <c:v>1236</c:v>
                </c:pt>
                <c:pt idx="1349">
                  <c:v>1237</c:v>
                </c:pt>
                <c:pt idx="1350">
                  <c:v>1238</c:v>
                </c:pt>
                <c:pt idx="1351">
                  <c:v>1239</c:v>
                </c:pt>
                <c:pt idx="1352">
                  <c:v>1240</c:v>
                </c:pt>
                <c:pt idx="1353">
                  <c:v>1241</c:v>
                </c:pt>
                <c:pt idx="1354">
                  <c:v>1242</c:v>
                </c:pt>
                <c:pt idx="1355">
                  <c:v>1243</c:v>
                </c:pt>
                <c:pt idx="1356">
                  <c:v>1244</c:v>
                </c:pt>
                <c:pt idx="1357">
                  <c:v>1245</c:v>
                </c:pt>
                <c:pt idx="1358">
                  <c:v>1246</c:v>
                </c:pt>
                <c:pt idx="1359">
                  <c:v>1247</c:v>
                </c:pt>
                <c:pt idx="1360">
                  <c:v>1248</c:v>
                </c:pt>
                <c:pt idx="1361">
                  <c:v>1249</c:v>
                </c:pt>
                <c:pt idx="1362">
                  <c:v>1250</c:v>
                </c:pt>
                <c:pt idx="1363">
                  <c:v>1251</c:v>
                </c:pt>
                <c:pt idx="1364">
                  <c:v>1252</c:v>
                </c:pt>
                <c:pt idx="1365">
                  <c:v>1253</c:v>
                </c:pt>
                <c:pt idx="1366">
                  <c:v>1254</c:v>
                </c:pt>
                <c:pt idx="1367">
                  <c:v>1255</c:v>
                </c:pt>
                <c:pt idx="1368">
                  <c:v>1256</c:v>
                </c:pt>
                <c:pt idx="1369">
                  <c:v>1257</c:v>
                </c:pt>
                <c:pt idx="1370">
                  <c:v>1258</c:v>
                </c:pt>
                <c:pt idx="1371">
                  <c:v>1259</c:v>
                </c:pt>
                <c:pt idx="1372">
                  <c:v>1260</c:v>
                </c:pt>
                <c:pt idx="1373">
                  <c:v>1261</c:v>
                </c:pt>
                <c:pt idx="1374">
                  <c:v>1262</c:v>
                </c:pt>
                <c:pt idx="1375">
                  <c:v>1263</c:v>
                </c:pt>
                <c:pt idx="1376">
                  <c:v>1264</c:v>
                </c:pt>
                <c:pt idx="1377">
                  <c:v>1265</c:v>
                </c:pt>
                <c:pt idx="1378">
                  <c:v>1266</c:v>
                </c:pt>
                <c:pt idx="1379">
                  <c:v>1267</c:v>
                </c:pt>
                <c:pt idx="1380">
                  <c:v>1268</c:v>
                </c:pt>
                <c:pt idx="1381">
                  <c:v>1269</c:v>
                </c:pt>
                <c:pt idx="1382">
                  <c:v>1270</c:v>
                </c:pt>
                <c:pt idx="1383">
                  <c:v>1271</c:v>
                </c:pt>
                <c:pt idx="1384">
                  <c:v>1272</c:v>
                </c:pt>
                <c:pt idx="1385">
                  <c:v>1273</c:v>
                </c:pt>
                <c:pt idx="1386">
                  <c:v>1274</c:v>
                </c:pt>
                <c:pt idx="1387">
                  <c:v>1275</c:v>
                </c:pt>
                <c:pt idx="1388">
                  <c:v>1276</c:v>
                </c:pt>
                <c:pt idx="1389">
                  <c:v>1277</c:v>
                </c:pt>
                <c:pt idx="1390">
                  <c:v>1278</c:v>
                </c:pt>
                <c:pt idx="1391">
                  <c:v>1279</c:v>
                </c:pt>
                <c:pt idx="1392">
                  <c:v>1280</c:v>
                </c:pt>
                <c:pt idx="1393">
                  <c:v>1281</c:v>
                </c:pt>
                <c:pt idx="1394">
                  <c:v>1282</c:v>
                </c:pt>
                <c:pt idx="1395">
                  <c:v>1283</c:v>
                </c:pt>
                <c:pt idx="1396">
                  <c:v>1284</c:v>
                </c:pt>
                <c:pt idx="1397">
                  <c:v>1285</c:v>
                </c:pt>
                <c:pt idx="1398">
                  <c:v>1286</c:v>
                </c:pt>
                <c:pt idx="1399">
                  <c:v>1287</c:v>
                </c:pt>
                <c:pt idx="1400">
                  <c:v>1288</c:v>
                </c:pt>
                <c:pt idx="1401">
                  <c:v>1289</c:v>
                </c:pt>
                <c:pt idx="1402">
                  <c:v>1290</c:v>
                </c:pt>
                <c:pt idx="1403">
                  <c:v>1291</c:v>
                </c:pt>
                <c:pt idx="1404">
                  <c:v>1292</c:v>
                </c:pt>
                <c:pt idx="1405">
                  <c:v>1293</c:v>
                </c:pt>
                <c:pt idx="1406">
                  <c:v>1294</c:v>
                </c:pt>
                <c:pt idx="1407">
                  <c:v>1295</c:v>
                </c:pt>
                <c:pt idx="1408">
                  <c:v>1296</c:v>
                </c:pt>
                <c:pt idx="1409">
                  <c:v>1297</c:v>
                </c:pt>
                <c:pt idx="1410">
                  <c:v>1298</c:v>
                </c:pt>
                <c:pt idx="1411">
                  <c:v>1299</c:v>
                </c:pt>
                <c:pt idx="1412">
                  <c:v>1300</c:v>
                </c:pt>
                <c:pt idx="1413">
                  <c:v>1301</c:v>
                </c:pt>
                <c:pt idx="1414">
                  <c:v>1302</c:v>
                </c:pt>
                <c:pt idx="1415">
                  <c:v>1303</c:v>
                </c:pt>
                <c:pt idx="1416">
                  <c:v>1304</c:v>
                </c:pt>
                <c:pt idx="1417">
                  <c:v>1305</c:v>
                </c:pt>
                <c:pt idx="1418">
                  <c:v>1306</c:v>
                </c:pt>
                <c:pt idx="1419">
                  <c:v>1307</c:v>
                </c:pt>
                <c:pt idx="1420">
                  <c:v>1308</c:v>
                </c:pt>
                <c:pt idx="1421">
                  <c:v>1309</c:v>
                </c:pt>
                <c:pt idx="1422">
                  <c:v>1310</c:v>
                </c:pt>
                <c:pt idx="1423">
                  <c:v>1311</c:v>
                </c:pt>
                <c:pt idx="1424">
                  <c:v>1312</c:v>
                </c:pt>
                <c:pt idx="1425">
                  <c:v>1313</c:v>
                </c:pt>
                <c:pt idx="1426">
                  <c:v>1314</c:v>
                </c:pt>
                <c:pt idx="1427">
                  <c:v>1315</c:v>
                </c:pt>
                <c:pt idx="1428">
                  <c:v>1316</c:v>
                </c:pt>
                <c:pt idx="1429">
                  <c:v>1317</c:v>
                </c:pt>
                <c:pt idx="1430">
                  <c:v>1318</c:v>
                </c:pt>
                <c:pt idx="1431">
                  <c:v>1319</c:v>
                </c:pt>
                <c:pt idx="1432">
                  <c:v>1320</c:v>
                </c:pt>
                <c:pt idx="1433">
                  <c:v>1321</c:v>
                </c:pt>
                <c:pt idx="1434">
                  <c:v>1322</c:v>
                </c:pt>
                <c:pt idx="1435">
                  <c:v>1323</c:v>
                </c:pt>
                <c:pt idx="1436">
                  <c:v>1324</c:v>
                </c:pt>
                <c:pt idx="1437">
                  <c:v>1325</c:v>
                </c:pt>
                <c:pt idx="1438">
                  <c:v>1326</c:v>
                </c:pt>
                <c:pt idx="1439">
                  <c:v>1327</c:v>
                </c:pt>
                <c:pt idx="1440">
                  <c:v>1328</c:v>
                </c:pt>
                <c:pt idx="1441">
                  <c:v>1329</c:v>
                </c:pt>
                <c:pt idx="1442">
                  <c:v>1330</c:v>
                </c:pt>
                <c:pt idx="1443">
                  <c:v>1331</c:v>
                </c:pt>
                <c:pt idx="1444">
                  <c:v>1332</c:v>
                </c:pt>
                <c:pt idx="1445">
                  <c:v>1333</c:v>
                </c:pt>
                <c:pt idx="1446">
                  <c:v>1334</c:v>
                </c:pt>
                <c:pt idx="1447">
                  <c:v>1335</c:v>
                </c:pt>
                <c:pt idx="1448">
                  <c:v>1336</c:v>
                </c:pt>
                <c:pt idx="1449">
                  <c:v>1337</c:v>
                </c:pt>
                <c:pt idx="1450">
                  <c:v>1338</c:v>
                </c:pt>
                <c:pt idx="1451">
                  <c:v>1339</c:v>
                </c:pt>
                <c:pt idx="1452">
                  <c:v>1340</c:v>
                </c:pt>
                <c:pt idx="1453">
                  <c:v>1341</c:v>
                </c:pt>
                <c:pt idx="1454">
                  <c:v>1342</c:v>
                </c:pt>
                <c:pt idx="1455">
                  <c:v>1343</c:v>
                </c:pt>
                <c:pt idx="1456">
                  <c:v>1344</c:v>
                </c:pt>
                <c:pt idx="1457">
                  <c:v>1345</c:v>
                </c:pt>
                <c:pt idx="1458">
                  <c:v>1346</c:v>
                </c:pt>
                <c:pt idx="1459">
                  <c:v>1347</c:v>
                </c:pt>
                <c:pt idx="1460">
                  <c:v>1348</c:v>
                </c:pt>
                <c:pt idx="1461">
                  <c:v>1349</c:v>
                </c:pt>
                <c:pt idx="1462">
                  <c:v>1350</c:v>
                </c:pt>
                <c:pt idx="1463">
                  <c:v>1351</c:v>
                </c:pt>
                <c:pt idx="1464">
                  <c:v>1352</c:v>
                </c:pt>
                <c:pt idx="1465">
                  <c:v>1353</c:v>
                </c:pt>
                <c:pt idx="1466">
                  <c:v>1354</c:v>
                </c:pt>
                <c:pt idx="1467">
                  <c:v>1355</c:v>
                </c:pt>
                <c:pt idx="1468">
                  <c:v>1356</c:v>
                </c:pt>
                <c:pt idx="1469">
                  <c:v>1357</c:v>
                </c:pt>
                <c:pt idx="1470">
                  <c:v>1358</c:v>
                </c:pt>
                <c:pt idx="1471">
                  <c:v>1359</c:v>
                </c:pt>
                <c:pt idx="1472">
                  <c:v>1360</c:v>
                </c:pt>
                <c:pt idx="1473">
                  <c:v>1361</c:v>
                </c:pt>
                <c:pt idx="1474">
                  <c:v>1362</c:v>
                </c:pt>
                <c:pt idx="1475">
                  <c:v>1363</c:v>
                </c:pt>
                <c:pt idx="1476">
                  <c:v>1364</c:v>
                </c:pt>
                <c:pt idx="1477">
                  <c:v>1365</c:v>
                </c:pt>
                <c:pt idx="1478">
                  <c:v>1366</c:v>
                </c:pt>
                <c:pt idx="1479">
                  <c:v>1367</c:v>
                </c:pt>
                <c:pt idx="1480">
                  <c:v>1368</c:v>
                </c:pt>
                <c:pt idx="1481">
                  <c:v>1369</c:v>
                </c:pt>
                <c:pt idx="1482">
                  <c:v>1370</c:v>
                </c:pt>
                <c:pt idx="1483">
                  <c:v>1371</c:v>
                </c:pt>
                <c:pt idx="1484">
                  <c:v>1372</c:v>
                </c:pt>
                <c:pt idx="1485">
                  <c:v>1373</c:v>
                </c:pt>
                <c:pt idx="1486">
                  <c:v>1374</c:v>
                </c:pt>
                <c:pt idx="1487">
                  <c:v>1375</c:v>
                </c:pt>
                <c:pt idx="1488">
                  <c:v>1376</c:v>
                </c:pt>
                <c:pt idx="1489">
                  <c:v>1377</c:v>
                </c:pt>
                <c:pt idx="1490">
                  <c:v>1378</c:v>
                </c:pt>
                <c:pt idx="1491">
                  <c:v>1379</c:v>
                </c:pt>
                <c:pt idx="1492">
                  <c:v>1380</c:v>
                </c:pt>
                <c:pt idx="1493">
                  <c:v>1381</c:v>
                </c:pt>
                <c:pt idx="1494">
                  <c:v>1382</c:v>
                </c:pt>
                <c:pt idx="1495">
                  <c:v>1383</c:v>
                </c:pt>
                <c:pt idx="1496">
                  <c:v>1384</c:v>
                </c:pt>
                <c:pt idx="1497">
                  <c:v>1385</c:v>
                </c:pt>
                <c:pt idx="1498">
                  <c:v>1386</c:v>
                </c:pt>
                <c:pt idx="1499">
                  <c:v>1387</c:v>
                </c:pt>
                <c:pt idx="1500">
                  <c:v>1388</c:v>
                </c:pt>
                <c:pt idx="1501">
                  <c:v>1389</c:v>
                </c:pt>
                <c:pt idx="1502">
                  <c:v>1390</c:v>
                </c:pt>
                <c:pt idx="1503">
                  <c:v>1391</c:v>
                </c:pt>
                <c:pt idx="1504">
                  <c:v>1392</c:v>
                </c:pt>
                <c:pt idx="1505">
                  <c:v>1393</c:v>
                </c:pt>
                <c:pt idx="1506">
                  <c:v>1394</c:v>
                </c:pt>
                <c:pt idx="1507">
                  <c:v>1395</c:v>
                </c:pt>
                <c:pt idx="1508">
                  <c:v>1396</c:v>
                </c:pt>
                <c:pt idx="1509">
                  <c:v>1397</c:v>
                </c:pt>
                <c:pt idx="1510">
                  <c:v>1398</c:v>
                </c:pt>
                <c:pt idx="1511">
                  <c:v>1399</c:v>
                </c:pt>
                <c:pt idx="1512">
                  <c:v>1400</c:v>
                </c:pt>
                <c:pt idx="1513">
                  <c:v>1401</c:v>
                </c:pt>
                <c:pt idx="1514">
                  <c:v>1402</c:v>
                </c:pt>
                <c:pt idx="1515">
                  <c:v>1403</c:v>
                </c:pt>
                <c:pt idx="1516">
                  <c:v>1404</c:v>
                </c:pt>
                <c:pt idx="1517">
                  <c:v>1405</c:v>
                </c:pt>
                <c:pt idx="1518">
                  <c:v>1406</c:v>
                </c:pt>
                <c:pt idx="1519">
                  <c:v>1407</c:v>
                </c:pt>
                <c:pt idx="1520">
                  <c:v>1408</c:v>
                </c:pt>
                <c:pt idx="1521">
                  <c:v>1409</c:v>
                </c:pt>
                <c:pt idx="1522">
                  <c:v>1410</c:v>
                </c:pt>
                <c:pt idx="1523">
                  <c:v>1411</c:v>
                </c:pt>
                <c:pt idx="1524">
                  <c:v>1412</c:v>
                </c:pt>
                <c:pt idx="1525">
                  <c:v>1413</c:v>
                </c:pt>
                <c:pt idx="1526">
                  <c:v>1414</c:v>
                </c:pt>
                <c:pt idx="1527">
                  <c:v>1415</c:v>
                </c:pt>
                <c:pt idx="1528">
                  <c:v>1416</c:v>
                </c:pt>
                <c:pt idx="1529">
                  <c:v>1417</c:v>
                </c:pt>
                <c:pt idx="1530">
                  <c:v>1418</c:v>
                </c:pt>
                <c:pt idx="1531">
                  <c:v>1419</c:v>
                </c:pt>
                <c:pt idx="1532">
                  <c:v>1420</c:v>
                </c:pt>
                <c:pt idx="1533">
                  <c:v>1421</c:v>
                </c:pt>
                <c:pt idx="1534">
                  <c:v>1422</c:v>
                </c:pt>
                <c:pt idx="1535">
                  <c:v>1423</c:v>
                </c:pt>
                <c:pt idx="1536">
                  <c:v>1424</c:v>
                </c:pt>
                <c:pt idx="1537">
                  <c:v>1425</c:v>
                </c:pt>
                <c:pt idx="1538">
                  <c:v>1426</c:v>
                </c:pt>
                <c:pt idx="1539">
                  <c:v>1427</c:v>
                </c:pt>
                <c:pt idx="1540">
                  <c:v>1428</c:v>
                </c:pt>
                <c:pt idx="1541">
                  <c:v>1429</c:v>
                </c:pt>
                <c:pt idx="1542">
                  <c:v>1430</c:v>
                </c:pt>
                <c:pt idx="1543">
                  <c:v>1431</c:v>
                </c:pt>
                <c:pt idx="1544">
                  <c:v>1432</c:v>
                </c:pt>
                <c:pt idx="1545">
                  <c:v>1433</c:v>
                </c:pt>
                <c:pt idx="1546">
                  <c:v>1434</c:v>
                </c:pt>
                <c:pt idx="1547">
                  <c:v>1435</c:v>
                </c:pt>
                <c:pt idx="1548">
                  <c:v>1436</c:v>
                </c:pt>
                <c:pt idx="1549">
                  <c:v>1437</c:v>
                </c:pt>
                <c:pt idx="1550">
                  <c:v>1438</c:v>
                </c:pt>
                <c:pt idx="1551">
                  <c:v>1439</c:v>
                </c:pt>
                <c:pt idx="1552">
                  <c:v>1440</c:v>
                </c:pt>
                <c:pt idx="1553">
                  <c:v>1441</c:v>
                </c:pt>
                <c:pt idx="1554">
                  <c:v>1442</c:v>
                </c:pt>
                <c:pt idx="1555">
                  <c:v>1443</c:v>
                </c:pt>
                <c:pt idx="1556">
                  <c:v>1444</c:v>
                </c:pt>
                <c:pt idx="1557">
                  <c:v>1445</c:v>
                </c:pt>
                <c:pt idx="1558">
                  <c:v>1446</c:v>
                </c:pt>
                <c:pt idx="1559">
                  <c:v>1447</c:v>
                </c:pt>
                <c:pt idx="1560">
                  <c:v>1448</c:v>
                </c:pt>
                <c:pt idx="1561">
                  <c:v>1449</c:v>
                </c:pt>
                <c:pt idx="1562">
                  <c:v>1450</c:v>
                </c:pt>
                <c:pt idx="1563">
                  <c:v>1451</c:v>
                </c:pt>
                <c:pt idx="1564">
                  <c:v>1452</c:v>
                </c:pt>
                <c:pt idx="1565">
                  <c:v>1453</c:v>
                </c:pt>
                <c:pt idx="1566">
                  <c:v>1454</c:v>
                </c:pt>
                <c:pt idx="1567">
                  <c:v>1455</c:v>
                </c:pt>
                <c:pt idx="1568">
                  <c:v>1456</c:v>
                </c:pt>
                <c:pt idx="1569">
                  <c:v>1457</c:v>
                </c:pt>
                <c:pt idx="1570">
                  <c:v>1458</c:v>
                </c:pt>
                <c:pt idx="1571">
                  <c:v>1459</c:v>
                </c:pt>
                <c:pt idx="1572">
                  <c:v>1460</c:v>
                </c:pt>
                <c:pt idx="1573">
                  <c:v>1461</c:v>
                </c:pt>
                <c:pt idx="1574">
                  <c:v>1462</c:v>
                </c:pt>
                <c:pt idx="1575">
                  <c:v>1463</c:v>
                </c:pt>
                <c:pt idx="1576">
                  <c:v>1464</c:v>
                </c:pt>
                <c:pt idx="1577">
                  <c:v>1465</c:v>
                </c:pt>
                <c:pt idx="1578">
                  <c:v>1466</c:v>
                </c:pt>
                <c:pt idx="1579">
                  <c:v>1467</c:v>
                </c:pt>
                <c:pt idx="1580">
                  <c:v>1468</c:v>
                </c:pt>
                <c:pt idx="1581">
                  <c:v>1469</c:v>
                </c:pt>
                <c:pt idx="1582">
                  <c:v>1470</c:v>
                </c:pt>
                <c:pt idx="1583">
                  <c:v>1471</c:v>
                </c:pt>
                <c:pt idx="1584">
                  <c:v>1472</c:v>
                </c:pt>
                <c:pt idx="1585">
                  <c:v>1473</c:v>
                </c:pt>
                <c:pt idx="1586">
                  <c:v>1474</c:v>
                </c:pt>
                <c:pt idx="1587">
                  <c:v>1475</c:v>
                </c:pt>
                <c:pt idx="1588">
                  <c:v>1476</c:v>
                </c:pt>
                <c:pt idx="1589">
                  <c:v>1477</c:v>
                </c:pt>
                <c:pt idx="1590">
                  <c:v>1478</c:v>
                </c:pt>
                <c:pt idx="1591">
                  <c:v>1479</c:v>
                </c:pt>
                <c:pt idx="1592">
                  <c:v>1480</c:v>
                </c:pt>
                <c:pt idx="1593">
                  <c:v>1481</c:v>
                </c:pt>
                <c:pt idx="1594">
                  <c:v>1482</c:v>
                </c:pt>
                <c:pt idx="1595">
                  <c:v>1483</c:v>
                </c:pt>
                <c:pt idx="1596">
                  <c:v>1484</c:v>
                </c:pt>
                <c:pt idx="1597">
                  <c:v>1485</c:v>
                </c:pt>
                <c:pt idx="1598">
                  <c:v>1486</c:v>
                </c:pt>
                <c:pt idx="1599">
                  <c:v>1487</c:v>
                </c:pt>
                <c:pt idx="1600">
                  <c:v>1488</c:v>
                </c:pt>
                <c:pt idx="1601">
                  <c:v>1489</c:v>
                </c:pt>
                <c:pt idx="1602">
                  <c:v>1490</c:v>
                </c:pt>
                <c:pt idx="1603">
                  <c:v>1491</c:v>
                </c:pt>
                <c:pt idx="1604">
                  <c:v>1492</c:v>
                </c:pt>
                <c:pt idx="1605">
                  <c:v>1493</c:v>
                </c:pt>
                <c:pt idx="1606">
                  <c:v>1494</c:v>
                </c:pt>
                <c:pt idx="1607">
                  <c:v>1495</c:v>
                </c:pt>
                <c:pt idx="1608">
                  <c:v>1496</c:v>
                </c:pt>
                <c:pt idx="1609">
                  <c:v>1497</c:v>
                </c:pt>
                <c:pt idx="1610">
                  <c:v>1498</c:v>
                </c:pt>
                <c:pt idx="1611">
                  <c:v>1499</c:v>
                </c:pt>
                <c:pt idx="1612">
                  <c:v>1500</c:v>
                </c:pt>
                <c:pt idx="1613">
                  <c:v>1501</c:v>
                </c:pt>
                <c:pt idx="1614">
                  <c:v>1502</c:v>
                </c:pt>
                <c:pt idx="1615">
                  <c:v>1503</c:v>
                </c:pt>
                <c:pt idx="1616">
                  <c:v>1504</c:v>
                </c:pt>
                <c:pt idx="1617">
                  <c:v>1505</c:v>
                </c:pt>
                <c:pt idx="1618">
                  <c:v>1506</c:v>
                </c:pt>
                <c:pt idx="1619">
                  <c:v>1507</c:v>
                </c:pt>
                <c:pt idx="1620">
                  <c:v>1508</c:v>
                </c:pt>
                <c:pt idx="1621">
                  <c:v>1509</c:v>
                </c:pt>
                <c:pt idx="1622">
                  <c:v>1510</c:v>
                </c:pt>
                <c:pt idx="1623">
                  <c:v>1511</c:v>
                </c:pt>
                <c:pt idx="1624">
                  <c:v>1512</c:v>
                </c:pt>
                <c:pt idx="1625">
                  <c:v>1513</c:v>
                </c:pt>
                <c:pt idx="1626">
                  <c:v>1514</c:v>
                </c:pt>
                <c:pt idx="1627">
                  <c:v>1515</c:v>
                </c:pt>
                <c:pt idx="1628">
                  <c:v>1516</c:v>
                </c:pt>
                <c:pt idx="1629">
                  <c:v>1517</c:v>
                </c:pt>
                <c:pt idx="1630">
                  <c:v>1518</c:v>
                </c:pt>
                <c:pt idx="1631">
                  <c:v>1519</c:v>
                </c:pt>
                <c:pt idx="1632">
                  <c:v>1520</c:v>
                </c:pt>
                <c:pt idx="1633">
                  <c:v>1521</c:v>
                </c:pt>
                <c:pt idx="1634">
                  <c:v>1522</c:v>
                </c:pt>
                <c:pt idx="1635">
                  <c:v>1523</c:v>
                </c:pt>
                <c:pt idx="1636">
                  <c:v>1524</c:v>
                </c:pt>
                <c:pt idx="1637">
                  <c:v>1525</c:v>
                </c:pt>
                <c:pt idx="1638">
                  <c:v>1526</c:v>
                </c:pt>
                <c:pt idx="1639">
                  <c:v>1527</c:v>
                </c:pt>
                <c:pt idx="1640">
                  <c:v>1528</c:v>
                </c:pt>
                <c:pt idx="1641">
                  <c:v>1529</c:v>
                </c:pt>
                <c:pt idx="1642">
                  <c:v>1530</c:v>
                </c:pt>
                <c:pt idx="1643">
                  <c:v>1531</c:v>
                </c:pt>
                <c:pt idx="1644">
                  <c:v>1532</c:v>
                </c:pt>
              </c:numCache>
            </c:numRef>
          </c:xVal>
          <c:yVal>
            <c:numRef>
              <c:f>data!$T$3:$T$4454</c:f>
              <c:numCache>
                <c:formatCode>0.00E+00</c:formatCode>
                <c:ptCount val="4452"/>
                <c:pt idx="0">
                  <c:v>2.5570504019181359E-2</c:v>
                </c:pt>
                <c:pt idx="1">
                  <c:v>2.5570504019181359E-2</c:v>
                </c:pt>
                <c:pt idx="2">
                  <c:v>2.5532152115193659E-2</c:v>
                </c:pt>
                <c:pt idx="3">
                  <c:v>2.5529112004535188E-2</c:v>
                </c:pt>
                <c:pt idx="4">
                  <c:v>2.552576913351674E-2</c:v>
                </c:pt>
                <c:pt idx="5">
                  <c:v>2.5522093434046288E-2</c:v>
                </c:pt>
                <c:pt idx="6">
                  <c:v>2.5518051974365265E-2</c:v>
                </c:pt>
                <c:pt idx="7">
                  <c:v>2.551360852040687E-2</c:v>
                </c:pt>
                <c:pt idx="8">
                  <c:v>2.5508723352225343E-2</c:v>
                </c:pt>
                <c:pt idx="9">
                  <c:v>2.5503352828605875E-2</c:v>
                </c:pt>
                <c:pt idx="10">
                  <c:v>2.5497449076426544E-2</c:v>
                </c:pt>
                <c:pt idx="11">
                  <c:v>2.5490959581794422E-2</c:v>
                </c:pt>
                <c:pt idx="12">
                  <c:v>2.5483826721619949E-2</c:v>
                </c:pt>
                <c:pt idx="13">
                  <c:v>2.5475987333218181E-2</c:v>
                </c:pt>
                <c:pt idx="14">
                  <c:v>2.5467372165485534E-2</c:v>
                </c:pt>
                <c:pt idx="15">
                  <c:v>2.5457905342825177E-2</c:v>
                </c:pt>
                <c:pt idx="16">
                  <c:v>2.5447503745142774E-2</c:v>
                </c:pt>
                <c:pt idx="17">
                  <c:v>2.5436076368414728E-2</c:v>
                </c:pt>
                <c:pt idx="18">
                  <c:v>2.5423523619443545E-2</c:v>
                </c:pt>
                <c:pt idx="19">
                  <c:v>2.5409736551233787E-2</c:v>
                </c:pt>
                <c:pt idx="20">
                  <c:v>2.5394596072979073E-2</c:v>
                </c:pt>
                <c:pt idx="21">
                  <c:v>2.5377972064869279E-2</c:v>
                </c:pt>
                <c:pt idx="22">
                  <c:v>2.5359722469118474E-2</c:v>
                </c:pt>
                <c:pt idx="23">
                  <c:v>2.5339692297490141E-2</c:v>
                </c:pt>
                <c:pt idx="24">
                  <c:v>2.5317712616109534E-2</c:v>
                </c:pt>
                <c:pt idx="25">
                  <c:v>2.5293599434222335E-2</c:v>
                </c:pt>
                <c:pt idx="26">
                  <c:v>2.5267152586093765E-2</c:v>
                </c:pt>
                <c:pt idx="27">
                  <c:v>2.5238154536205534E-2</c:v>
                </c:pt>
                <c:pt idx="28">
                  <c:v>2.520636917217026E-2</c:v>
                </c:pt>
                <c:pt idx="29">
                  <c:v>2.5171540560029973E-2</c:v>
                </c:pt>
                <c:pt idx="30">
                  <c:v>2.5133391696613886E-2</c:v>
                </c:pt>
                <c:pt idx="31">
                  <c:v>2.5091623270962246E-2</c:v>
                </c:pt>
                <c:pt idx="32">
                  <c:v>2.504591245350192E-2</c:v>
                </c:pt>
                <c:pt idx="33">
                  <c:v>2.499591175385631E-2</c:v>
                </c:pt>
                <c:pt idx="34">
                  <c:v>2.4941247968154667E-2</c:v>
                </c:pt>
                <c:pt idx="35">
                  <c:v>2.488152126702373E-2</c:v>
                </c:pt>
                <c:pt idx="36">
                  <c:v>2.4816304462952944E-2</c:v>
                </c:pt>
                <c:pt idx="37">
                  <c:v>2.4745142531271642E-2</c:v>
                </c:pt>
                <c:pt idx="38">
                  <c:v>2.4667552418780304E-2</c:v>
                </c:pt>
                <c:pt idx="39">
                  <c:v>2.4583023252084585E-2</c:v>
                </c:pt>
                <c:pt idx="40">
                  <c:v>2.4491016987512444E-2</c:v>
                </c:pt>
                <c:pt idx="41">
                  <c:v>2.4390969622382432E-2</c:v>
                </c:pt>
                <c:pt idx="42">
                  <c:v>2.4282293040835429E-2</c:v>
                </c:pt>
                <c:pt idx="43">
                  <c:v>2.4164377606689016E-2</c:v>
                </c:pt>
                <c:pt idx="44">
                  <c:v>2.4036595593868143E-2</c:v>
                </c:pt>
                <c:pt idx="45">
                  <c:v>2.3898305556058101E-2</c:v>
                </c:pt>
                <c:pt idx="46">
                  <c:v>2.3748857724503671E-2</c:v>
                </c:pt>
                <c:pt idx="47">
                  <c:v>2.3587600507078452E-2</c:v>
                </c:pt>
                <c:pt idx="48">
                  <c:v>2.341388814338953E-2</c:v>
                </c:pt>
                <c:pt idx="49">
                  <c:v>2.3227089537629048E-2</c:v>
                </c:pt>
                <c:pt idx="50">
                  <c:v>2.3026598256023673E-2</c:v>
                </c:pt>
                <c:pt idx="51">
                  <c:v>2.2811843623410353E-2</c:v>
                </c:pt>
                <c:pt idx="52">
                  <c:v>2.2582302795864293E-2</c:v>
                </c:pt>
                <c:pt idx="53">
                  <c:v>2.2337513627939131E-2</c:v>
                </c:pt>
                <c:pt idx="54">
                  <c:v>2.2077088074785343E-2</c:v>
                </c:pt>
                <c:pt idx="55">
                  <c:v>2.1800725803342004E-2</c:v>
                </c:pt>
                <c:pt idx="56">
                  <c:v>2.1508227618662435E-2</c:v>
                </c:pt>
                <c:pt idx="57">
                  <c:v>2.1199508247341192E-2</c:v>
                </c:pt>
                <c:pt idx="58">
                  <c:v>2.0874607978742171E-2</c:v>
                </c:pt>
                <c:pt idx="59">
                  <c:v>2.0533702640077114E-2</c:v>
                </c:pt>
                <c:pt idx="60">
                  <c:v>2.0177111382230252E-2</c:v>
                </c:pt>
                <c:pt idx="61">
                  <c:v>1.9805301789760112E-2</c:v>
                </c:pt>
                <c:pt idx="62">
                  <c:v>1.9418891896233633E-2</c:v>
                </c:pt>
                <c:pt idx="63">
                  <c:v>1.9018648785876755E-2</c:v>
                </c:pt>
                <c:pt idx="64">
                  <c:v>1.86054835960358E-2</c:v>
                </c:pt>
                <c:pt idx="65">
                  <c:v>1.8180442887888986E-2</c:v>
                </c:pt>
                <c:pt idx="66">
                  <c:v>1.774469651927239E-2</c:v>
                </c:pt>
                <c:pt idx="67">
                  <c:v>1.7299522322971703E-2</c:v>
                </c:pt>
                <c:pt idx="68">
                  <c:v>1.6846288049662383E-2</c:v>
                </c:pt>
                <c:pt idx="69">
                  <c:v>1.6386431166141153E-2</c:v>
                </c:pt>
                <c:pt idx="70">
                  <c:v>1.5921437198764633E-2</c:v>
                </c:pt>
                <c:pt idx="71">
                  <c:v>1.5452817366368785E-2</c:v>
                </c:pt>
                <c:pt idx="72">
                  <c:v>1.4982086258643286E-2</c:v>
                </c:pt>
                <c:pt idx="73">
                  <c:v>1.4510740281799557E-2</c:v>
                </c:pt>
                <c:pt idx="74">
                  <c:v>1.4040237520746898E-2</c:v>
                </c:pt>
                <c:pt idx="75">
                  <c:v>1.3571979561576157E-2</c:v>
                </c:pt>
                <c:pt idx="76">
                  <c:v>1.3107295693110161E-2</c:v>
                </c:pt>
                <c:pt idx="77">
                  <c:v>1.2647429768383598E-2</c:v>
                </c:pt>
                <c:pt idx="78">
                  <c:v>1.2193529871091485E-2</c:v>
                </c:pt>
                <c:pt idx="79">
                  <c:v>1.1746640803369145E-2</c:v>
                </c:pt>
                <c:pt idx="80">
                  <c:v>1.1307699299833244E-2</c:v>
                </c:pt>
                <c:pt idx="81">
                  <c:v>1.0877531781458309E-2</c:v>
                </c:pt>
                <c:pt idx="82">
                  <c:v>1.0456854394365819E-2</c:v>
                </c:pt>
                <c:pt idx="83">
                  <c:v>1.004627503397741E-2</c:v>
                </c:pt>
                <c:pt idx="84">
                  <c:v>9.6462970306697704E-3</c:v>
                </c:pt>
                <c:pt idx="85">
                  <c:v>9.2573241687335071E-3</c:v>
                </c:pt>
                <c:pt idx="86">
                  <c:v>8.8796667204047424E-3</c:v>
                </c:pt>
                <c:pt idx="87">
                  <c:v>8.5135481989931181E-3</c:v>
                </c:pt>
                <c:pt idx="88">
                  <c:v>8.1591125647272195E-3</c:v>
                </c:pt>
                <c:pt idx="89">
                  <c:v>7.8164316516406672E-3</c:v>
                </c:pt>
                <c:pt idx="90">
                  <c:v>7.485512620185166E-3</c:v>
                </c:pt>
                <c:pt idx="91">
                  <c:v>7.1663052764445465E-3</c:v>
                </c:pt>
                <c:pt idx="92">
                  <c:v>6.8587091329836598E-3</c:v>
                </c:pt>
                <c:pt idx="93">
                  <c:v>6.5625801177442607E-3</c:v>
                </c:pt>
                <c:pt idx="94">
                  <c:v>6.2777368649101781E-3</c:v>
                </c:pt>
                <c:pt idx="95">
                  <c:v>6.0039665453640997E-3</c:v>
                </c:pt>
                <c:pt idx="96">
                  <c:v>5.7410302141211803E-3</c:v>
                </c:pt>
                <c:pt idx="97">
                  <c:v>5.4886676681530711E-3</c:v>
                </c:pt>
                <c:pt idx="98">
                  <c:v>5.2466018204850324E-3</c:v>
                </c:pt>
                <c:pt idx="99">
                  <c:v>5.0145426061356324E-3</c:v>
                </c:pt>
                <c:pt idx="100">
                  <c:v>4.7921904422303322E-3</c:v>
                </c:pt>
                <c:pt idx="101">
                  <c:v>4.5792392694751095E-3</c:v>
                </c:pt>
                <c:pt idx="102">
                  <c:v>4.375379204981082E-3</c:v>
                </c:pt>
                <c:pt idx="103">
                  <c:v>4.1802988379703162E-3</c:v>
                </c:pt>
                <c:pt idx="104">
                  <c:v>3.993687200201968E-3</c:v>
                </c:pt>
                <c:pt idx="105">
                  <c:v>3.8152354424725839E-3</c:v>
                </c:pt>
                <c:pt idx="106">
                  <c:v>3.6446382473846453E-3</c:v>
                </c:pt>
                <c:pt idx="107">
                  <c:v>3.4815950070656923E-3</c:v>
                </c:pt>
                <c:pt idx="108">
                  <c:v>3.3258107926252205E-3</c:v>
                </c:pt>
                <c:pt idx="109">
                  <c:v>3.1769971401841507E-3</c:v>
                </c:pt>
                <c:pt idx="110">
                  <c:v>3.0348726762165009E-3</c:v>
                </c:pt>
                <c:pt idx="111">
                  <c:v>2.8991636029024161E-3</c:v>
                </c:pt>
                <c:pt idx="112">
                  <c:v>2.7696040621681063E-3</c:v>
                </c:pt>
                <c:pt idx="113">
                  <c:v>2.6459363951835224E-3</c:v>
                </c:pt>
                <c:pt idx="114">
                  <c:v>2.5279113122833397E-3</c:v>
                </c:pt>
                <c:pt idx="115">
                  <c:v>2.4152879865931851E-3</c:v>
                </c:pt>
                <c:pt idx="116">
                  <c:v>2.307834083113506E-3</c:v>
                </c:pt>
                <c:pt idx="117">
                  <c:v>2.2053257335998043E-3</c:v>
                </c:pt>
                <c:pt idx="118">
                  <c:v>2.1075474663063871E-3</c:v>
                </c:pt>
                <c:pt idx="119">
                  <c:v>2.0142920985167854E-3</c:v>
                </c:pt>
                <c:pt idx="120">
                  <c:v>1.9253605987604005E-3</c:v>
                </c:pt>
                <c:pt idx="121">
                  <c:v>1.840561924701967E-3</c:v>
                </c:pt>
                <c:pt idx="122">
                  <c:v>1.7552439651206037E-3</c:v>
                </c:pt>
                <c:pt idx="123">
                  <c:v>1.6986315699015903E-3</c:v>
                </c:pt>
                <c:pt idx="124">
                  <c:v>1.6226155644078477E-3</c:v>
                </c:pt>
                <c:pt idx="125">
                  <c:v>1.5567259622433702E-3</c:v>
                </c:pt>
                <c:pt idx="126">
                  <c:v>1.4988830898978664E-3</c:v>
                </c:pt>
                <c:pt idx="127">
                  <c:v>1.4475632036247549E-3</c:v>
                </c:pt>
                <c:pt idx="128">
                  <c:v>1.4016201999937847E-3</c:v>
                </c:pt>
                <c:pt idx="129">
                  <c:v>1.3601727753676171E-3</c:v>
                </c:pt>
                <c:pt idx="130">
                  <c:v>1.3225303493863624E-3</c:v>
                </c:pt>
                <c:pt idx="131">
                  <c:v>1.2881429041181475E-3</c:v>
                </c:pt>
                <c:pt idx="132">
                  <c:v>1.2565660998537301E-3</c:v>
                </c:pt>
                <c:pt idx="133">
                  <c:v>1.2274364460407722E-3</c:v>
                </c:pt>
                <c:pt idx="134">
                  <c:v>1.2004532657244882E-3</c:v>
                </c:pt>
                <c:pt idx="135">
                  <c:v>1.1753653566004066E-3</c:v>
                </c:pt>
                <c:pt idx="136">
                  <c:v>1.1519609659063554E-3</c:v>
                </c:pt>
                <c:pt idx="137">
                  <c:v>1.1300601464991622E-3</c:v>
                </c:pt>
                <c:pt idx="138">
                  <c:v>1.1095088522059468E-3</c:v>
                </c:pt>
                <c:pt idx="139">
                  <c:v>1.0901743225425614E-3</c:v>
                </c:pt>
                <c:pt idx="140">
                  <c:v>1.0719414362216975E-3</c:v>
                </c:pt>
                <c:pt idx="141">
                  <c:v>1.0547098015780618E-3</c:v>
                </c:pt>
                <c:pt idx="142">
                  <c:v>1.0383914138802977E-3</c:v>
                </c:pt>
                <c:pt idx="143">
                  <c:v>1.0229087532743555E-3</c:v>
                </c:pt>
                <c:pt idx="144">
                  <c:v>1.0081932285096809E-3</c:v>
                </c:pt>
                <c:pt idx="145">
                  <c:v>9.9418389443421684E-4</c:v>
                </c:pt>
                <c:pt idx="146">
                  <c:v>9.8082638802908517E-4</c:v>
                </c:pt>
                <c:pt idx="147">
                  <c:v>9.6807204023957594E-4</c:v>
                </c:pt>
                <c:pt idx="148">
                  <c:v>9.5587713023155552E-4</c:v>
                </c:pt>
                <c:pt idx="149">
                  <c:v>9.4420225581463846E-4</c:v>
                </c:pt>
                <c:pt idx="150">
                  <c:v>9.330117992086967E-4</c:v>
                </c:pt>
                <c:pt idx="151">
                  <c:v>9.2227347152887273E-4</c:v>
                </c:pt>
                <c:pt idx="152">
                  <c:v>9.1195792262180331E-4</c:v>
                </c:pt>
                <c:pt idx="153">
                  <c:v>9.0203840544320069E-4</c:v>
                </c:pt>
                <c:pt idx="154">
                  <c:v>8.9249048618032789E-4</c:v>
                </c:pt>
                <c:pt idx="155">
                  <c:v>8.8329179291991855E-4</c:v>
                </c:pt>
                <c:pt idx="156">
                  <c:v>8.7442179694253996E-4</c:v>
                </c:pt>
                <c:pt idx="157">
                  <c:v>8.6586162174777381E-4</c:v>
                </c:pt>
                <c:pt idx="158">
                  <c:v>8.5759387574557699E-4</c:v>
                </c:pt>
                <c:pt idx="159">
                  <c:v>8.4960250521785852E-4</c:v>
                </c:pt>
                <c:pt idx="160">
                  <c:v>8.4187266471266731E-4</c:v>
                </c:pt>
                <c:pt idx="161">
                  <c:v>8.343906024739639E-4</c:v>
                </c:pt>
                <c:pt idx="162">
                  <c:v>8.2714355888686975E-4</c:v>
                </c:pt>
                <c:pt idx="163">
                  <c:v>8.2011967622777626E-4</c:v>
                </c:pt>
                <c:pt idx="164">
                  <c:v>8.1330791825572069E-4</c:v>
                </c:pt>
                <c:pt idx="165">
                  <c:v>8.0669799840581147E-4</c:v>
                </c:pt>
                <c:pt idx="166">
                  <c:v>8.0028031551099277E-4</c:v>
                </c:pt>
                <c:pt idx="167">
                  <c:v>7.9404589614243126E-4</c:v>
                </c:pt>
                <c:pt idx="168">
                  <c:v>7.8798634277152391E-4</c:v>
                </c:pt>
                <c:pt idx="169">
                  <c:v>7.8209378707583266E-4</c:v>
                </c:pt>
                <c:pt idx="170">
                  <c:v>7.7636084779203474E-4</c:v>
                </c:pt>
                <c:pt idx="171">
                  <c:v>7.7078059260385356E-4</c:v>
                </c:pt>
                <c:pt idx="172">
                  <c:v>7.6534650361495538E-4</c:v>
                </c:pt>
                <c:pt idx="173">
                  <c:v>7.6005244601527744E-4</c:v>
                </c:pt>
                <c:pt idx="174">
                  <c:v>7.5489263959546693E-4</c:v>
                </c:pt>
                <c:pt idx="175">
                  <c:v>7.4986163281190454E-4</c:v>
                </c:pt>
                <c:pt idx="176">
                  <c:v>7.4495427913294499E-4</c:v>
                </c:pt>
                <c:pt idx="177">
                  <c:v>7.4016571543368548E-4</c:v>
                </c:pt>
                <c:pt idx="178">
                  <c:v>7.3549134223516166E-4</c:v>
                </c:pt>
                <c:pt idx="179">
                  <c:v>7.3092680560124523E-4</c:v>
                </c:pt>
                <c:pt idx="180">
                  <c:v>7.2646798053320472E-4</c:v>
                </c:pt>
                <c:pt idx="181">
                  <c:v>7.2211095571722561E-4</c:v>
                </c:pt>
                <c:pt idx="182">
                  <c:v>7.1785201949653432E-4</c:v>
                </c:pt>
                <c:pt idx="183">
                  <c:v>7.1368764695307896E-4</c:v>
                </c:pt>
                <c:pt idx="184">
                  <c:v>7.0961448799711224E-4</c:v>
                </c:pt>
                <c:pt idx="185">
                  <c:v>7.0562935637230595E-4</c:v>
                </c:pt>
                <c:pt idx="186">
                  <c:v>7.0172921949512856E-4</c:v>
                </c:pt>
                <c:pt idx="187">
                  <c:v>6.9791118905397631E-4</c:v>
                </c:pt>
                <c:pt idx="188">
                  <c:v>6.9417251230192989E-4</c:v>
                </c:pt>
                <c:pt idx="189">
                  <c:v>6.9051056398350408E-4</c:v>
                </c:pt>
                <c:pt idx="190">
                  <c:v>6.8692283884293215E-4</c:v>
                </c:pt>
                <c:pt idx="191">
                  <c:v>6.8340694466054175E-4</c:v>
                </c:pt>
                <c:pt idx="192">
                  <c:v>6.7996059578095958E-4</c:v>
                </c:pt>
                <c:pt idx="193">
                  <c:v>6.7658160708501669E-4</c:v>
                </c:pt>
                <c:pt idx="194">
                  <c:v>6.732678883764609E-4</c:v>
                </c:pt>
                <c:pt idx="195">
                  <c:v>6.7001743914421596E-4</c:v>
                </c:pt>
                <c:pt idx="196">
                  <c:v>6.6682834367648436E-4</c:v>
                </c:pt>
                <c:pt idx="197">
                  <c:v>6.6369876649395587E-4</c:v>
                </c:pt>
                <c:pt idx="198">
                  <c:v>6.6062694808163847E-4</c:v>
                </c:pt>
                <c:pt idx="199">
                  <c:v>6.5761120089509462E-4</c:v>
                </c:pt>
                <c:pt idx="200">
                  <c:v>6.5464990561897585E-4</c:v>
                </c:pt>
                <c:pt idx="201">
                  <c:v>6.5174150766207639E-4</c:v>
                </c:pt>
                <c:pt idx="202">
                  <c:v>6.4888451386932444E-4</c:v>
                </c:pt>
                <c:pt idx="203">
                  <c:v>6.4607748943652787E-4</c:v>
                </c:pt>
                <c:pt idx="204">
                  <c:v>6.4331905500977782E-4</c:v>
                </c:pt>
                <c:pt idx="205">
                  <c:v>6.4060788396409774E-4</c:v>
                </c:pt>
                <c:pt idx="206">
                  <c:v>6.3794269983770413E-4</c:v>
                </c:pt>
                <c:pt idx="207">
                  <c:v>6.3532227392204543E-4</c:v>
                </c:pt>
                <c:pt idx="208">
                  <c:v>6.3274542298956404E-4</c:v>
                </c:pt>
                <c:pt idx="209">
                  <c:v>6.3021100715229816E-4</c:v>
                </c:pt>
                <c:pt idx="210">
                  <c:v>6.2771792784326041E-4</c:v>
                </c:pt>
                <c:pt idx="211">
                  <c:v>6.2526512591085104E-4</c:v>
                </c:pt>
                <c:pt idx="212">
                  <c:v>6.2285157982014394E-4</c:v>
                </c:pt>
                <c:pt idx="213">
                  <c:v>6.2047630395295483E-4</c:v>
                </c:pt>
                <c:pt idx="214">
                  <c:v>6.1813834700161219E-4</c:v>
                </c:pt>
                <c:pt idx="215">
                  <c:v>6.158367904485762E-4</c:v>
                </c:pt>
                <c:pt idx="216">
                  <c:v>6.1357074712882487E-4</c:v>
                </c:pt>
                <c:pt idx="217">
                  <c:v>6.1133935986748544E-4</c:v>
                </c:pt>
                <c:pt idx="218">
                  <c:v>6.0914180019007447E-4</c:v>
                </c:pt>
                <c:pt idx="219">
                  <c:v>6.0697726709869892E-4</c:v>
                </c:pt>
                <c:pt idx="220">
                  <c:v>6.0484498591316382E-4</c:v>
                </c:pt>
                <c:pt idx="221">
                  <c:v>6.0274420716900645E-4</c:v>
                </c:pt>
                <c:pt idx="222">
                  <c:v>6.0067420557419204E-4</c:v>
                </c:pt>
                <c:pt idx="223">
                  <c:v>5.9863427901468702E-4</c:v>
                </c:pt>
                <c:pt idx="224">
                  <c:v>5.9662374761280945E-4</c:v>
                </c:pt>
                <c:pt idx="225">
                  <c:v>5.9464195283052967E-4</c:v>
                </c:pt>
                <c:pt idx="226">
                  <c:v>5.9268825661575042E-4</c:v>
                </c:pt>
                <c:pt idx="227">
                  <c:v>5.9076204059106685E-4</c:v>
                </c:pt>
                <c:pt idx="228">
                  <c:v>5.8886270528187012E-4</c:v>
                </c:pt>
                <c:pt idx="229">
                  <c:v>5.8698966937956176E-4</c:v>
                </c:pt>
                <c:pt idx="230">
                  <c:v>5.8514236904090577E-4</c:v>
                </c:pt>
                <c:pt idx="231">
                  <c:v>5.8332025721931358E-4</c:v>
                </c:pt>
                <c:pt idx="232">
                  <c:v>5.8152280302826986E-4</c:v>
                </c:pt>
                <c:pt idx="233">
                  <c:v>5.7974949113234753E-4</c:v>
                </c:pt>
                <c:pt idx="234">
                  <c:v>5.7799982116701898E-4</c:v>
                </c:pt>
                <c:pt idx="235">
                  <c:v>5.7627330718548753E-4</c:v>
                </c:pt>
                <c:pt idx="236">
                  <c:v>5.7456947712838935E-4</c:v>
                </c:pt>
                <c:pt idx="237">
                  <c:v>5.7288787231876692E-4</c:v>
                </c:pt>
                <c:pt idx="238">
                  <c:v>5.7122804697815055E-4</c:v>
                </c:pt>
                <c:pt idx="239">
                  <c:v>5.6958956776509417E-4</c:v>
                </c:pt>
                <c:pt idx="240">
                  <c:v>5.6797201333252945E-4</c:v>
                </c:pt>
                <c:pt idx="241">
                  <c:v>5.6637497390507607E-4</c:v>
                </c:pt>
                <c:pt idx="242">
                  <c:v>5.647980508732553E-4</c:v>
                </c:pt>
                <c:pt idx="243">
                  <c:v>5.6324085640727106E-4</c:v>
                </c:pt>
                <c:pt idx="244">
                  <c:v>5.6170301308366977E-4</c:v>
                </c:pt>
                <c:pt idx="245">
                  <c:v>5.6018415353117912E-4</c:v>
                </c:pt>
                <c:pt idx="246">
                  <c:v>5.586839200882876E-4</c:v>
                </c:pt>
                <c:pt idx="247">
                  <c:v>5.5720196447650583E-4</c:v>
                </c:pt>
                <c:pt idx="248">
                  <c:v>5.5573794748703387E-4</c:v>
                </c:pt>
                <c:pt idx="249">
                  <c:v>5.5429153867897485E-4</c:v>
                </c:pt>
                <c:pt idx="250">
                  <c:v>5.5286241609153741E-4</c:v>
                </c:pt>
                <c:pt idx="251">
                  <c:v>5.5145026596481461E-4</c:v>
                </c:pt>
                <c:pt idx="252">
                  <c:v>5.5005478247577289E-4</c:v>
                </c:pt>
                <c:pt idx="253">
                  <c:v>5.48675667480375E-4</c:v>
                </c:pt>
                <c:pt idx="254">
                  <c:v>5.4731263026891463E-4</c:v>
                </c:pt>
                <c:pt idx="255">
                  <c:v>5.4596538732951116E-4</c:v>
                </c:pt>
                <c:pt idx="256">
                  <c:v>5.4463366212034736E-4</c:v>
                </c:pt>
                <c:pt idx="257">
                  <c:v>5.4331718485176039E-4</c:v>
                </c:pt>
                <c:pt idx="258">
                  <c:v>5.4201569227621538E-4</c:v>
                </c:pt>
                <c:pt idx="259">
                  <c:v>5.4072892748494028E-4</c:v>
                </c:pt>
                <c:pt idx="260">
                  <c:v>5.3945663971505242E-4</c:v>
                </c:pt>
                <c:pt idx="261">
                  <c:v>5.3819858416070954E-4</c:v>
                </c:pt>
                <c:pt idx="262">
                  <c:v>5.3695452179283731E-4</c:v>
                </c:pt>
                <c:pt idx="263">
                  <c:v>5.3572421918615665E-4</c:v>
                </c:pt>
                <c:pt idx="264">
                  <c:v>5.3450744835073505E-4</c:v>
                </c:pt>
                <c:pt idx="265">
                  <c:v>5.3330398657122635E-4</c:v>
                </c:pt>
                <c:pt idx="266">
                  <c:v>5.3211361625071785E-4</c:v>
                </c:pt>
                <c:pt idx="267">
                  <c:v>5.3093612476148855E-4</c:v>
                </c:pt>
                <c:pt idx="268">
                  <c:v>5.2977130429934793E-4</c:v>
                </c:pt>
                <c:pt idx="269">
                  <c:v>5.2861895174496909E-4</c:v>
                </c:pt>
                <c:pt idx="270">
                  <c:v>5.2747886852874681E-4</c:v>
                </c:pt>
                <c:pt idx="271">
                  <c:v>5.2635086050090152E-4</c:v>
                </c:pt>
                <c:pt idx="272">
                  <c:v>5.2523473780616281E-4</c:v>
                </c:pt>
                <c:pt idx="273">
                  <c:v>5.2413031476239436E-4</c:v>
                </c:pt>
                <c:pt idx="274">
                  <c:v>5.2303740974385393E-4</c:v>
                </c:pt>
                <c:pt idx="275">
                  <c:v>5.2195584506803394E-4</c:v>
                </c:pt>
                <c:pt idx="276">
                  <c:v>5.2088544688644323E-4</c:v>
                </c:pt>
                <c:pt idx="277">
                  <c:v>5.1982604507944119E-4</c:v>
                </c:pt>
                <c:pt idx="278">
                  <c:v>5.1877747315379197E-4</c:v>
                </c:pt>
                <c:pt idx="279">
                  <c:v>5.1773956814424316E-4</c:v>
                </c:pt>
                <c:pt idx="280">
                  <c:v>5.1671217051851848E-4</c:v>
                </c:pt>
                <c:pt idx="281">
                  <c:v>5.1569512408414231E-4</c:v>
                </c:pt>
                <c:pt idx="282">
                  <c:v>5.1468827590098187E-4</c:v>
                </c:pt>
                <c:pt idx="283">
                  <c:v>5.1369147619262367E-4</c:v>
                </c:pt>
                <c:pt idx="284">
                  <c:v>5.1270457826513294E-4</c:v>
                </c:pt>
                <c:pt idx="285">
                  <c:v>5.1172743842406443E-4</c:v>
                </c:pt>
                <c:pt idx="286">
                  <c:v>5.1075991589857872E-4</c:v>
                </c:pt>
                <c:pt idx="287">
                  <c:v>5.098018727633935E-4</c:v>
                </c:pt>
                <c:pt idx="288">
                  <c:v>5.0885317386617501E-4</c:v>
                </c:pt>
                <c:pt idx="289">
                  <c:v>5.0791368675748294E-4</c:v>
                </c:pt>
                <c:pt idx="290">
                  <c:v>5.0698328162024353E-4</c:v>
                </c:pt>
                <c:pt idx="291">
                  <c:v>5.0606183120391335E-4</c:v>
                </c:pt>
                <c:pt idx="292">
                  <c:v>5.0514921075980879E-4</c:v>
                </c:pt>
                <c:pt idx="293">
                  <c:v>5.0424529797776785E-4</c:v>
                </c:pt>
                <c:pt idx="294">
                  <c:v>5.0334997292597605E-4</c:v>
                </c:pt>
                <c:pt idx="295">
                  <c:v>5.0246311799198584E-4</c:v>
                </c:pt>
                <c:pt idx="296">
                  <c:v>5.0158461782487396E-4</c:v>
                </c:pt>
                <c:pt idx="297">
                  <c:v>5.0071435928014663E-4</c:v>
                </c:pt>
                <c:pt idx="298">
                  <c:v>4.998522313666709E-4</c:v>
                </c:pt>
                <c:pt idx="299">
                  <c:v>4.9899812519277331E-4</c:v>
                </c:pt>
                <c:pt idx="300">
                  <c:v>4.9815193391747337E-4</c:v>
                </c:pt>
                <c:pt idx="301">
                  <c:v>4.97313552699441E-4</c:v>
                </c:pt>
                <c:pt idx="302">
                  <c:v>4.9648287865089458E-4</c:v>
                </c:pt>
                <c:pt idx="303">
                  <c:v>4.9565981078966703E-4</c:v>
                </c:pt>
                <c:pt idx="304">
                  <c:v>4.9484424999554633E-4</c:v>
                </c:pt>
                <c:pt idx="305">
                  <c:v>4.9403609896583878E-4</c:v>
                </c:pt>
                <c:pt idx="306">
                  <c:v>4.9323526217229241E-4</c:v>
                </c:pt>
                <c:pt idx="307">
                  <c:v>4.9244164582157302E-4</c:v>
                </c:pt>
                <c:pt idx="308">
                  <c:v>4.916551578129924E-4</c:v>
                </c:pt>
                <c:pt idx="309">
                  <c:v>4.9087570770120492E-4</c:v>
                </c:pt>
                <c:pt idx="310">
                  <c:v>4.9010320665715534E-4</c:v>
                </c:pt>
                <c:pt idx="311">
                  <c:v>4.8933756743227419E-4</c:v>
                </c:pt>
                <c:pt idx="312">
                  <c:v>4.8857870432156281E-4</c:v>
                </c:pt>
                <c:pt idx="313">
                  <c:v>4.8782653312945401E-4</c:v>
                </c:pt>
                <c:pt idx="314">
                  <c:v>4.8708097113578375E-4</c:v>
                </c:pt>
                <c:pt idx="315">
                  <c:v>4.863419370631783E-4</c:v>
                </c:pt>
                <c:pt idx="316">
                  <c:v>4.8560935104380309E-4</c:v>
                </c:pt>
                <c:pt idx="317">
                  <c:v>4.8488313458949772E-4</c:v>
                </c:pt>
                <c:pt idx="318">
                  <c:v>4.8416321056099498E-4</c:v>
                </c:pt>
                <c:pt idx="319">
                  <c:v>4.8344950313797264E-4</c:v>
                </c:pt>
                <c:pt idx="320">
                  <c:v>4.8274193779060393E-4</c:v>
                </c:pt>
                <c:pt idx="321">
                  <c:v>4.8204044125171874E-4</c:v>
                </c:pt>
                <c:pt idx="322">
                  <c:v>4.8134494148921458E-4</c:v>
                </c:pt>
                <c:pt idx="323">
                  <c:v>4.8065536768004957E-4</c:v>
                </c:pt>
                <c:pt idx="324">
                  <c:v>4.7997165018312526E-4</c:v>
                </c:pt>
                <c:pt idx="325">
                  <c:v>4.7929372051630503E-4</c:v>
                </c:pt>
                <c:pt idx="326">
                  <c:v>4.786215113292136E-4</c:v>
                </c:pt>
                <c:pt idx="327">
                  <c:v>4.7795495638150443E-4</c:v>
                </c:pt>
                <c:pt idx="328">
                  <c:v>4.7729399051874011E-4</c:v>
                </c:pt>
                <c:pt idx="329">
                  <c:v>4.7663854964968833E-4</c:v>
                </c:pt>
                <c:pt idx="330">
                  <c:v>4.7598857072370104E-4</c:v>
                </c:pt>
                <c:pt idx="331">
                  <c:v>4.7534399171084152E-4</c:v>
                </c:pt>
                <c:pt idx="332">
                  <c:v>4.7470475157884717E-4</c:v>
                </c:pt>
                <c:pt idx="333">
                  <c:v>4.7407079027342314E-4</c:v>
                </c:pt>
                <c:pt idx="334">
                  <c:v>4.7344204869961826E-4</c:v>
                </c:pt>
                <c:pt idx="335">
                  <c:v>4.7281846869992594E-4</c:v>
                </c:pt>
                <c:pt idx="336">
                  <c:v>4.7219999303660387E-4</c:v>
                </c:pt>
                <c:pt idx="337">
                  <c:v>4.7158656537402144E-4</c:v>
                </c:pt>
                <c:pt idx="338">
                  <c:v>4.7097813025831492E-4</c:v>
                </c:pt>
                <c:pt idx="339">
                  <c:v>4.703746331020664E-4</c:v>
                </c:pt>
                <c:pt idx="340">
                  <c:v>4.6977602016548548E-4</c:v>
                </c:pt>
                <c:pt idx="341">
                  <c:v>4.691822385403388E-4</c:v>
                </c:pt>
                <c:pt idx="342">
                  <c:v>4.685932361336298E-4</c:v>
                </c:pt>
                <c:pt idx="343">
                  <c:v>4.6800896165138939E-4</c:v>
                </c:pt>
                <c:pt idx="344">
                  <c:v>4.6742936458282758E-4</c:v>
                </c:pt>
                <c:pt idx="345">
                  <c:v>4.6685439518565075E-4</c:v>
                </c:pt>
                <c:pt idx="346">
                  <c:v>4.6628400447068508E-4</c:v>
                </c:pt>
                <c:pt idx="347">
                  <c:v>4.6571814418777668E-4</c:v>
                </c:pt>
                <c:pt idx="348">
                  <c:v>4.6515676681097018E-4</c:v>
                </c:pt>
                <c:pt idx="349">
                  <c:v>4.6459982552607415E-4</c:v>
                </c:pt>
                <c:pt idx="350">
                  <c:v>4.6404727421434089E-4</c:v>
                </c:pt>
                <c:pt idx="351">
                  <c:v>4.6349906744302949E-4</c:v>
                </c:pt>
                <c:pt idx="352">
                  <c:v>4.6295516044939089E-4</c:v>
                </c:pt>
                <c:pt idx="353">
                  <c:v>4.6241550912892726E-4</c:v>
                </c:pt>
                <c:pt idx="354">
                  <c:v>4.6188007002401221E-4</c:v>
                </c:pt>
                <c:pt idx="355">
                  <c:v>4.6134880031079017E-4</c:v>
                </c:pt>
                <c:pt idx="356">
                  <c:v>4.6082165778746353E-4</c:v>
                </c:pt>
                <c:pt idx="357">
                  <c:v>4.6029860086377328E-4</c:v>
                </c:pt>
                <c:pt idx="358">
                  <c:v>4.5977958854823142E-4</c:v>
                </c:pt>
                <c:pt idx="359">
                  <c:v>4.5926458043812901E-4</c:v>
                </c:pt>
                <c:pt idx="360">
                  <c:v>4.5875353670904451E-4</c:v>
                </c:pt>
                <c:pt idx="361">
                  <c:v>4.5824641810315869E-4</c:v>
                </c:pt>
                <c:pt idx="362">
                  <c:v>4.5774318592037289E-4</c:v>
                </c:pt>
                <c:pt idx="363">
                  <c:v>4.572438020066516E-4</c:v>
                </c:pt>
                <c:pt idx="364">
                  <c:v>4.5674822874625098E-4</c:v>
                </c:pt>
                <c:pt idx="365">
                  <c:v>4.5625642904975616E-4</c:v>
                </c:pt>
                <c:pt idx="366">
                  <c:v>4.5576836634667051E-4</c:v>
                </c:pt>
                <c:pt idx="367">
                  <c:v>4.5528400457520157E-4</c:v>
                </c:pt>
                <c:pt idx="368">
                  <c:v>4.5480330817310177E-4</c:v>
                </c:pt>
                <c:pt idx="369">
                  <c:v>4.5432624207000782E-4</c:v>
                </c:pt>
                <c:pt idx="370">
                  <c:v>4.5385277167675486E-4</c:v>
                </c:pt>
                <c:pt idx="371">
                  <c:v>4.5338286287954777E-4</c:v>
                </c:pt>
                <c:pt idx="372">
                  <c:v>4.5291648202960832E-4</c:v>
                </c:pt>
                <c:pt idx="373">
                  <c:v>4.524535959359588E-4</c:v>
                </c:pt>
                <c:pt idx="374">
                  <c:v>4.5199417185715074E-4</c:v>
                </c:pt>
                <c:pt idx="375">
                  <c:v>4.515381774947147E-4</c:v>
                </c:pt>
                <c:pt idx="376">
                  <c:v>4.5108558098322371E-4</c:v>
                </c:pt>
                <c:pt idx="377">
                  <c:v>4.5063635088507525E-4</c:v>
                </c:pt>
                <c:pt idx="378">
                  <c:v>4.5019045618294173E-4</c:v>
                </c:pt>
                <c:pt idx="379">
                  <c:v>4.4974786627077767E-4</c:v>
                </c:pt>
                <c:pt idx="380">
                  <c:v>4.4930855094904576E-4</c:v>
                </c:pt>
                <c:pt idx="381">
                  <c:v>4.488724804173061E-4</c:v>
                </c:pt>
                <c:pt idx="382">
                  <c:v>4.484396252664169E-4</c:v>
                </c:pt>
                <c:pt idx="383">
                  <c:v>4.480099564733997E-4</c:v>
                </c:pt>
                <c:pt idx="384">
                  <c:v>4.4758344539413963E-4</c:v>
                </c:pt>
                <c:pt idx="385">
                  <c:v>4.4716006375772333E-4</c:v>
                </c:pt>
                <c:pt idx="386">
                  <c:v>4.4673978365958322E-4</c:v>
                </c:pt>
                <c:pt idx="387">
                  <c:v>4.4632257755594651E-4</c:v>
                </c:pt>
                <c:pt idx="388">
                  <c:v>4.4590841825820071E-4</c:v>
                </c:pt>
                <c:pt idx="389">
                  <c:v>4.454972789258993E-4</c:v>
                </c:pt>
                <c:pt idx="390">
                  <c:v>4.4508913306240405E-4</c:v>
                </c:pt>
                <c:pt idx="391">
                  <c:v>4.4468395450891762E-4</c:v>
                </c:pt>
                <c:pt idx="392">
                  <c:v>4.4428171743829403E-4</c:v>
                </c:pt>
                <c:pt idx="393">
                  <c:v>4.4388239635070881E-4</c:v>
                </c:pt>
                <c:pt idx="394">
                  <c:v>4.4348596606783031E-4</c:v>
                </c:pt>
                <c:pt idx="395">
                  <c:v>4.4309240172835107E-4</c:v>
                </c:pt>
                <c:pt idx="396">
                  <c:v>4.4270167878102118E-4</c:v>
                </c:pt>
                <c:pt idx="397">
                  <c:v>4.4231377298281638E-4</c:v>
                </c:pt>
                <c:pt idx="398">
                  <c:v>4.4192866039119427E-4</c:v>
                </c:pt>
                <c:pt idx="399">
                  <c:v>4.4154631736065264E-4</c:v>
                </c:pt>
                <c:pt idx="400">
                  <c:v>4.4116672053859385E-4</c:v>
                </c:pt>
                <c:pt idx="401">
                  <c:v>4.4078984685941291E-4</c:v>
                </c:pt>
                <c:pt idx="402">
                  <c:v>4.4041567354036193E-4</c:v>
                </c:pt>
                <c:pt idx="403">
                  <c:v>4.4004417807874674E-4</c:v>
                </c:pt>
                <c:pt idx="404">
                  <c:v>4.3967533824490479E-4</c:v>
                </c:pt>
                <c:pt idx="405">
                  <c:v>4.3930913207992917E-4</c:v>
                </c:pt>
                <c:pt idx="406">
                  <c:v>4.3894553789133872E-4</c:v>
                </c:pt>
                <c:pt idx="407">
                  <c:v>4.3858453424788779E-4</c:v>
                </c:pt>
                <c:pt idx="408">
                  <c:v>4.3822609997667961E-4</c:v>
                </c:pt>
                <c:pt idx="409">
                  <c:v>4.3787021415900296E-4</c:v>
                </c:pt>
                <c:pt idx="410">
                  <c:v>4.3751685612578028E-4</c:v>
                </c:pt>
                <c:pt idx="411">
                  <c:v>4.3716600545459783E-4</c:v>
                </c:pt>
                <c:pt idx="412">
                  <c:v>4.3681764196587536E-4</c:v>
                </c:pt>
                <c:pt idx="413">
                  <c:v>4.3647174571884162E-4</c:v>
                </c:pt>
                <c:pt idx="414">
                  <c:v>4.3612829700781508E-4</c:v>
                </c:pt>
                <c:pt idx="415">
                  <c:v>4.3578727635990022E-4</c:v>
                </c:pt>
                <c:pt idx="416">
                  <c:v>4.3544866452999154E-4</c:v>
                </c:pt>
                <c:pt idx="417">
                  <c:v>4.3511244249794245E-4</c:v>
                </c:pt>
                <c:pt idx="418">
                  <c:v>4.3477859146576203E-4</c:v>
                </c:pt>
                <c:pt idx="419">
                  <c:v>4.3444709285378469E-4</c:v>
                </c:pt>
                <c:pt idx="420">
                  <c:v>4.3411792829764484E-4</c:v>
                </c:pt>
                <c:pt idx="421">
                  <c:v>4.3379107964491848E-4</c:v>
                </c:pt>
                <c:pt idx="422">
                  <c:v>4.3346652895262516E-4</c:v>
                </c:pt>
                <c:pt idx="423">
                  <c:v>4.3314425848295368E-4</c:v>
                </c:pt>
                <c:pt idx="424">
                  <c:v>4.3282425070192976E-4</c:v>
                </c:pt>
                <c:pt idx="425">
                  <c:v>4.3250648827547478E-4</c:v>
                </c:pt>
                <c:pt idx="426">
                  <c:v>4.3219095406596408E-4</c:v>
                </c:pt>
                <c:pt idx="427">
                  <c:v>4.3187763113122779E-4</c:v>
                </c:pt>
                <c:pt idx="428">
                  <c:v>4.3156650271969355E-4</c:v>
                </c:pt>
                <c:pt idx="429">
                  <c:v>4.3125755226910978E-4</c:v>
                </c:pt>
                <c:pt idx="430">
                  <c:v>4.3095076340360361E-4</c:v>
                </c:pt>
                <c:pt idx="431">
                  <c:v>4.3064611992976731E-4</c:v>
                </c:pt>
                <c:pt idx="432">
                  <c:v>4.3034360583646403E-4</c:v>
                </c:pt>
                <c:pt idx="433">
                  <c:v>4.3004320529013706E-4</c:v>
                </c:pt>
                <c:pt idx="434">
                  <c:v>9.6029370357034183E-4</c:v>
                </c:pt>
                <c:pt idx="435">
                  <c:v>9.5881721469393E-4</c:v>
                </c:pt>
                <c:pt idx="436">
                  <c:v>9.5736366778476079E-4</c:v>
                </c:pt>
                <c:pt idx="437">
                  <c:v>9.5593269028912409E-4</c:v>
                </c:pt>
                <c:pt idx="438">
                  <c:v>9.5452391869538245E-4</c:v>
                </c:pt>
                <c:pt idx="439">
                  <c:v>9.531369982572202E-4</c:v>
                </c:pt>
                <c:pt idx="440">
                  <c:v>9.517715827295492E-4</c:v>
                </c:pt>
                <c:pt idx="441">
                  <c:v>9.5042733411210278E-4</c:v>
                </c:pt>
                <c:pt idx="442">
                  <c:v>9.4910392240388219E-4</c:v>
                </c:pt>
                <c:pt idx="443">
                  <c:v>9.4780102536654032E-4</c:v>
                </c:pt>
                <c:pt idx="444">
                  <c:v>9.4651832829512061E-4</c:v>
                </c:pt>
                <c:pt idx="445">
                  <c:v>9.4525552379778888E-4</c:v>
                </c:pt>
                <c:pt idx="446">
                  <c:v>9.4401231158366961E-4</c:v>
                </c:pt>
                <c:pt idx="447">
                  <c:v>9.4278839825734373E-4</c:v>
                </c:pt>
                <c:pt idx="448">
                  <c:v>9.4158349712225586E-4</c:v>
                </c:pt>
                <c:pt idx="449">
                  <c:v>9.4039732798764653E-4</c:v>
                </c:pt>
                <c:pt idx="450">
                  <c:v>9.3922961698664209E-4</c:v>
                </c:pt>
                <c:pt idx="451">
                  <c:v>9.3808009639659296E-4</c:v>
                </c:pt>
                <c:pt idx="452">
                  <c:v>9.3694850446876532E-4</c:v>
                </c:pt>
                <c:pt idx="453">
                  <c:v>9.3583458526069752E-4</c:v>
                </c:pt>
                <c:pt idx="454">
                  <c:v>9.3473808847799322E-4</c:v>
                </c:pt>
                <c:pt idx="455">
                  <c:v>9.3365876931697511E-4</c:v>
                </c:pt>
                <c:pt idx="456">
                  <c:v>9.3259638831671987E-4</c:v>
                </c:pt>
                <c:pt idx="457">
                  <c:v>9.3155071121436839E-4</c:v>
                </c:pt>
                <c:pt idx="458">
                  <c:v>9.3052150880321149E-4</c:v>
                </c:pt>
                <c:pt idx="459">
                  <c:v>9.2950855679987954E-4</c:v>
                </c:pt>
                <c:pt idx="460">
                  <c:v>9.2851163571147644E-4</c:v>
                </c:pt>
                <c:pt idx="461">
                  <c:v>9.2753053070981917E-4</c:v>
                </c:pt>
                <c:pt idx="462">
                  <c:v>9.2656503150820302E-4</c:v>
                </c:pt>
                <c:pt idx="463">
                  <c:v>9.2561493224369018E-4</c:v>
                </c:pt>
                <c:pt idx="464">
                  <c:v>9.2468003136098043E-4</c:v>
                </c:pt>
                <c:pt idx="465">
                  <c:v>9.2376013150230474E-4</c:v>
                </c:pt>
                <c:pt idx="466">
                  <c:v>9.2285503939937286E-4</c:v>
                </c:pt>
                <c:pt idx="467">
                  <c:v>9.2196456576804087E-4</c:v>
                </c:pt>
                <c:pt idx="468">
                  <c:v>9.2108852520877971E-4</c:v>
                </c:pt>
                <c:pt idx="469">
                  <c:v>9.202267361082539E-4</c:v>
                </c:pt>
                <c:pt idx="470">
                  <c:v>9.1937902054300968E-4</c:v>
                </c:pt>
                <c:pt idx="471">
                  <c:v>9.1854520419015762E-4</c:v>
                </c:pt>
                <c:pt idx="472">
                  <c:v>9.1772511623527953E-4</c:v>
                </c:pt>
                <c:pt idx="473">
                  <c:v>9.1691858928777403E-4</c:v>
                </c:pt>
                <c:pt idx="474">
                  <c:v>9.1612545929686817E-4</c:v>
                </c:pt>
                <c:pt idx="475">
                  <c:v>9.1534556546918333E-4</c:v>
                </c:pt>
                <c:pt idx="476">
                  <c:v>9.1457875019113066E-4</c:v>
                </c:pt>
                <c:pt idx="477">
                  <c:v>9.1382485895108445E-4</c:v>
                </c:pt>
                <c:pt idx="478">
                  <c:v>9.1308374026610739E-4</c:v>
                </c:pt>
                <c:pt idx="479">
                  <c:v>9.1235524560917547E-4</c:v>
                </c:pt>
                <c:pt idx="480">
                  <c:v>9.1163922933934494E-4</c:v>
                </c:pt>
                <c:pt idx="481">
                  <c:v>9.1093554863364012E-4</c:v>
                </c:pt>
                <c:pt idx="482">
                  <c:v>9.1024406342182784E-4</c:v>
                </c:pt>
                <c:pt idx="483">
                  <c:v>9.0956463632035911E-4</c:v>
                </c:pt>
                <c:pt idx="484">
                  <c:v>9.088971325728612E-4</c:v>
                </c:pt>
                <c:pt idx="485">
                  <c:v>9.0824141998702146E-4</c:v>
                </c:pt>
                <c:pt idx="486">
                  <c:v>9.0759736887757736E-4</c:v>
                </c:pt>
                <c:pt idx="487">
                  <c:v>9.0696485200775223E-4</c:v>
                </c:pt>
                <c:pt idx="488">
                  <c:v>9.06343744535687E-4</c:v>
                </c:pt>
                <c:pt idx="489">
                  <c:v>9.0573392395831842E-4</c:v>
                </c:pt>
                <c:pt idx="490">
                  <c:v>9.0513527005992023E-4</c:v>
                </c:pt>
                <c:pt idx="491">
                  <c:v>9.0454766486214311E-4</c:v>
                </c:pt>
                <c:pt idx="492">
                  <c:v>9.0397099257177871E-4</c:v>
                </c:pt>
                <c:pt idx="493">
                  <c:v>9.03405139535296E-4</c:v>
                </c:pt>
                <c:pt idx="494">
                  <c:v>9.0284999419010248E-4</c:v>
                </c:pt>
                <c:pt idx="495">
                  <c:v>9.0230544701941362E-4</c:v>
                </c:pt>
                <c:pt idx="496">
                  <c:v>9.017713905081215E-4</c:v>
                </c:pt>
                <c:pt idx="497">
                  <c:v>9.0124771909888546E-4</c:v>
                </c:pt>
                <c:pt idx="498">
                  <c:v>9.0073432915133145E-4</c:v>
                </c:pt>
                <c:pt idx="499">
                  <c:v>9.0023111889914187E-4</c:v>
                </c:pt>
                <c:pt idx="500">
                  <c:v>8.997379884122525E-4</c:v>
                </c:pt>
                <c:pt idx="501">
                  <c:v>8.9925483955655139E-4</c:v>
                </c:pt>
                <c:pt idx="502">
                  <c:v>8.9878157595657537E-4</c:v>
                </c:pt>
                <c:pt idx="503">
                  <c:v>8.9831810295915027E-4</c:v>
                </c:pt>
                <c:pt idx="504">
                  <c:v>8.978643275967535E-4</c:v>
                </c:pt>
                <c:pt idx="505">
                  <c:v>8.9742015855343027E-4</c:v>
                </c:pt>
                <c:pt idx="506">
                  <c:v>8.9698550612998806E-4</c:v>
                </c:pt>
                <c:pt idx="507">
                  <c:v>8.9656028221118955E-4</c:v>
                </c:pt>
                <c:pt idx="508">
                  <c:v>8.961444002339447E-4</c:v>
                </c:pt>
                <c:pt idx="509">
                  <c:v>8.9573777515461472E-4</c:v>
                </c:pt>
                <c:pt idx="510">
                  <c:v>8.9534032342014624E-4</c:v>
                </c:pt>
                <c:pt idx="511">
                  <c:v>8.9495196293576385E-4</c:v>
                </c:pt>
                <c:pt idx="512">
                  <c:v>8.9457261303865776E-4</c:v>
                </c:pt>
                <c:pt idx="513">
                  <c:v>8.9420219446717519E-4</c:v>
                </c:pt>
                <c:pt idx="514">
                  <c:v>8.9384062933450803E-4</c:v>
                </c:pt>
                <c:pt idx="515">
                  <c:v>8.9348784110077073E-4</c:v>
                </c:pt>
                <c:pt idx="516">
                  <c:v>8.9314375454763173E-4</c:v>
                </c:pt>
                <c:pt idx="517">
                  <c:v>8.9280829575155707E-4</c:v>
                </c:pt>
                <c:pt idx="518">
                  <c:v>8.9248139205982957E-4</c:v>
                </c:pt>
                <c:pt idx="519">
                  <c:v>8.9216297206523576E-4</c:v>
                </c:pt>
                <c:pt idx="520">
                  <c:v>8.9185296558191851E-4</c:v>
                </c:pt>
                <c:pt idx="521">
                  <c:v>8.9155130362456037E-4</c:v>
                </c:pt>
                <c:pt idx="522">
                  <c:v>8.9125791838079449E-4</c:v>
                </c:pt>
                <c:pt idx="523">
                  <c:v>8.9097274319505093E-4</c:v>
                </c:pt>
                <c:pt idx="524">
                  <c:v>8.9069571254185576E-4</c:v>
                </c:pt>
                <c:pt idx="525">
                  <c:v>8.904267620071793E-4</c:v>
                </c:pt>
                <c:pt idx="526">
                  <c:v>8.901658282682301E-4</c:v>
                </c:pt>
                <c:pt idx="527">
                  <c:v>8.8991284907086188E-4</c:v>
                </c:pt>
                <c:pt idx="528">
                  <c:v>8.896677632130312E-4</c:v>
                </c:pt>
                <c:pt idx="529">
                  <c:v>8.8943051052325917E-4</c:v>
                </c:pt>
                <c:pt idx="530">
                  <c:v>8.8920103184220167E-4</c:v>
                </c:pt>
                <c:pt idx="531">
                  <c:v>8.8897926900566304E-4</c:v>
                </c:pt>
                <c:pt idx="532">
                  <c:v>8.8876516482538914E-4</c:v>
                </c:pt>
                <c:pt idx="533">
                  <c:v>8.8855866307263609E-4</c:v>
                </c:pt>
                <c:pt idx="534">
                  <c:v>8.8835970845907442E-4</c:v>
                </c:pt>
                <c:pt idx="535">
                  <c:v>8.8816824662313332E-4</c:v>
                </c:pt>
                <c:pt idx="536">
                  <c:v>8.8798422411129341E-4</c:v>
                </c:pt>
                <c:pt idx="537">
                  <c:v>8.8780758836298768E-4</c:v>
                </c:pt>
                <c:pt idx="538">
                  <c:v>8.8763828769489184E-4</c:v>
                </c:pt>
                <c:pt idx="539">
                  <c:v>8.8747627128660245E-4</c:v>
                </c:pt>
                <c:pt idx="540">
                  <c:v>8.8732148916359499E-4</c:v>
                </c:pt>
                <c:pt idx="541">
                  <c:v>8.8717389218539999E-4</c:v>
                </c:pt>
                <c:pt idx="542">
                  <c:v>8.8703343202956031E-4</c:v>
                </c:pt>
                <c:pt idx="543">
                  <c:v>8.8690006117819742E-4</c:v>
                </c:pt>
                <c:pt idx="544">
                  <c:v>8.8677373290424466E-4</c:v>
                </c:pt>
                <c:pt idx="545">
                  <c:v>8.8665440125912376E-4</c:v>
                </c:pt>
                <c:pt idx="546">
                  <c:v>8.8654202105847846E-4</c:v>
                </c:pt>
                <c:pt idx="547">
                  <c:v>8.8643654787023962E-4</c:v>
                </c:pt>
                <c:pt idx="548">
                  <c:v>8.8633793800141358E-4</c:v>
                </c:pt>
                <c:pt idx="549">
                  <c:v>8.8624614848797911E-4</c:v>
                </c:pt>
                <c:pt idx="550">
                  <c:v>8.861611370793443E-4</c:v>
                </c:pt>
                <c:pt idx="551">
                  <c:v>8.8608286223113009E-4</c:v>
                </c:pt>
                <c:pt idx="552">
                  <c:v>8.860112830902378E-4</c:v>
                </c:pt>
                <c:pt idx="553">
                  <c:v>8.8594635948552325E-4</c:v>
                </c:pt>
                <c:pt idx="554">
                  <c:v>8.858880519156398E-4</c:v>
                </c:pt>
                <c:pt idx="555">
                  <c:v>8.8583632154104475E-4</c:v>
                </c:pt>
                <c:pt idx="556">
                  <c:v>8.8579113016923339E-4</c:v>
                </c:pt>
                <c:pt idx="557">
                  <c:v>8.8575244024974298E-4</c:v>
                </c:pt>
                <c:pt idx="558">
                  <c:v>8.8572021485866514E-4</c:v>
                </c:pt>
                <c:pt idx="559">
                  <c:v>8.8569441769409396E-4</c:v>
                </c:pt>
                <c:pt idx="560">
                  <c:v>8.856750130624147E-4</c:v>
                </c:pt>
                <c:pt idx="561">
                  <c:v>8.8566196587147594E-4</c:v>
                </c:pt>
                <c:pt idx="562">
                  <c:v>8.8565524162048659E-4</c:v>
                </c:pt>
                <c:pt idx="563">
                  <c:v>8.8565480639102301E-4</c:v>
                </c:pt>
                <c:pt idx="564">
                  <c:v>8.8566062683831381E-4</c:v>
                </c:pt>
                <c:pt idx="565">
                  <c:v>8.8567267018319074E-4</c:v>
                </c:pt>
                <c:pt idx="566">
                  <c:v>8.8569090420254071E-4</c:v>
                </c:pt>
                <c:pt idx="567">
                  <c:v>8.8571529722158981E-4</c:v>
                </c:pt>
                <c:pt idx="568">
                  <c:v>8.8574581810713093E-4</c:v>
                </c:pt>
                <c:pt idx="569">
                  <c:v>8.8578243625686559E-4</c:v>
                </c:pt>
                <c:pt idx="570">
                  <c:v>8.8582512159451898E-4</c:v>
                </c:pt>
                <c:pt idx="571">
                  <c:v>8.8587384456045859E-4</c:v>
                </c:pt>
                <c:pt idx="572">
                  <c:v>8.8592857610381159E-4</c:v>
                </c:pt>
                <c:pt idx="573">
                  <c:v>8.8598928767830154E-4</c:v>
                </c:pt>
                <c:pt idx="574">
                  <c:v>8.8605595123081304E-4</c:v>
                </c:pt>
                <c:pt idx="575">
                  <c:v>8.8612853919783907E-4</c:v>
                </c:pt>
                <c:pt idx="576">
                  <c:v>8.8620702449732081E-4</c:v>
                </c:pt>
                <c:pt idx="577">
                  <c:v>8.8629138052087608E-4</c:v>
                </c:pt>
                <c:pt idx="578">
                  <c:v>8.8638158113002463E-4</c:v>
                </c:pt>
                <c:pt idx="579">
                  <c:v>8.864776006468067E-4</c:v>
                </c:pt>
                <c:pt idx="580">
                  <c:v>8.8657941384939765E-4</c:v>
                </c:pt>
                <c:pt idx="581">
                  <c:v>8.8668699596494704E-4</c:v>
                </c:pt>
                <c:pt idx="582">
                  <c:v>8.8680032266452713E-4</c:v>
                </c:pt>
                <c:pt idx="583">
                  <c:v>8.8691937005597188E-4</c:v>
                </c:pt>
                <c:pt idx="584">
                  <c:v>3.9705816917762204E-4</c:v>
                </c:pt>
                <c:pt idx="585">
                  <c:v>3.9708411619576722E-4</c:v>
                </c:pt>
                <c:pt idx="586">
                  <c:v>3.9711057083319234E-4</c:v>
                </c:pt>
                <c:pt idx="587">
                  <c:v>3.9713753218917347E-4</c:v>
                </c:pt>
                <c:pt idx="588">
                  <c:v>3.971649993701476E-4</c:v>
                </c:pt>
                <c:pt idx="589">
                  <c:v>3.9719297148926858E-4</c:v>
                </c:pt>
                <c:pt idx="590">
                  <c:v>3.9722144766851653E-4</c:v>
                </c:pt>
                <c:pt idx="591">
                  <c:v>3.9725042703531166E-4</c:v>
                </c:pt>
                <c:pt idx="592">
                  <c:v>3.9727990872578944E-4</c:v>
                </c:pt>
                <c:pt idx="593">
                  <c:v>3.973098918828577E-4</c:v>
                </c:pt>
                <c:pt idx="594">
                  <c:v>3.9734037565591906E-4</c:v>
                </c:pt>
                <c:pt idx="595">
                  <c:v>3.9737135920314692E-4</c:v>
                </c:pt>
                <c:pt idx="596">
                  <c:v>3.9740284168776618E-4</c:v>
                </c:pt>
                <c:pt idx="597">
                  <c:v>3.974348222822166E-4</c:v>
                </c:pt>
                <c:pt idx="598">
                  <c:v>3.9746730016410048E-4</c:v>
                </c:pt>
                <c:pt idx="599">
                  <c:v>3.9750027451873615E-4</c:v>
                </c:pt>
                <c:pt idx="600">
                  <c:v>3.9753374453921353E-4</c:v>
                </c:pt>
                <c:pt idx="601">
                  <c:v>3.9756770942367403E-4</c:v>
                </c:pt>
                <c:pt idx="602">
                  <c:v>3.9760216837941842E-4</c:v>
                </c:pt>
                <c:pt idx="603">
                  <c:v>3.9763712061813283E-4</c:v>
                </c:pt>
                <c:pt idx="604">
                  <c:v>3.9767256536049622E-4</c:v>
                </c:pt>
                <c:pt idx="605">
                  <c:v>3.9770850183257211E-4</c:v>
                </c:pt>
                <c:pt idx="606">
                  <c:v>3.9774492926741845E-4</c:v>
                </c:pt>
                <c:pt idx="607">
                  <c:v>3.9778184690525409E-4</c:v>
                </c:pt>
                <c:pt idx="608">
                  <c:v>3.9781925399229312E-4</c:v>
                </c:pt>
                <c:pt idx="609">
                  <c:v>3.9785714978168851E-4</c:v>
                </c:pt>
                <c:pt idx="610">
                  <c:v>3.9789553353358764E-4</c:v>
                </c:pt>
                <c:pt idx="611">
                  <c:v>3.9793440451352247E-4</c:v>
                </c:pt>
                <c:pt idx="612">
                  <c:v>3.9797376199490753E-4</c:v>
                </c:pt>
                <c:pt idx="613">
                  <c:v>3.9801360525620888E-4</c:v>
                </c:pt>
                <c:pt idx="614">
                  <c:v>3.9805393358399721E-4</c:v>
                </c:pt>
                <c:pt idx="615">
                  <c:v>3.9809474626945063E-4</c:v>
                </c:pt>
                <c:pt idx="616">
                  <c:v>3.9813604261168534E-4</c:v>
                </c:pt>
                <c:pt idx="617">
                  <c:v>3.9817782191481355E-4</c:v>
                </c:pt>
                <c:pt idx="618">
                  <c:v>3.9822008349049698E-4</c:v>
                </c:pt>
                <c:pt idx="619">
                  <c:v>3.9826282665583745E-4</c:v>
                </c:pt>
                <c:pt idx="620">
                  <c:v>3.9830605073409853E-4</c:v>
                </c:pt>
                <c:pt idx="621">
                  <c:v>3.9834975505542713E-4</c:v>
                </c:pt>
                <c:pt idx="622">
                  <c:v>3.983939389553548E-4</c:v>
                </c:pt>
                <c:pt idx="623">
                  <c:v>3.9843860177651846E-4</c:v>
                </c:pt>
                <c:pt idx="624">
                  <c:v>3.9848374286638455E-4</c:v>
                </c:pt>
                <c:pt idx="625">
                  <c:v>3.9852936157996899E-4</c:v>
                </c:pt>
                <c:pt idx="626">
                  <c:v>3.9857545727678412E-4</c:v>
                </c:pt>
                <c:pt idx="627">
                  <c:v>3.9862202932372526E-4</c:v>
                </c:pt>
                <c:pt idx="628">
                  <c:v>3.9866907709268373E-4</c:v>
                </c:pt>
                <c:pt idx="629">
                  <c:v>3.9871659996254527E-4</c:v>
                </c:pt>
                <c:pt idx="630">
                  <c:v>3.9876459731652547E-4</c:v>
                </c:pt>
                <c:pt idx="631">
                  <c:v>3.9881306854544496E-4</c:v>
                </c:pt>
                <c:pt idx="632">
                  <c:v>3.9886201304484281E-4</c:v>
                </c:pt>
                <c:pt idx="633">
                  <c:v>3.9891143021703046E-4</c:v>
                </c:pt>
                <c:pt idx="634">
                  <c:v>3.989613194685937E-4</c:v>
                </c:pt>
                <c:pt idx="635">
                  <c:v>3.9901168021372335E-4</c:v>
                </c:pt>
                <c:pt idx="636">
                  <c:v>3.990625118713842E-4</c:v>
                </c:pt>
                <c:pt idx="637">
                  <c:v>3.9911381386614764E-4</c:v>
                </c:pt>
                <c:pt idx="638">
                  <c:v>3.991655856286358E-4</c:v>
                </c:pt>
                <c:pt idx="639">
                  <c:v>3.9921782659513294E-4</c:v>
                </c:pt>
                <c:pt idx="640">
                  <c:v>3.9927053620741892E-4</c:v>
                </c:pt>
                <c:pt idx="641">
                  <c:v>3.9932371391260268E-4</c:v>
                </c:pt>
                <c:pt idx="642">
                  <c:v>3.9937735916462103E-4</c:v>
                </c:pt>
                <c:pt idx="643">
                  <c:v>3.9943147142113E-4</c:v>
                </c:pt>
                <c:pt idx="644">
                  <c:v>3.9948605014616945E-4</c:v>
                </c:pt>
                <c:pt idx="645">
                  <c:v>3.9954109481055156E-4</c:v>
                </c:pt>
                <c:pt idx="646">
                  <c:v>3.9959660488808613E-4</c:v>
                </c:pt>
                <c:pt idx="647">
                  <c:v>3.9965257985996594E-4</c:v>
                </c:pt>
                <c:pt idx="648">
                  <c:v>3.9970901921215773E-4</c:v>
                </c:pt>
                <c:pt idx="649">
                  <c:v>3.9976592243579079E-4</c:v>
                </c:pt>
                <c:pt idx="650">
                  <c:v>3.9982328902787856E-4</c:v>
                </c:pt>
                <c:pt idx="651">
                  <c:v>3.9988111849065255E-4</c:v>
                </c:pt>
                <c:pt idx="652">
                  <c:v>3.9993941033117375E-4</c:v>
                </c:pt>
                <c:pt idx="653">
                  <c:v>3.9999816406277588E-4</c:v>
                </c:pt>
                <c:pt idx="654">
                  <c:v>4.0005737920317808E-4</c:v>
                </c:pt>
                <c:pt idx="655">
                  <c:v>4.00117055275373E-4</c:v>
                </c:pt>
                <c:pt idx="656">
                  <c:v>4.0017719180851508E-4</c:v>
                </c:pt>
                <c:pt idx="657">
                  <c:v>4.0023778833619961E-4</c:v>
                </c:pt>
                <c:pt idx="658">
                  <c:v>4.0029884439729546E-4</c:v>
                </c:pt>
                <c:pt idx="659">
                  <c:v>4.00360359535612E-4</c:v>
                </c:pt>
                <c:pt idx="660">
                  <c:v>4.004223333010648E-4</c:v>
                </c:pt>
                <c:pt idx="661">
                  <c:v>4.0048476524762178E-4</c:v>
                </c:pt>
                <c:pt idx="662">
                  <c:v>4.0054765493452438E-4</c:v>
                </c:pt>
                <c:pt idx="663">
                  <c:v>4.0061100192695376E-4</c:v>
                </c:pt>
                <c:pt idx="664">
                  <c:v>4.0067480579425441E-4</c:v>
                </c:pt>
                <c:pt idx="665">
                  <c:v>4.0073906611093335E-4</c:v>
                </c:pt>
                <c:pt idx="666">
                  <c:v>4.0080378245621606E-4</c:v>
                </c:pt>
                <c:pt idx="667">
                  <c:v>4.0086895441604486E-4</c:v>
                </c:pt>
                <c:pt idx="668">
                  <c:v>4.0093458157886008E-4</c:v>
                </c:pt>
                <c:pt idx="669">
                  <c:v>4.0100066353959685E-4</c:v>
                </c:pt>
                <c:pt idx="670">
                  <c:v>4.010671998977422E-4</c:v>
                </c:pt>
                <c:pt idx="671">
                  <c:v>4.0113419025777919E-4</c:v>
                </c:pt>
                <c:pt idx="672">
                  <c:v>4.0120163422896482E-4</c:v>
                </c:pt>
                <c:pt idx="673">
                  <c:v>4.0126953142516353E-4</c:v>
                </c:pt>
                <c:pt idx="674">
                  <c:v>4.0133788146545779E-4</c:v>
                </c:pt>
                <c:pt idx="675">
                  <c:v>4.0140668397403712E-4</c:v>
                </c:pt>
                <c:pt idx="676">
                  <c:v>4.0147593857914332E-4</c:v>
                </c:pt>
                <c:pt idx="677">
                  <c:v>4.0154564491468037E-4</c:v>
                </c:pt>
                <c:pt idx="678">
                  <c:v>4.0161580261766083E-4</c:v>
                </c:pt>
                <c:pt idx="679">
                  <c:v>4.0168641133214722E-4</c:v>
                </c:pt>
                <c:pt idx="680">
                  <c:v>4.0175747070575474E-4</c:v>
                </c:pt>
                <c:pt idx="681">
                  <c:v>4.018289803900954E-4</c:v>
                </c:pt>
                <c:pt idx="682">
                  <c:v>4.0190094004283194E-4</c:v>
                </c:pt>
                <c:pt idx="683">
                  <c:v>4.0197334932529083E-4</c:v>
                </c:pt>
                <c:pt idx="684">
                  <c:v>4.0204620790440515E-4</c:v>
                </c:pt>
                <c:pt idx="685">
                  <c:v>4.0211951545054969E-4</c:v>
                </c:pt>
                <c:pt idx="686">
                  <c:v>4.0219327163970586E-4</c:v>
                </c:pt>
                <c:pt idx="687">
                  <c:v>4.0226747615218494E-4</c:v>
                </c:pt>
                <c:pt idx="688">
                  <c:v>4.0234212867273911E-4</c:v>
                </c:pt>
                <c:pt idx="689">
                  <c:v>4.024172288904504E-4</c:v>
                </c:pt>
                <c:pt idx="690">
                  <c:v>4.024927764996189E-4</c:v>
                </c:pt>
                <c:pt idx="691">
                  <c:v>4.0256877119876355E-4</c:v>
                </c:pt>
                <c:pt idx="692">
                  <c:v>4.0264521269045561E-4</c:v>
                </c:pt>
                <c:pt idx="693">
                  <c:v>4.0272210068287295E-4</c:v>
                </c:pt>
                <c:pt idx="694">
                  <c:v>4.0279943488702452E-4</c:v>
                </c:pt>
                <c:pt idx="695">
                  <c:v>4.0287721502019203E-4</c:v>
                </c:pt>
                <c:pt idx="696">
                  <c:v>4.0295544080282131E-4</c:v>
                </c:pt>
                <c:pt idx="697">
                  <c:v>4.0303411196040972E-4</c:v>
                </c:pt>
                <c:pt idx="698">
                  <c:v>4.031132282227845E-4</c:v>
                </c:pt>
                <c:pt idx="699">
                  <c:v>4.0319278932360314E-4</c:v>
                </c:pt>
                <c:pt idx="700">
                  <c:v>4.0327279500163016E-4</c:v>
                </c:pt>
                <c:pt idx="701">
                  <c:v>4.0335324500007097E-4</c:v>
                </c:pt>
                <c:pt idx="702">
                  <c:v>4.0343413906601677E-4</c:v>
                </c:pt>
                <c:pt idx="703">
                  <c:v>4.0351547695094414E-4</c:v>
                </c:pt>
                <c:pt idx="704">
                  <c:v>4.0359725841027094E-4</c:v>
                </c:pt>
                <c:pt idx="705">
                  <c:v>4.0367948320535474E-4</c:v>
                </c:pt>
                <c:pt idx="706">
                  <c:v>4.0376215109966251E-4</c:v>
                </c:pt>
                <c:pt idx="707">
                  <c:v>4.0384526186254543E-4</c:v>
                </c:pt>
                <c:pt idx="708">
                  <c:v>4.0392881526679636E-4</c:v>
                </c:pt>
                <c:pt idx="709">
                  <c:v>4.0401281109014864E-4</c:v>
                </c:pt>
                <c:pt idx="710">
                  <c:v>4.040972491132222E-4</c:v>
                </c:pt>
                <c:pt idx="711">
                  <c:v>4.0418212912307627E-4</c:v>
                </c:pt>
                <c:pt idx="712">
                  <c:v>4.0426745090893501E-4</c:v>
                </c:pt>
                <c:pt idx="713">
                  <c:v>4.0435321426457449E-4</c:v>
                </c:pt>
                <c:pt idx="714">
                  <c:v>4.0443941898904434E-4</c:v>
                </c:pt>
                <c:pt idx="715">
                  <c:v>4.0452606488516896E-4</c:v>
                </c:pt>
                <c:pt idx="716">
                  <c:v>4.0461315175832624E-4</c:v>
                </c:pt>
                <c:pt idx="717">
                  <c:v>4.0470067942066645E-4</c:v>
                </c:pt>
                <c:pt idx="718">
                  <c:v>4.0478864768622724E-4</c:v>
                </c:pt>
                <c:pt idx="719">
                  <c:v>4.0487705637481941E-4</c:v>
                </c:pt>
                <c:pt idx="720">
                  <c:v>4.0496590530908483E-4</c:v>
                </c:pt>
                <c:pt idx="721">
                  <c:v>4.0505519431671688E-4</c:v>
                </c:pt>
                <c:pt idx="722">
                  <c:v>4.0514492322835105E-4</c:v>
                </c:pt>
                <c:pt idx="723">
                  <c:v>4.0523509188000739E-4</c:v>
                </c:pt>
                <c:pt idx="724">
                  <c:v>4.0532570011103664E-4</c:v>
                </c:pt>
                <c:pt idx="725">
                  <c:v>4.0541674776500836E-4</c:v>
                </c:pt>
                <c:pt idx="726">
                  <c:v>4.055082346888228E-4</c:v>
                </c:pt>
                <c:pt idx="727">
                  <c:v>4.0560016073493133E-4</c:v>
                </c:pt>
                <c:pt idx="728">
                  <c:v>4.0569252575833881E-4</c:v>
                </c:pt>
                <c:pt idx="729">
                  <c:v>4.0578532961865754E-4</c:v>
                </c:pt>
                <c:pt idx="730">
                  <c:v>4.0587857217960766E-4</c:v>
                </c:pt>
                <c:pt idx="731">
                  <c:v>4.0597225330818443E-4</c:v>
                </c:pt>
                <c:pt idx="732">
                  <c:v>4.0606637287643466E-4</c:v>
                </c:pt>
                <c:pt idx="733">
                  <c:v>4.0616093075940274E-4</c:v>
                </c:pt>
                <c:pt idx="734">
                  <c:v>4.0625592683662948E-4</c:v>
                </c:pt>
                <c:pt idx="735">
                  <c:v>4.0635136099104185E-4</c:v>
                </c:pt>
                <c:pt idx="736">
                  <c:v>9.0798487872384426E-4</c:v>
                </c:pt>
                <c:pt idx="737">
                  <c:v>9.0846640644010046E-4</c:v>
                </c:pt>
                <c:pt idx="738">
                  <c:v>9.0895281332464828E-4</c:v>
                </c:pt>
                <c:pt idx="739">
                  <c:v>9.0944409699250661E-4</c:v>
                </c:pt>
                <c:pt idx="740">
                  <c:v>9.09940255273467E-4</c:v>
                </c:pt>
                <c:pt idx="741">
                  <c:v>9.1044128620887399E-4</c:v>
                </c:pt>
                <c:pt idx="742">
                  <c:v>9.1094718805423414E-4</c:v>
                </c:pt>
                <c:pt idx="743">
                  <c:v>9.1145795927322082E-4</c:v>
                </c:pt>
                <c:pt idx="744">
                  <c:v>9.1197359854133797E-4</c:v>
                </c:pt>
                <c:pt idx="745">
                  <c:v>9.1249410474164572E-4</c:v>
                </c:pt>
                <c:pt idx="746">
                  <c:v>9.1301947696464936E-4</c:v>
                </c:pt>
                <c:pt idx="747">
                  <c:v>9.1354971450685607E-4</c:v>
                </c:pt>
                <c:pt idx="748">
                  <c:v>9.1408481687127452E-4</c:v>
                </c:pt>
                <c:pt idx="749">
                  <c:v>9.1462478376336254E-4</c:v>
                </c:pt>
                <c:pt idx="750">
                  <c:v>9.1516961509385819E-4</c:v>
                </c:pt>
                <c:pt idx="751">
                  <c:v>9.1571931097450543E-4</c:v>
                </c:pt>
                <c:pt idx="752">
                  <c:v>9.162738717191643E-4</c:v>
                </c:pt>
                <c:pt idx="753">
                  <c:v>9.1683329784247869E-4</c:v>
                </c:pt>
                <c:pt idx="754">
                  <c:v>9.1739759005848853E-4</c:v>
                </c:pt>
                <c:pt idx="755">
                  <c:v>9.179667492795196E-4</c:v>
                </c:pt>
                <c:pt idx="756">
                  <c:v>9.1854077661751576E-4</c:v>
                </c:pt>
                <c:pt idx="757">
                  <c:v>9.1911967338015321E-4</c:v>
                </c:pt>
                <c:pt idx="758">
                  <c:v>9.1970344107267232E-4</c:v>
                </c:pt>
                <c:pt idx="759">
                  <c:v>9.2029208139643437E-4</c:v>
                </c:pt>
                <c:pt idx="760">
                  <c:v>9.2088559624575739E-4</c:v>
                </c:pt>
                <c:pt idx="761">
                  <c:v>9.2148398771241258E-4</c:v>
                </c:pt>
                <c:pt idx="762">
                  <c:v>9.2208725807940706E-4</c:v>
                </c:pt>
                <c:pt idx="763">
                  <c:v>9.2269540982453657E-4</c:v>
                </c:pt>
                <c:pt idx="764">
                  <c:v>9.233084456173879E-4</c:v>
                </c:pt>
                <c:pt idx="765">
                  <c:v>9.239263683191723E-4</c:v>
                </c:pt>
                <c:pt idx="766">
                  <c:v>9.2454918098283656E-4</c:v>
                </c:pt>
                <c:pt idx="767">
                  <c:v>9.2517688685295196E-4</c:v>
                </c:pt>
                <c:pt idx="768">
                  <c:v>9.2580948936299423E-4</c:v>
                </c:pt>
                <c:pt idx="769">
                  <c:v>9.2644699213678683E-4</c:v>
                </c:pt>
                <c:pt idx="770">
                  <c:v>9.2708939898783482E-4</c:v>
                </c:pt>
                <c:pt idx="771">
                  <c:v>9.2773671391827017E-4</c:v>
                </c:pt>
                <c:pt idx="772">
                  <c:v>9.2838894111874071E-4</c:v>
                </c:pt>
                <c:pt idx="773">
                  <c:v>9.2904608496774399E-4</c:v>
                </c:pt>
                <c:pt idx="774">
                  <c:v>9.2970815003179386E-4</c:v>
                </c:pt>
                <c:pt idx="775">
                  <c:v>9.3037514106480979E-4</c:v>
                </c:pt>
                <c:pt idx="776">
                  <c:v>9.3104706300656259E-4</c:v>
                </c:pt>
                <c:pt idx="777">
                  <c:v>9.3172392098533896E-4</c:v>
                </c:pt>
                <c:pt idx="778">
                  <c:v>9.3240572031438873E-4</c:v>
                </c:pt>
                <c:pt idx="779">
                  <c:v>9.3309246649353472E-4</c:v>
                </c:pt>
                <c:pt idx="780">
                  <c:v>9.3378416520784047E-4</c:v>
                </c:pt>
                <c:pt idx="781">
                  <c:v>9.3448082232910901E-4</c:v>
                </c:pt>
                <c:pt idx="782">
                  <c:v>9.3518244391355143E-4</c:v>
                </c:pt>
                <c:pt idx="783">
                  <c:v>9.3588903620328567E-4</c:v>
                </c:pt>
                <c:pt idx="784">
                  <c:v>9.3660060562433811E-4</c:v>
                </c:pt>
                <c:pt idx="785">
                  <c:v>9.3731715878886401E-4</c:v>
                </c:pt>
                <c:pt idx="786">
                  <c:v>9.3803870249253851E-4</c:v>
                </c:pt>
                <c:pt idx="787">
                  <c:v>9.3876524371672154E-4</c:v>
                </c:pt>
                <c:pt idx="788">
                  <c:v>9.3949678962690353E-4</c:v>
                </c:pt>
                <c:pt idx="789">
                  <c:v>9.4023334757237231E-4</c:v>
                </c:pt>
                <c:pt idx="790">
                  <c:v>9.4097492508793401E-4</c:v>
                </c:pt>
                <c:pt idx="791">
                  <c:v>9.4172152989180358E-4</c:v>
                </c:pt>
                <c:pt idx="792">
                  <c:v>9.4247316988677055E-4</c:v>
                </c:pt>
                <c:pt idx="793">
                  <c:v>9.4322985315997698E-4</c:v>
                </c:pt>
                <c:pt idx="794">
                  <c:v>9.4399158798363914E-4</c:v>
                </c:pt>
                <c:pt idx="795">
                  <c:v>9.44758382812938E-4</c:v>
                </c:pt>
                <c:pt idx="796">
                  <c:v>9.4553024628835081E-4</c:v>
                </c:pt>
                <c:pt idx="797">
                  <c:v>9.4630718723576202E-4</c:v>
                </c:pt>
                <c:pt idx="798">
                  <c:v>9.4708921466335472E-4</c:v>
                </c:pt>
                <c:pt idx="799">
                  <c:v>9.47876337765996E-4</c:v>
                </c:pt>
                <c:pt idx="800">
                  <c:v>9.486685659234606E-4</c:v>
                </c:pt>
                <c:pt idx="801">
                  <c:v>9.4946590869932068E-4</c:v>
                </c:pt>
                <c:pt idx="802">
                  <c:v>9.5026837584305524E-4</c:v>
                </c:pt>
                <c:pt idx="803">
                  <c:v>9.5107597728938398E-4</c:v>
                </c:pt>
                <c:pt idx="804">
                  <c:v>9.5188872315982165E-4</c:v>
                </c:pt>
                <c:pt idx="805">
                  <c:v>9.5270662375912529E-4</c:v>
                </c:pt>
                <c:pt idx="806">
                  <c:v>9.535296895804013E-4</c:v>
                </c:pt>
                <c:pt idx="807">
                  <c:v>9.5435793130282942E-4</c:v>
                </c:pt>
                <c:pt idx="808">
                  <c:v>9.5519135979088565E-4</c:v>
                </c:pt>
                <c:pt idx="809">
                  <c:v>9.5602998609761736E-4</c:v>
                </c:pt>
                <c:pt idx="810">
                  <c:v>9.5687382146220079E-4</c:v>
                </c:pt>
                <c:pt idx="811">
                  <c:v>9.5772287731177297E-4</c:v>
                </c:pt>
                <c:pt idx="812">
                  <c:v>9.5857716526182024E-4</c:v>
                </c:pt>
                <c:pt idx="813">
                  <c:v>9.5943669711506807E-4</c:v>
                </c:pt>
                <c:pt idx="814">
                  <c:v>9.6030148486475619E-4</c:v>
                </c:pt>
                <c:pt idx="815">
                  <c:v>9.6117154069103039E-4</c:v>
                </c:pt>
                <c:pt idx="816">
                  <c:v>9.6204687696593849E-4</c:v>
                </c:pt>
                <c:pt idx="817">
                  <c:v>9.6292750624921153E-4</c:v>
                </c:pt>
                <c:pt idx="818">
                  <c:v>9.638134412930377E-4</c:v>
                </c:pt>
                <c:pt idx="819">
                  <c:v>9.6470469503939782E-4</c:v>
                </c:pt>
                <c:pt idx="820">
                  <c:v>9.6560128062195272E-4</c:v>
                </c:pt>
                <c:pt idx="821">
                  <c:v>9.6650321136715345E-4</c:v>
                </c:pt>
                <c:pt idx="822">
                  <c:v>9.6741050079274249E-4</c:v>
                </c:pt>
                <c:pt idx="823">
                  <c:v>9.683231626099742E-4</c:v>
                </c:pt>
                <c:pt idx="824">
                  <c:v>9.6924121072439196E-4</c:v>
                </c:pt>
                <c:pt idx="825">
                  <c:v>9.7016465923538409E-4</c:v>
                </c:pt>
                <c:pt idx="826">
                  <c:v>9.7109352243673897E-4</c:v>
                </c:pt>
                <c:pt idx="827">
                  <c:v>9.7202781481831035E-4</c:v>
                </c:pt>
                <c:pt idx="828">
                  <c:v>9.7296755106646149E-4</c:v>
                </c:pt>
                <c:pt idx="829">
                  <c:v>9.7391274606284384E-4</c:v>
                </c:pt>
                <c:pt idx="830">
                  <c:v>9.7486341488883799E-4</c:v>
                </c:pt>
                <c:pt idx="831">
                  <c:v>9.7581957282255605E-4</c:v>
                </c:pt>
                <c:pt idx="832">
                  <c:v>9.76781235340618E-4</c:v>
                </c:pt>
                <c:pt idx="833">
                  <c:v>9.777484181210383E-4</c:v>
                </c:pt>
                <c:pt idx="834">
                  <c:v>9.7872113704078334E-4</c:v>
                </c:pt>
                <c:pt idx="835">
                  <c:v>9.7969940817888013E-4</c:v>
                </c:pt>
                <c:pt idx="836">
                  <c:v>9.8068324781608318E-4</c:v>
                </c:pt>
                <c:pt idx="837">
                  <c:v>9.8167267243576273E-4</c:v>
                </c:pt>
                <c:pt idx="838">
                  <c:v>9.8266769872568105E-4</c:v>
                </c:pt>
                <c:pt idx="839">
                  <c:v>9.8366834357743738E-4</c:v>
                </c:pt>
                <c:pt idx="840">
                  <c:v>9.8467462408868833E-4</c:v>
                </c:pt>
                <c:pt idx="841">
                  <c:v>9.856865575624818E-4</c:v>
                </c:pt>
                <c:pt idx="842">
                  <c:v>9.8670416150981044E-4</c:v>
                </c:pt>
                <c:pt idx="843">
                  <c:v>9.8772745365027781E-4</c:v>
                </c:pt>
                <c:pt idx="844">
                  <c:v>9.8875645191154327E-4</c:v>
                </c:pt>
                <c:pt idx="845">
                  <c:v>9.8979117443209752E-4</c:v>
                </c:pt>
                <c:pt idx="846">
                  <c:v>9.9083163956137366E-4</c:v>
                </c:pt>
                <c:pt idx="847">
                  <c:v>9.9187786586052429E-4</c:v>
                </c:pt>
                <c:pt idx="848">
                  <c:v>9.929298721040869E-4</c:v>
                </c:pt>
                <c:pt idx="849">
                  <c:v>9.9398767728187121E-4</c:v>
                </c:pt>
                <c:pt idx="850">
                  <c:v>9.9505130059696079E-4</c:v>
                </c:pt>
                <c:pt idx="851">
                  <c:v>9.9612076147026496E-4</c:v>
                </c:pt>
                <c:pt idx="852">
                  <c:v>9.9719607953963063E-4</c:v>
                </c:pt>
                <c:pt idx="853">
                  <c:v>9.9827727466184069E-4</c:v>
                </c:pt>
                <c:pt idx="854">
                  <c:v>9.9936436691294706E-4</c:v>
                </c:pt>
                <c:pt idx="855">
                  <c:v>1.0004573765910463E-3</c:v>
                </c:pt>
                <c:pt idx="856">
                  <c:v>1.0015563242149472E-3</c:v>
                </c:pt>
                <c:pt idx="857">
                  <c:v>1.0026612305275018E-3</c:v>
                </c:pt>
                <c:pt idx="858">
                  <c:v>1.003772116496493E-3</c:v>
                </c:pt>
                <c:pt idx="859">
                  <c:v>1.0048890033150792E-3</c:v>
                </c:pt>
                <c:pt idx="860">
                  <c:v>1.0060119124045697E-3</c:v>
                </c:pt>
                <c:pt idx="861">
                  <c:v>1.00714086541287E-3</c:v>
                </c:pt>
                <c:pt idx="862">
                  <c:v>1.0082758842194783E-3</c:v>
                </c:pt>
                <c:pt idx="863">
                  <c:v>1.0094169909345974E-3</c:v>
                </c:pt>
                <c:pt idx="864">
                  <c:v>1.0105642079004662E-3</c:v>
                </c:pt>
                <c:pt idx="865">
                  <c:v>1.011717557693248E-3</c:v>
                </c:pt>
                <c:pt idx="866">
                  <c:v>1.0128770631252504E-3</c:v>
                </c:pt>
                <c:pt idx="867">
                  <c:v>1.0140427472447033E-3</c:v>
                </c:pt>
                <c:pt idx="868">
                  <c:v>1.0152146333392009E-3</c:v>
                </c:pt>
                <c:pt idx="869">
                  <c:v>1.016392744933925E-3</c:v>
                </c:pt>
                <c:pt idx="870">
                  <c:v>1.0175771057981953E-3</c:v>
                </c:pt>
                <c:pt idx="871">
                  <c:v>1.018767739941806E-3</c:v>
                </c:pt>
                <c:pt idx="872">
                  <c:v>1.0199646716197996E-3</c:v>
                </c:pt>
                <c:pt idx="873">
                  <c:v>1.0211679253329109E-3</c:v>
                </c:pt>
                <c:pt idx="874">
                  <c:v>1.0223775258302314E-3</c:v>
                </c:pt>
                <c:pt idx="875">
                  <c:v>1.0235934981088768E-3</c:v>
                </c:pt>
                <c:pt idx="876">
                  <c:v>1.0248158674165397E-3</c:v>
                </c:pt>
                <c:pt idx="877">
                  <c:v>1.0260446592555983E-3</c:v>
                </c:pt>
                <c:pt idx="878">
                  <c:v>1.0272798993797849E-3</c:v>
                </c:pt>
                <c:pt idx="879">
                  <c:v>1.0285216138006259E-3</c:v>
                </c:pt>
                <c:pt idx="880">
                  <c:v>1.0297698287875523E-3</c:v>
                </c:pt>
                <c:pt idx="881">
                  <c:v>1.0310245708673449E-3</c:v>
                </c:pt>
                <c:pt idx="882">
                  <c:v>1.0322858668307955E-3</c:v>
                </c:pt>
                <c:pt idx="883">
                  <c:v>1.0335537437299314E-3</c:v>
                </c:pt>
                <c:pt idx="884">
                  <c:v>4.6324371665551478E-4</c:v>
                </c:pt>
                <c:pt idx="885">
                  <c:v>4.6350018310803431E-4</c:v>
                </c:pt>
                <c:pt idx="886">
                  <c:v>4.6375724637948146E-4</c:v>
                </c:pt>
                <c:pt idx="887">
                  <c:v>4.6401490759395703E-4</c:v>
                </c:pt>
                <c:pt idx="888">
                  <c:v>4.6427316787811534E-4</c:v>
                </c:pt>
                <c:pt idx="889">
                  <c:v>4.6453202836427288E-4</c:v>
                </c:pt>
                <c:pt idx="890">
                  <c:v>4.6479149018974208E-4</c:v>
                </c:pt>
                <c:pt idx="891">
                  <c:v>4.6505155449694247E-4</c:v>
                </c:pt>
                <c:pt idx="892">
                  <c:v>4.6531222243240133E-4</c:v>
                </c:pt>
                <c:pt idx="893">
                  <c:v>4.6557349514797508E-4</c:v>
                </c:pt>
                <c:pt idx="894">
                  <c:v>4.6583537380173734E-4</c:v>
                </c:pt>
                <c:pt idx="895">
                  <c:v>4.6609785955431526E-4</c:v>
                </c:pt>
                <c:pt idx="896">
                  <c:v>4.6636095357410756E-4</c:v>
                </c:pt>
                <c:pt idx="897">
                  <c:v>4.6662465703173339E-4</c:v>
                </c:pt>
                <c:pt idx="898">
                  <c:v>4.6688897110469529E-4</c:v>
                </c:pt>
                <c:pt idx="899">
                  <c:v>4.6715389697571386E-4</c:v>
                </c:pt>
                <c:pt idx="900">
                  <c:v>4.674194358311734E-4</c:v>
                </c:pt>
                <c:pt idx="901">
                  <c:v>4.6768558886334244E-4</c:v>
                </c:pt>
                <c:pt idx="902">
                  <c:v>4.6795235726981854E-4</c:v>
                </c:pt>
                <c:pt idx="903">
                  <c:v>4.6821974225297325E-4</c:v>
                </c:pt>
                <c:pt idx="904">
                  <c:v>4.684877450201741E-4</c:v>
                </c:pt>
                <c:pt idx="905">
                  <c:v>4.687563667851169E-4</c:v>
                </c:pt>
                <c:pt idx="906">
                  <c:v>4.6902560876449506E-4</c:v>
                </c:pt>
                <c:pt idx="907">
                  <c:v>4.6929547218188539E-4</c:v>
                </c:pt>
                <c:pt idx="908">
                  <c:v>4.6956595826552761E-4</c:v>
                </c:pt>
                <c:pt idx="909">
                  <c:v>4.6983706824921256E-4</c:v>
                </c:pt>
                <c:pt idx="910">
                  <c:v>4.7010880337194916E-4</c:v>
                </c:pt>
                <c:pt idx="911">
                  <c:v>4.7038116487718717E-4</c:v>
                </c:pt>
                <c:pt idx="912">
                  <c:v>4.7065415401437161E-4</c:v>
                </c:pt>
                <c:pt idx="913">
                  <c:v>4.7092777203883163E-4</c:v>
                </c:pt>
                <c:pt idx="914">
                  <c:v>4.712020202093381E-4</c:v>
                </c:pt>
                <c:pt idx="915">
                  <c:v>4.7147689979187835E-4</c:v>
                </c:pt>
                <c:pt idx="916">
                  <c:v>4.7175241205732465E-4</c:v>
                </c:pt>
                <c:pt idx="917">
                  <c:v>4.7202855828121226E-4</c:v>
                </c:pt>
                <c:pt idx="918">
                  <c:v>4.7230533974595978E-4</c:v>
                </c:pt>
                <c:pt idx="919">
                  <c:v>4.7258275773653935E-4</c:v>
                </c:pt>
                <c:pt idx="920">
                  <c:v>4.7286081354658283E-4</c:v>
                </c:pt>
                <c:pt idx="921">
                  <c:v>4.7313950847371888E-4</c:v>
                </c:pt>
                <c:pt idx="922">
                  <c:v>4.7341884382090527E-4</c:v>
                </c:pt>
                <c:pt idx="923">
                  <c:v>4.7369882089620674E-4</c:v>
                </c:pt>
                <c:pt idx="924">
                  <c:v>4.7397944101501555E-4</c:v>
                </c:pt>
                <c:pt idx="925">
                  <c:v>4.7426070549638766E-4</c:v>
                </c:pt>
                <c:pt idx="926">
                  <c:v>4.7454261566504119E-4</c:v>
                </c:pt>
                <c:pt idx="927">
                  <c:v>4.7482517285313275E-4</c:v>
                </c:pt>
                <c:pt idx="928">
                  <c:v>4.751083783955945E-4</c:v>
                </c:pt>
                <c:pt idx="929">
                  <c:v>4.7539223363568528E-4</c:v>
                </c:pt>
                <c:pt idx="930">
                  <c:v>4.7567673992010562E-4</c:v>
                </c:pt>
                <c:pt idx="931">
                  <c:v>4.7596189860299454E-4</c:v>
                </c:pt>
                <c:pt idx="932">
                  <c:v>4.7624771104270991E-4</c:v>
                </c:pt>
                <c:pt idx="933">
                  <c:v>4.7653417860393787E-4</c:v>
                </c:pt>
                <c:pt idx="934">
                  <c:v>4.7682130265769285E-4</c:v>
                </c:pt>
                <c:pt idx="935">
                  <c:v>4.7710908457909706E-4</c:v>
                </c:pt>
                <c:pt idx="936">
                  <c:v>4.7739752575082228E-4</c:v>
                </c:pt>
                <c:pt idx="937">
                  <c:v>4.7768662756064728E-4</c:v>
                </c:pt>
                <c:pt idx="938">
                  <c:v>4.779763914011248E-4</c:v>
                </c:pt>
                <c:pt idx="939">
                  <c:v>4.7826681867180199E-4</c:v>
                </c:pt>
                <c:pt idx="940">
                  <c:v>4.7855791077844323E-4</c:v>
                </c:pt>
                <c:pt idx="941">
                  <c:v>4.7884966913169791E-4</c:v>
                </c:pt>
                <c:pt idx="942">
                  <c:v>4.7914209514787753E-4</c:v>
                </c:pt>
                <c:pt idx="943">
                  <c:v>4.7943519024995496E-4</c:v>
                </c:pt>
                <c:pt idx="944">
                  <c:v>4.7972895586734232E-4</c:v>
                </c:pt>
                <c:pt idx="945">
                  <c:v>4.8002339343378164E-4</c:v>
                </c:pt>
                <c:pt idx="946">
                  <c:v>4.8031850439045343E-4</c:v>
                </c:pt>
                <c:pt idx="947">
                  <c:v>4.8061429018320112E-4</c:v>
                </c:pt>
                <c:pt idx="948">
                  <c:v>4.8091075226552871E-4</c:v>
                </c:pt>
                <c:pt idx="949">
                  <c:v>4.8120789209615822E-4</c:v>
                </c:pt>
                <c:pt idx="950">
                  <c:v>4.8150571113858565E-4</c:v>
                </c:pt>
                <c:pt idx="951">
                  <c:v>4.8180421086463365E-4</c:v>
                </c:pt>
                <c:pt idx="952">
                  <c:v>4.8210339275145397E-4</c:v>
                </c:pt>
                <c:pt idx="953">
                  <c:v>4.8240325828163844E-4</c:v>
                </c:pt>
                <c:pt idx="954">
                  <c:v>4.8270380894399612E-4</c:v>
                </c:pt>
                <c:pt idx="955">
                  <c:v>4.8300504623466356E-4</c:v>
                </c:pt>
                <c:pt idx="956">
                  <c:v>4.8330697165444025E-4</c:v>
                </c:pt>
                <c:pt idx="957">
                  <c:v>4.8360958671278542E-4</c:v>
                </c:pt>
                <c:pt idx="958">
                  <c:v>4.8391289292160078E-4</c:v>
                </c:pt>
                <c:pt idx="959">
                  <c:v>4.8421689180278005E-4</c:v>
                </c:pt>
                <c:pt idx="960">
                  <c:v>4.8452158488299091E-4</c:v>
                </c:pt>
                <c:pt idx="961">
                  <c:v>4.8482697369378602E-4</c:v>
                </c:pt>
                <c:pt idx="962">
                  <c:v>4.8513305977615495E-4</c:v>
                </c:pt>
                <c:pt idx="963">
                  <c:v>4.8543984467475099E-4</c:v>
                </c:pt>
                <c:pt idx="964">
                  <c:v>4.857473299425541E-4</c:v>
                </c:pt>
                <c:pt idx="965">
                  <c:v>4.8605551713742923E-4</c:v>
                </c:pt>
                <c:pt idx="966">
                  <c:v>4.8636440782445778E-4</c:v>
                </c:pt>
                <c:pt idx="967">
                  <c:v>4.8667400357549351E-4</c:v>
                </c:pt>
                <c:pt idx="968">
                  <c:v>4.8698430596783027E-4</c:v>
                </c:pt>
                <c:pt idx="969">
                  <c:v>4.8729531658686653E-4</c:v>
                </c:pt>
                <c:pt idx="970">
                  <c:v>4.8760703702288577E-4</c:v>
                </c:pt>
                <c:pt idx="971">
                  <c:v>4.8791946887405402E-4</c:v>
                </c:pt>
                <c:pt idx="972">
                  <c:v>4.8823261374442151E-4</c:v>
                </c:pt>
                <c:pt idx="973">
                  <c:v>4.8854647324436673E-4</c:v>
                </c:pt>
                <c:pt idx="974">
                  <c:v>4.8886104899248384E-4</c:v>
                </c:pt>
                <c:pt idx="975">
                  <c:v>4.8917634261236298E-4</c:v>
                </c:pt>
                <c:pt idx="976">
                  <c:v>4.8949235573458871E-4</c:v>
                </c:pt>
                <c:pt idx="977">
                  <c:v>4.8980908999740613E-4</c:v>
                </c:pt>
                <c:pt idx="978">
                  <c:v>4.9012654704483349E-4</c:v>
                </c:pt>
                <c:pt idx="979">
                  <c:v>4.9044472852888266E-4</c:v>
                </c:pt>
                <c:pt idx="980">
                  <c:v>4.9076363610633944E-4</c:v>
                </c:pt>
                <c:pt idx="981">
                  <c:v>4.9108327144342656E-4</c:v>
                </c:pt>
                <c:pt idx="982">
                  <c:v>4.9140363621091865E-4</c:v>
                </c:pt>
                <c:pt idx="983">
                  <c:v>4.9172473208802803E-4</c:v>
                </c:pt>
                <c:pt idx="984">
                  <c:v>4.9204656076062836E-4</c:v>
                </c:pt>
                <c:pt idx="985">
                  <c:v>4.923691239200334E-4</c:v>
                </c:pt>
                <c:pt idx="986">
                  <c:v>4.9269242326710483E-4</c:v>
                </c:pt>
                <c:pt idx="987">
                  <c:v>4.9301646050825543E-4</c:v>
                </c:pt>
                <c:pt idx="988">
                  <c:v>4.9334123735667035E-4</c:v>
                </c:pt>
                <c:pt idx="989">
                  <c:v>4.9366675553319528E-4</c:v>
                </c:pt>
                <c:pt idx="990">
                  <c:v>4.9399301676544827E-4</c:v>
                </c:pt>
                <c:pt idx="991">
                  <c:v>4.943200227887079E-4</c:v>
                </c:pt>
                <c:pt idx="992">
                  <c:v>4.9464777534513615E-4</c:v>
                </c:pt>
                <c:pt idx="993">
                  <c:v>4.9497627618377837E-4</c:v>
                </c:pt>
                <c:pt idx="994">
                  <c:v>4.9530552706111841E-4</c:v>
                </c:pt>
                <c:pt idx="995">
                  <c:v>4.9563552974118963E-4</c:v>
                </c:pt>
                <c:pt idx="996">
                  <c:v>4.9596628599457571E-4</c:v>
                </c:pt>
                <c:pt idx="997">
                  <c:v>4.9629779760029802E-4</c:v>
                </c:pt>
                <c:pt idx="998">
                  <c:v>4.9663006634381723E-4</c:v>
                </c:pt>
                <c:pt idx="999">
                  <c:v>4.9696309401803251E-4</c:v>
                </c:pt>
                <c:pt idx="1000">
                  <c:v>4.9729688242328152E-4</c:v>
                </c:pt>
                <c:pt idx="1001">
                  <c:v>4.9763143336811755E-4</c:v>
                </c:pt>
                <c:pt idx="1002">
                  <c:v>4.9796674866708912E-4</c:v>
                </c:pt>
                <c:pt idx="1003">
                  <c:v>4.9830283014407062E-4</c:v>
                </c:pt>
                <c:pt idx="1004">
                  <c:v>4.9863967962904265E-4</c:v>
                </c:pt>
                <c:pt idx="1005">
                  <c:v>4.9897729895964638E-4</c:v>
                </c:pt>
                <c:pt idx="1006">
                  <c:v>4.9931568998207165E-4</c:v>
                </c:pt>
                <c:pt idx="1007">
                  <c:v>4.996548545487256E-4</c:v>
                </c:pt>
                <c:pt idx="1008">
                  <c:v>4.9999479452134121E-4</c:v>
                </c:pt>
                <c:pt idx="1009">
                  <c:v>5.0033551176820179E-4</c:v>
                </c:pt>
                <c:pt idx="1010">
                  <c:v>5.006770081653622E-4</c:v>
                </c:pt>
                <c:pt idx="1011">
                  <c:v>5.010192855967599E-4</c:v>
                </c:pt>
                <c:pt idx="1012">
                  <c:v>5.0136234595488105E-4</c:v>
                </c:pt>
                <c:pt idx="1013">
                  <c:v>5.0170619113898418E-4</c:v>
                </c:pt>
                <c:pt idx="1014">
                  <c:v>5.0205082305632143E-4</c:v>
                </c:pt>
                <c:pt idx="1015">
                  <c:v>5.0239624362247159E-4</c:v>
                </c:pt>
                <c:pt idx="1016">
                  <c:v>5.0274245476156221E-4</c:v>
                </c:pt>
                <c:pt idx="1017">
                  <c:v>5.0308945840338293E-4</c:v>
                </c:pt>
                <c:pt idx="1018">
                  <c:v>5.0343725648827053E-4</c:v>
                </c:pt>
                <c:pt idx="1019">
                  <c:v>5.0378585096311213E-4</c:v>
                </c:pt>
                <c:pt idx="1020">
                  <c:v>5.0413524378400965E-4</c:v>
                </c:pt>
                <c:pt idx="1021">
                  <c:v>5.0448543691306025E-4</c:v>
                </c:pt>
                <c:pt idx="1022">
                  <c:v>5.0483643232324127E-4</c:v>
                </c:pt>
                <c:pt idx="1023">
                  <c:v>5.0518823199341423E-4</c:v>
                </c:pt>
                <c:pt idx="1024">
                  <c:v>5.0554083791198856E-4</c:v>
                </c:pt>
                <c:pt idx="1025">
                  <c:v>5.0589425207547833E-4</c:v>
                </c:pt>
                <c:pt idx="1026">
                  <c:v>5.0624847648750304E-4</c:v>
                </c:pt>
                <c:pt idx="1027">
                  <c:v>5.0660351316156316E-4</c:v>
                </c:pt>
                <c:pt idx="1028">
                  <c:v>5.0695936411848663E-4</c:v>
                </c:pt>
                <c:pt idx="1029">
                  <c:v>5.073160313879832E-4</c:v>
                </c:pt>
                <c:pt idx="1030">
                  <c:v>5.0767351700820029E-4</c:v>
                </c:pt>
                <c:pt idx="1031">
                  <c:v>5.0803182302516792E-4</c:v>
                </c:pt>
                <c:pt idx="1032">
                  <c:v>5.0839095149368685E-4</c:v>
                </c:pt>
                <c:pt idx="1033">
                  <c:v>5.0875090447799476E-4</c:v>
                </c:pt>
                <c:pt idx="1034">
                  <c:v>1.1372889700560496E-3</c:v>
                </c:pt>
                <c:pt idx="1035">
                  <c:v>1.139095255119682E-3</c:v>
                </c:pt>
                <c:pt idx="1036">
                  <c:v>1.140910821183283E-3</c:v>
                </c:pt>
                <c:pt idx="1037">
                  <c:v>1.1427357207942634E-3</c:v>
                </c:pt>
                <c:pt idx="1038">
                  <c:v>1.1445700069875331E-3</c:v>
                </c:pt>
                <c:pt idx="1039">
                  <c:v>1.1464137332930502E-3</c:v>
                </c:pt>
                <c:pt idx="1040">
                  <c:v>1.1482669537411505E-3</c:v>
                </c:pt>
                <c:pt idx="1041">
                  <c:v>1.1501297228652119E-3</c:v>
                </c:pt>
                <c:pt idx="1042">
                  <c:v>1.1520020957083155E-3</c:v>
                </c:pt>
                <c:pt idx="1043">
                  <c:v>1.1538841278300183E-3</c:v>
                </c:pt>
                <c:pt idx="1044">
                  <c:v>1.1557758753073522E-3</c:v>
                </c:pt>
                <c:pt idx="1045">
                  <c:v>1.1576773947431507E-3</c:v>
                </c:pt>
                <c:pt idx="1046">
                  <c:v>1.1595887432729324E-3</c:v>
                </c:pt>
                <c:pt idx="1047">
                  <c:v>1.161509978566011E-3</c:v>
                </c:pt>
                <c:pt idx="1048">
                  <c:v>1.1634411588340443E-3</c:v>
                </c:pt>
                <c:pt idx="1049">
                  <c:v>1.165382342836474E-3</c:v>
                </c:pt>
                <c:pt idx="1050">
                  <c:v>1.1673335898854109E-3</c:v>
                </c:pt>
                <c:pt idx="1051">
                  <c:v>1.169294959851408E-3</c:v>
                </c:pt>
                <c:pt idx="1052">
                  <c:v>1.1712665131701216E-3</c:v>
                </c:pt>
                <c:pt idx="1053">
                  <c:v>1.1732483108467529E-3</c:v>
                </c:pt>
                <c:pt idx="1054">
                  <c:v>1.1752404144648176E-3</c:v>
                </c:pt>
                <c:pt idx="1055">
                  <c:v>1.1772428861883677E-3</c:v>
                </c:pt>
                <c:pt idx="1056">
                  <c:v>1.1792557887707611E-3</c:v>
                </c:pt>
                <c:pt idx="1057">
                  <c:v>1.1812791855621008E-3</c:v>
                </c:pt>
                <c:pt idx="1058">
                  <c:v>1.183313140511788E-3</c:v>
                </c:pt>
                <c:pt idx="1059">
                  <c:v>1.1853577181771824E-3</c:v>
                </c:pt>
                <c:pt idx="1060">
                  <c:v>1.1874129837312619E-3</c:v>
                </c:pt>
                <c:pt idx="1061">
                  <c:v>1.1894790029670643E-3</c:v>
                </c:pt>
                <c:pt idx="1062">
                  <c:v>1.1915558423051253E-3</c:v>
                </c:pt>
                <c:pt idx="1063">
                  <c:v>1.1936435688008062E-3</c:v>
                </c:pt>
                <c:pt idx="1064">
                  <c:v>1.1957422501508441E-3</c:v>
                </c:pt>
                <c:pt idx="1065">
                  <c:v>1.1978519546991251E-3</c:v>
                </c:pt>
                <c:pt idx="1066">
                  <c:v>1.1999727514470093E-3</c:v>
                </c:pt>
                <c:pt idx="1067">
                  <c:v>1.2021047100564397E-3</c:v>
                </c:pt>
                <c:pt idx="1068">
                  <c:v>1.2042479008601559E-3</c:v>
                </c:pt>
                <c:pt idx="1069">
                  <c:v>1.2064023948680225E-3</c:v>
                </c:pt>
                <c:pt idx="1070">
                  <c:v>1.2085682637740236E-3</c:v>
                </c:pt>
                <c:pt idx="1071">
                  <c:v>1.2107455799654776E-3</c:v>
                </c:pt>
                <c:pt idx="1072">
                  <c:v>1.2129344165282552E-3</c:v>
                </c:pt>
                <c:pt idx="1073">
                  <c:v>1.2151348472577705E-3</c:v>
                </c:pt>
                <c:pt idx="1074">
                  <c:v>1.2173469466633113E-3</c:v>
                </c:pt>
                <c:pt idx="1075">
                  <c:v>1.2195707899798069E-3</c:v>
                </c:pt>
                <c:pt idx="1076">
                  <c:v>1.2218064531719364E-3</c:v>
                </c:pt>
                <c:pt idx="1077">
                  <c:v>1.2240540129463406E-3</c:v>
                </c:pt>
                <c:pt idx="1078">
                  <c:v>1.226313546757396E-3</c:v>
                </c:pt>
                <c:pt idx="1079">
                  <c:v>1.2285851328154296E-3</c:v>
                </c:pt>
                <c:pt idx="1080">
                  <c:v>1.2308688500988207E-3</c:v>
                </c:pt>
                <c:pt idx="1081">
                  <c:v>1.23316477835822E-3</c:v>
                </c:pt>
                <c:pt idx="1082">
                  <c:v>1.2354729981283175E-3</c:v>
                </c:pt>
                <c:pt idx="1083">
                  <c:v>1.2377935907359472E-3</c:v>
                </c:pt>
                <c:pt idx="1084">
                  <c:v>1.2401266383086362E-3</c:v>
                </c:pt>
                <c:pt idx="1085">
                  <c:v>1.2424722237857067E-3</c:v>
                </c:pt>
                <c:pt idx="1086">
                  <c:v>1.24483043092527E-3</c:v>
                </c:pt>
                <c:pt idx="1087">
                  <c:v>1.2472013443152186E-3</c:v>
                </c:pt>
                <c:pt idx="1088">
                  <c:v>1.2495850493836613E-3</c:v>
                </c:pt>
                <c:pt idx="1089">
                  <c:v>1.2519816324054744E-3</c:v>
                </c:pt>
                <c:pt idx="1090">
                  <c:v>1.254391180516623E-3</c:v>
                </c:pt>
                <c:pt idx="1091">
                  <c:v>1.2568137817201563E-3</c:v>
                </c:pt>
                <c:pt idx="1092">
                  <c:v>1.2592495249000857E-3</c:v>
                </c:pt>
                <c:pt idx="1093">
                  <c:v>1.2616984998286007E-3</c:v>
                </c:pt>
                <c:pt idx="1094">
                  <c:v>1.2641607971788371E-3</c:v>
                </c:pt>
                <c:pt idx="1095">
                  <c:v>1.2666365085337583E-3</c:v>
                </c:pt>
                <c:pt idx="1096">
                  <c:v>1.2691257263993672E-3</c:v>
                </c:pt>
                <c:pt idx="1097">
                  <c:v>1.2716285442134767E-3</c:v>
                </c:pt>
                <c:pt idx="1098">
                  <c:v>1.2741450563574785E-3</c:v>
                </c:pt>
                <c:pt idx="1099">
                  <c:v>1.2766753581684442E-3</c:v>
                </c:pt>
                <c:pt idx="1100">
                  <c:v>1.2792195459500055E-3</c:v>
                </c:pt>
                <c:pt idx="1101">
                  <c:v>1.2817777169846778E-3</c:v>
                </c:pt>
                <c:pt idx="1102">
                  <c:v>1.284349969543408E-3</c:v>
                </c:pt>
                <c:pt idx="1103">
                  <c:v>1.2869364029016728E-3</c:v>
                </c:pt>
                <c:pt idx="1104">
                  <c:v>1.2895371173479164E-3</c:v>
                </c:pt>
                <c:pt idx="1105">
                  <c:v>1.2921522141983166E-3</c:v>
                </c:pt>
                <c:pt idx="1106">
                  <c:v>1.2947817958073315E-3</c:v>
                </c:pt>
                <c:pt idx="1107">
                  <c:v>1.2974259655829101E-3</c:v>
                </c:pt>
                <c:pt idx="1108">
                  <c:v>1.3000848279965949E-3</c:v>
                </c:pt>
                <c:pt idx="1109">
                  <c:v>1.3027584886000643E-3</c:v>
                </c:pt>
                <c:pt idx="1110">
                  <c:v>1.3054470540353469E-3</c:v>
                </c:pt>
                <c:pt idx="1111">
                  <c:v>1.3081506320503644E-3</c:v>
                </c:pt>
                <c:pt idx="1112">
                  <c:v>1.3108693315122544E-3</c:v>
                </c:pt>
                <c:pt idx="1113">
                  <c:v>1.3136032624193605E-3</c:v>
                </c:pt>
                <c:pt idx="1114">
                  <c:v>1.3163525359199957E-3</c:v>
                </c:pt>
                <c:pt idx="1115">
                  <c:v>1.3191172643223226E-3</c:v>
                </c:pt>
                <c:pt idx="1116">
                  <c:v>1.3218975611106742E-3</c:v>
                </c:pt>
                <c:pt idx="1117">
                  <c:v>1.3246935409608751E-3</c:v>
                </c:pt>
                <c:pt idx="1118">
                  <c:v>1.327505319755895E-3</c:v>
                </c:pt>
                <c:pt idx="1119">
                  <c:v>1.3303330145985059E-3</c:v>
                </c:pt>
                <c:pt idx="1120">
                  <c:v>1.3331767438291564E-3</c:v>
                </c:pt>
                <c:pt idx="1121">
                  <c:v>1.3360366270421808E-3</c:v>
                </c:pt>
                <c:pt idx="1122">
                  <c:v>1.3389127851004545E-3</c:v>
                </c:pt>
                <c:pt idx="1123">
                  <c:v>1.3418053401501595E-3</c:v>
                </c:pt>
                <c:pt idx="1124">
                  <c:v>1.344714415642323E-3</c:v>
                </c:pt>
                <c:pt idx="1125">
                  <c:v>1.3476401363458068E-3</c:v>
                </c:pt>
                <c:pt idx="1126">
                  <c:v>1.3505826283622957E-3</c:v>
                </c:pt>
                <c:pt idx="1127">
                  <c:v>1.3535420191517211E-3</c:v>
                </c:pt>
                <c:pt idx="1128">
                  <c:v>1.356518437540255E-3</c:v>
                </c:pt>
                <c:pt idx="1129">
                  <c:v>1.3595120137447347E-3</c:v>
                </c:pt>
                <c:pt idx="1130">
                  <c:v>1.3625228793895383E-3</c:v>
                </c:pt>
                <c:pt idx="1131">
                  <c:v>1.3655511675226828E-3</c:v>
                </c:pt>
                <c:pt idx="1132">
                  <c:v>1.3685970126373626E-3</c:v>
                </c:pt>
                <c:pt idx="1133">
                  <c:v>1.371660550690379E-3</c:v>
                </c:pt>
                <c:pt idx="1134">
                  <c:v>1.3747419191194599E-3</c:v>
                </c:pt>
                <c:pt idx="1135">
                  <c:v>1.3778412568671294E-3</c:v>
                </c:pt>
                <c:pt idx="1136">
                  <c:v>1.3809587043961402E-3</c:v>
                </c:pt>
                <c:pt idx="1137">
                  <c:v>1.3840944037141201E-3</c:v>
                </c:pt>
                <c:pt idx="1138">
                  <c:v>1.3872484983895594E-3</c:v>
                </c:pt>
                <c:pt idx="1139">
                  <c:v>1.3904211335784566E-3</c:v>
                </c:pt>
                <c:pt idx="1140">
                  <c:v>1.3936124560398611E-3</c:v>
                </c:pt>
                <c:pt idx="1141">
                  <c:v>1.3968226141616302E-3</c:v>
                </c:pt>
                <c:pt idx="1142">
                  <c:v>1.4000517579824123E-3</c:v>
                </c:pt>
                <c:pt idx="1143">
                  <c:v>1.403300039210631E-3</c:v>
                </c:pt>
                <c:pt idx="1144">
                  <c:v>1.4065676112515746E-3</c:v>
                </c:pt>
                <c:pt idx="1145">
                  <c:v>1.4098546292277137E-3</c:v>
                </c:pt>
                <c:pt idx="1146">
                  <c:v>1.4131612500026813E-3</c:v>
                </c:pt>
                <c:pt idx="1147">
                  <c:v>1.41648763220803E-3</c:v>
                </c:pt>
                <c:pt idx="1148">
                  <c:v>1.4198339362624379E-3</c:v>
                </c:pt>
                <c:pt idx="1149">
                  <c:v>1.4232003244014635E-3</c:v>
                </c:pt>
                <c:pt idx="1150">
                  <c:v>1.4265869606998605E-3</c:v>
                </c:pt>
                <c:pt idx="1151">
                  <c:v>1.4299940110987786E-3</c:v>
                </c:pt>
                <c:pt idx="1152">
                  <c:v>1.4334216434289671E-3</c:v>
                </c:pt>
                <c:pt idx="1153">
                  <c:v>1.4368700274428603E-3</c:v>
                </c:pt>
                <c:pt idx="1154">
                  <c:v>1.4403393348346727E-3</c:v>
                </c:pt>
                <c:pt idx="1155">
                  <c:v>1.4438297392732613E-3</c:v>
                </c:pt>
                <c:pt idx="1156">
                  <c:v>1.4473414164269949E-3</c:v>
                </c:pt>
                <c:pt idx="1157">
                  <c:v>1.4508745439929527E-3</c:v>
                </c:pt>
                <c:pt idx="1158">
                  <c:v>1.4544293017267895E-3</c:v>
                </c:pt>
                <c:pt idx="1159">
                  <c:v>1.4580058714696031E-3</c:v>
                </c:pt>
                <c:pt idx="1160">
                  <c:v>1.4616044371810188E-3</c:v>
                </c:pt>
                <c:pt idx="1161">
                  <c:v>1.4652251849671671E-3</c:v>
                </c:pt>
                <c:pt idx="1162">
                  <c:v>1.4688683031103267E-3</c:v>
                </c:pt>
                <c:pt idx="1163">
                  <c:v>1.4725339821058947E-3</c:v>
                </c:pt>
                <c:pt idx="1164">
                  <c:v>1.4762224146877001E-3</c:v>
                </c:pt>
                <c:pt idx="1165">
                  <c:v>1.4799337958646408E-3</c:v>
                </c:pt>
                <c:pt idx="1166">
                  <c:v>1.4836683229522141E-3</c:v>
                </c:pt>
                <c:pt idx="1167">
                  <c:v>1.4874261956083767E-3</c:v>
                </c:pt>
                <c:pt idx="1168">
                  <c:v>1.4912076158636323E-3</c:v>
                </c:pt>
                <c:pt idx="1169">
                  <c:v>1.4950127881601105E-3</c:v>
                </c:pt>
                <c:pt idx="1170">
                  <c:v>1.4988419193847635E-3</c:v>
                </c:pt>
                <c:pt idx="1171">
                  <c:v>1.5026952189063358E-3</c:v>
                </c:pt>
                <c:pt idx="1172">
                  <c:v>1.5065728986120019E-3</c:v>
                </c:pt>
                <c:pt idx="1173">
                  <c:v>1.5104751729447807E-3</c:v>
                </c:pt>
                <c:pt idx="1174">
                  <c:v>1.5144022589410611E-3</c:v>
                </c:pt>
                <c:pt idx="1175">
                  <c:v>1.5183543762709029E-3</c:v>
                </c:pt>
                <c:pt idx="1176">
                  <c:v>1.5223317472758957E-3</c:v>
                </c:pt>
                <c:pt idx="1177">
                  <c:v>1.5263345970109032E-3</c:v>
                </c:pt>
                <c:pt idx="1178">
                  <c:v>1.5303631532828099E-3</c:v>
                </c:pt>
                <c:pt idx="1179">
                  <c:v>1.534417646695263E-3</c:v>
                </c:pt>
                <c:pt idx="1180">
                  <c:v>1.5384983106890848E-3</c:v>
                </c:pt>
                <c:pt idx="1181">
                  <c:v>1.5426053815857932E-3</c:v>
                </c:pt>
                <c:pt idx="1182">
                  <c:v>1.5467390986312335E-3</c:v>
                </c:pt>
                <c:pt idx="1183">
                  <c:v>6.9424538102147437E-4</c:v>
                </c:pt>
                <c:pt idx="1184">
                  <c:v>6.9508350958225051E-4</c:v>
                </c:pt>
                <c:pt idx="1185">
                  <c:v>6.9592408553920126E-4</c:v>
                </c:pt>
                <c:pt idx="1186">
                  <c:v>6.9676711890831466E-4</c:v>
                </c:pt>
                <c:pt idx="1187">
                  <c:v>6.9761261976397648E-4</c:v>
                </c:pt>
                <c:pt idx="1188">
                  <c:v>6.9846059823497342E-4</c:v>
                </c:pt>
                <c:pt idx="1189">
                  <c:v>6.9931106450693559E-4</c:v>
                </c:pt>
                <c:pt idx="1190">
                  <c:v>7.0016402882400186E-4</c:v>
                </c:pt>
                <c:pt idx="1191">
                  <c:v>7.0101950148759862E-4</c:v>
                </c:pt>
                <c:pt idx="1192">
                  <c:v>7.018774928562177E-4</c:v>
                </c:pt>
                <c:pt idx="1193">
                  <c:v>7.0273801334697072E-4</c:v>
                </c:pt>
                <c:pt idx="1194">
                  <c:v>7.0360107343636624E-4</c:v>
                </c:pt>
                <c:pt idx="1195">
                  <c:v>7.0446668365975462E-4</c:v>
                </c:pt>
                <c:pt idx="1196">
                  <c:v>7.0533485461199419E-4</c:v>
                </c:pt>
                <c:pt idx="1197">
                  <c:v>7.0620559694911655E-4</c:v>
                </c:pt>
                <c:pt idx="1198">
                  <c:v>7.0707892138488493E-4</c:v>
                </c:pt>
                <c:pt idx="1199">
                  <c:v>7.079548386966783E-4</c:v>
                </c:pt>
                <c:pt idx="1200">
                  <c:v>7.0883335972293793E-4</c:v>
                </c:pt>
                <c:pt idx="1201">
                  <c:v>7.0971449536183506E-4</c:v>
                </c:pt>
                <c:pt idx="1202">
                  <c:v>7.1059825657582287E-4</c:v>
                </c:pt>
                <c:pt idx="1203">
                  <c:v>7.1148465438830577E-4</c:v>
                </c:pt>
                <c:pt idx="1204">
                  <c:v>7.123736998880803E-4</c:v>
                </c:pt>
                <c:pt idx="1205">
                  <c:v>7.1326540422511631E-4</c:v>
                </c:pt>
                <c:pt idx="1206">
                  <c:v>7.1415977861344349E-4</c:v>
                </c:pt>
                <c:pt idx="1207">
                  <c:v>7.1505683433414902E-4</c:v>
                </c:pt>
                <c:pt idx="1208">
                  <c:v>7.159565827301595E-4</c:v>
                </c:pt>
                <c:pt idx="1209">
                  <c:v>7.1685903521123695E-4</c:v>
                </c:pt>
                <c:pt idx="1210">
                  <c:v>7.1776420325297963E-4</c:v>
                </c:pt>
                <c:pt idx="1211">
                  <c:v>7.1867209839604485E-4</c:v>
                </c:pt>
                <c:pt idx="1212">
                  <c:v>7.1958273224925762E-4</c:v>
                </c:pt>
                <c:pt idx="1213">
                  <c:v>7.2049611648883349E-4</c:v>
                </c:pt>
                <c:pt idx="1214">
                  <c:v>7.2141226285771243E-4</c:v>
                </c:pt>
                <c:pt idx="1215">
                  <c:v>7.2233118316678002E-4</c:v>
                </c:pt>
                <c:pt idx="1216">
                  <c:v>7.2325288929642184E-4</c:v>
                </c:pt>
                <c:pt idx="1217">
                  <c:v>7.2417739319685648E-4</c:v>
                </c:pt>
                <c:pt idx="1218">
                  <c:v>7.2510470688602613E-4</c:v>
                </c:pt>
                <c:pt idx="1219">
                  <c:v>7.2603484245370442E-4</c:v>
                </c:pt>
                <c:pt idx="1220">
                  <c:v>7.2696781206027516E-4</c:v>
                </c:pt>
                <c:pt idx="1221">
                  <c:v>7.2790362793673236E-4</c:v>
                </c:pt>
                <c:pt idx="1222">
                  <c:v>7.2884230238512426E-4</c:v>
                </c:pt>
                <c:pt idx="1223">
                  <c:v>7.2978384778210614E-4</c:v>
                </c:pt>
                <c:pt idx="1224">
                  <c:v>7.3072827657461037E-4</c:v>
                </c:pt>
                <c:pt idx="1225">
                  <c:v>7.3167560128450937E-4</c:v>
                </c:pt>
                <c:pt idx="1226">
                  <c:v>7.3262583450639518E-4</c:v>
                </c:pt>
                <c:pt idx="1227">
                  <c:v>7.3357898891068807E-4</c:v>
                </c:pt>
                <c:pt idx="1228">
                  <c:v>7.3453507724108302E-4</c:v>
                </c:pt>
                <c:pt idx="1229">
                  <c:v>7.3549411231799144E-4</c:v>
                </c:pt>
                <c:pt idx="1230">
                  <c:v>7.3645610703776399E-4</c:v>
                </c:pt>
                <c:pt idx="1231">
                  <c:v>7.3742107437235749E-4</c:v>
                </c:pt>
                <c:pt idx="1232">
                  <c:v>7.3838902737166645E-4</c:v>
                </c:pt>
                <c:pt idx="1233">
                  <c:v>7.3935997916396712E-4</c:v>
                </c:pt>
                <c:pt idx="1234">
                  <c:v>7.4033394295458521E-4</c:v>
                </c:pt>
                <c:pt idx="1235">
                  <c:v>7.4131093202878251E-4</c:v>
                </c:pt>
                <c:pt idx="1236">
                  <c:v>7.4229095975020254E-4</c:v>
                </c:pt>
                <c:pt idx="1237">
                  <c:v>7.432740395635351E-4</c:v>
                </c:pt>
                <c:pt idx="1238">
                  <c:v>7.4426018499451629E-4</c:v>
                </c:pt>
                <c:pt idx="1239">
                  <c:v>7.4524940964770803E-4</c:v>
                </c:pt>
                <c:pt idx="1240">
                  <c:v>7.4624172721304838E-4</c:v>
                </c:pt>
                <c:pt idx="1241">
                  <c:v>7.4723715146074454E-4</c:v>
                </c:pt>
                <c:pt idx="1242">
                  <c:v>7.4823569624382635E-4</c:v>
                </c:pt>
                <c:pt idx="1243">
                  <c:v>7.4923737550114389E-4</c:v>
                </c:pt>
                <c:pt idx="1244">
                  <c:v>7.5024220325325963E-4</c:v>
                </c:pt>
                <c:pt idx="1245">
                  <c:v>7.5125019360833267E-4</c:v>
                </c:pt>
                <c:pt idx="1246">
                  <c:v>7.5226136075789984E-4</c:v>
                </c:pt>
                <c:pt idx="1247">
                  <c:v>7.5327571898142764E-4</c:v>
                </c:pt>
                <c:pt idx="1248">
                  <c:v>7.5429328264375872E-4</c:v>
                </c:pt>
                <c:pt idx="1249">
                  <c:v>7.5531406620032993E-4</c:v>
                </c:pt>
                <c:pt idx="1250">
                  <c:v>7.563380841901779E-4</c:v>
                </c:pt>
                <c:pt idx="1251">
                  <c:v>7.5736535124615312E-4</c:v>
                </c:pt>
                <c:pt idx="1252">
                  <c:v>7.5839588208637121E-4</c:v>
                </c:pt>
                <c:pt idx="1253">
                  <c:v>7.594296915230947E-4</c:v>
                </c:pt>
                <c:pt idx="1254">
                  <c:v>7.6046679445673782E-4</c:v>
                </c:pt>
                <c:pt idx="1255">
                  <c:v>7.6150720588064047E-4</c:v>
                </c:pt>
                <c:pt idx="1256">
                  <c:v>7.6255094088051312E-4</c:v>
                </c:pt>
                <c:pt idx="1257">
                  <c:v>7.6359801463454779E-4</c:v>
                </c:pt>
                <c:pt idx="1258">
                  <c:v>7.6464844241563856E-4</c:v>
                </c:pt>
                <c:pt idx="1259">
                  <c:v>7.6570223959049333E-4</c:v>
                </c:pt>
                <c:pt idx="1260">
                  <c:v>7.6675942162074406E-4</c:v>
                </c:pt>
                <c:pt idx="1261">
                  <c:v>7.6782000406561135E-4</c:v>
                </c:pt>
                <c:pt idx="1262">
                  <c:v>7.688840025785737E-4</c:v>
                </c:pt>
                <c:pt idx="1263">
                  <c:v>7.6995143291291868E-4</c:v>
                </c:pt>
                <c:pt idx="1264">
                  <c:v>7.7102231091952245E-4</c:v>
                </c:pt>
                <c:pt idx="1265">
                  <c:v>7.7209665254718285E-4</c:v>
                </c:pt>
                <c:pt idx="1266">
                  <c:v>7.731744738451729E-4</c:v>
                </c:pt>
                <c:pt idx="1267">
                  <c:v>7.7425579096401798E-4</c:v>
                </c:pt>
                <c:pt idx="1268">
                  <c:v>7.753406201541635E-4</c:v>
                </c:pt>
                <c:pt idx="1269">
                  <c:v>7.7642897776919462E-4</c:v>
                </c:pt>
                <c:pt idx="1270">
                  <c:v>7.7752088026561417E-4</c:v>
                </c:pt>
                <c:pt idx="1271">
                  <c:v>7.7861634420317571E-4</c:v>
                </c:pt>
                <c:pt idx="1272">
                  <c:v>7.7971538624488357E-4</c:v>
                </c:pt>
                <c:pt idx="1273">
                  <c:v>7.808180231635431E-4</c:v>
                </c:pt>
                <c:pt idx="1274">
                  <c:v>7.8192427183199076E-4</c:v>
                </c:pt>
                <c:pt idx="1275">
                  <c:v>7.8303414923586168E-4</c:v>
                </c:pt>
                <c:pt idx="1276">
                  <c:v>7.841476724634866E-4</c:v>
                </c:pt>
                <c:pt idx="1277">
                  <c:v>7.8526485871610596E-4</c:v>
                </c:pt>
                <c:pt idx="1278">
                  <c:v>7.8638572530254081E-4</c:v>
                </c:pt>
                <c:pt idx="1279">
                  <c:v>7.8751028964230141E-4</c:v>
                </c:pt>
                <c:pt idx="1280">
                  <c:v>7.8863856926603138E-4</c:v>
                </c:pt>
                <c:pt idx="1281">
                  <c:v>7.8977058181661786E-4</c:v>
                </c:pt>
                <c:pt idx="1282">
                  <c:v>7.9090634505152302E-4</c:v>
                </c:pt>
                <c:pt idx="1283">
                  <c:v>7.9204587683912031E-4</c:v>
                </c:pt>
                <c:pt idx="1284">
                  <c:v>7.9318919516602193E-4</c:v>
                </c:pt>
                <c:pt idx="1285">
                  <c:v>7.9433631813297101E-4</c:v>
                </c:pt>
                <c:pt idx="1286">
                  <c:v>7.9548726395661795E-4</c:v>
                </c:pt>
                <c:pt idx="1287">
                  <c:v>7.9664205097407237E-4</c:v>
                </c:pt>
                <c:pt idx="1288">
                  <c:v>7.9780069763768502E-4</c:v>
                </c:pt>
                <c:pt idx="1289">
                  <c:v>7.9896322252348551E-4</c:v>
                </c:pt>
                <c:pt idx="1290">
                  <c:v>8.0012964432296663E-4</c:v>
                </c:pt>
                <c:pt idx="1291">
                  <c:v>8.0129998185396456E-4</c:v>
                </c:pt>
                <c:pt idx="1292">
                  <c:v>8.0247425405377548E-4</c:v>
                </c:pt>
                <c:pt idx="1293">
                  <c:v>8.0365247998526179E-4</c:v>
                </c:pt>
                <c:pt idx="1294">
                  <c:v>8.0483467883341042E-4</c:v>
                </c:pt>
                <c:pt idx="1295">
                  <c:v>8.060208699121052E-4</c:v>
                </c:pt>
                <c:pt idx="1296">
                  <c:v>8.0721107265802061E-4</c:v>
                </c:pt>
                <c:pt idx="1297">
                  <c:v>8.084053066389485E-4</c:v>
                </c:pt>
                <c:pt idx="1298">
                  <c:v>8.0960359154813588E-4</c:v>
                </c:pt>
                <c:pt idx="1299">
                  <c:v>8.1080594721094634E-4</c:v>
                </c:pt>
                <c:pt idx="1300">
                  <c:v>8.1201239358308364E-4</c:v>
                </c:pt>
                <c:pt idx="1301">
                  <c:v>8.1322295075103579E-4</c:v>
                </c:pt>
                <c:pt idx="1302">
                  <c:v>8.144376389340735E-4</c:v>
                </c:pt>
                <c:pt idx="1303">
                  <c:v>8.1565647848791389E-4</c:v>
                </c:pt>
                <c:pt idx="1304">
                  <c:v>8.1687948990061265E-4</c:v>
                </c:pt>
                <c:pt idx="1305">
                  <c:v>8.18106693797227E-4</c:v>
                </c:pt>
                <c:pt idx="1306">
                  <c:v>8.1933811094248021E-4</c:v>
                </c:pt>
                <c:pt idx="1307">
                  <c:v>8.2057376223598766E-4</c:v>
                </c:pt>
                <c:pt idx="1308">
                  <c:v>8.2181366871891814E-4</c:v>
                </c:pt>
                <c:pt idx="1309">
                  <c:v>8.2305785157299471E-4</c:v>
                </c:pt>
                <c:pt idx="1310">
                  <c:v>8.2430633212315918E-4</c:v>
                </c:pt>
                <c:pt idx="1311">
                  <c:v>8.2555913183590679E-4</c:v>
                </c:pt>
                <c:pt idx="1312">
                  <c:v>8.2681627232217281E-4</c:v>
                </c:pt>
                <c:pt idx="1313">
                  <c:v>8.2807777533921989E-4</c:v>
                </c:pt>
                <c:pt idx="1314">
                  <c:v>8.2934366279108218E-4</c:v>
                </c:pt>
                <c:pt idx="1315">
                  <c:v>8.3061395672967553E-4</c:v>
                </c:pt>
                <c:pt idx="1316">
                  <c:v>8.3188867935601873E-4</c:v>
                </c:pt>
                <c:pt idx="1317">
                  <c:v>8.3316785302200991E-4</c:v>
                </c:pt>
                <c:pt idx="1318">
                  <c:v>8.3445150023253589E-4</c:v>
                </c:pt>
                <c:pt idx="1319">
                  <c:v>8.3573964364191955E-4</c:v>
                </c:pt>
                <c:pt idx="1320">
                  <c:v>8.3703230606346768E-4</c:v>
                </c:pt>
                <c:pt idx="1321">
                  <c:v>8.3832951046358684E-4</c:v>
                </c:pt>
                <c:pt idx="1322">
                  <c:v>8.3963127996544706E-4</c:v>
                </c:pt>
                <c:pt idx="1323">
                  <c:v>8.4093763785253461E-4</c:v>
                </c:pt>
                <c:pt idx="1324">
                  <c:v>8.4224860756665354E-4</c:v>
                </c:pt>
                <c:pt idx="1325">
                  <c:v>8.4356421271170046E-4</c:v>
                </c:pt>
                <c:pt idx="1326">
                  <c:v>8.4488447705222125E-4</c:v>
                </c:pt>
                <c:pt idx="1327">
                  <c:v>8.4620942452018344E-4</c:v>
                </c:pt>
                <c:pt idx="1328">
                  <c:v>8.4753907920798177E-4</c:v>
                </c:pt>
                <c:pt idx="1329">
                  <c:v>8.4887346537920738E-4</c:v>
                </c:pt>
                <c:pt idx="1330">
                  <c:v>8.5021260746298566E-4</c:v>
                </c:pt>
                <c:pt idx="1331">
                  <c:v>8.5155653006063758E-4</c:v>
                </c:pt>
                <c:pt idx="1332">
                  <c:v>8.5290525794090577E-4</c:v>
                </c:pt>
                <c:pt idx="1333">
                  <c:v>8.5425881604728193E-4</c:v>
                </c:pt>
                <c:pt idx="1334">
                  <c:v>1.9114732644912591E-3</c:v>
                </c:pt>
                <c:pt idx="1335">
                  <c:v>1.9182873327302508E-3</c:v>
                </c:pt>
                <c:pt idx="1336">
                  <c:v>1.9251563524189663E-3</c:v>
                </c:pt>
                <c:pt idx="1337">
                  <c:v>1.932080968656269E-3</c:v>
                </c:pt>
                <c:pt idx="1338">
                  <c:v>1.9390618367449708E-3</c:v>
                </c:pt>
                <c:pt idx="1339">
                  <c:v>1.9460996223862326E-3</c:v>
                </c:pt>
                <c:pt idx="1340">
                  <c:v>1.9531950018895072E-3</c:v>
                </c:pt>
                <c:pt idx="1341">
                  <c:v>1.960348662383371E-3</c:v>
                </c:pt>
                <c:pt idx="1342">
                  <c:v>1.9675613020299076E-3</c:v>
                </c:pt>
                <c:pt idx="1343">
                  <c:v>1.9748336302514158E-3</c:v>
                </c:pt>
                <c:pt idx="1344">
                  <c:v>1.9821663679532309E-3</c:v>
                </c:pt>
                <c:pt idx="1345">
                  <c:v>1.9895602477545404E-3</c:v>
                </c:pt>
                <c:pt idx="1346">
                  <c:v>1.9970160142319671E-3</c:v>
                </c:pt>
                <c:pt idx="1347">
                  <c:v>2.0045344241609309E-3</c:v>
                </c:pt>
                <c:pt idx="1348">
                  <c:v>2.0121162467630072E-3</c:v>
                </c:pt>
                <c:pt idx="1349">
                  <c:v>2.019762263967273E-3</c:v>
                </c:pt>
                <c:pt idx="1350">
                  <c:v>2.0274732706702103E-3</c:v>
                </c:pt>
                <c:pt idx="1351">
                  <c:v>2.0352500750020486E-3</c:v>
                </c:pt>
                <c:pt idx="1352">
                  <c:v>2.0430934986089833E-3</c:v>
                </c:pt>
                <c:pt idx="1353">
                  <c:v>2.0510043769290665E-3</c:v>
                </c:pt>
                <c:pt idx="1354">
                  <c:v>2.0589835594881922E-3</c:v>
                </c:pt>
                <c:pt idx="1355">
                  <c:v>2.0670319101898649E-3</c:v>
                </c:pt>
                <c:pt idx="1356">
                  <c:v>2.0751503076305022E-3</c:v>
                </c:pt>
                <c:pt idx="1357">
                  <c:v>2.0833396453999731E-3</c:v>
                </c:pt>
                <c:pt idx="1358">
                  <c:v>2.0916008324112223E-3</c:v>
                </c:pt>
                <c:pt idx="1359">
                  <c:v>2.0999347932249002E-3</c:v>
                </c:pt>
                <c:pt idx="1360">
                  <c:v>2.1083424683869811E-3</c:v>
                </c:pt>
                <c:pt idx="1361">
                  <c:v>2.1168248147752644E-3</c:v>
                </c:pt>
                <c:pt idx="1362">
                  <c:v>2.1253828059559776E-3</c:v>
                </c:pt>
                <c:pt idx="1363">
                  <c:v>2.1340174325423789E-3</c:v>
                </c:pt>
                <c:pt idx="1364">
                  <c:v>2.1427297025780057E-3</c:v>
                </c:pt>
                <c:pt idx="1365">
                  <c:v>2.151520641909821E-3</c:v>
                </c:pt>
                <c:pt idx="1366">
                  <c:v>2.1603912945926673E-3</c:v>
                </c:pt>
                <c:pt idx="1367">
                  <c:v>2.1693427232842843E-3</c:v>
                </c:pt>
                <c:pt idx="1368">
                  <c:v>2.1783760096678595E-3</c:v>
                </c:pt>
                <c:pt idx="1369">
                  <c:v>2.1874922548721365E-3</c:v>
                </c:pt>
                <c:pt idx="1370">
                  <c:v>2.1966925799170589E-3</c:v>
                </c:pt>
                <c:pt idx="1371">
                  <c:v>2.2059781261549727E-3</c:v>
                </c:pt>
                <c:pt idx="1372">
                  <c:v>2.2153500557398065E-3</c:v>
                </c:pt>
                <c:pt idx="1373">
                  <c:v>2.224809552096696E-3</c:v>
                </c:pt>
                <c:pt idx="1374">
                  <c:v>2.2343578204142567E-3</c:v>
                </c:pt>
                <c:pt idx="1375">
                  <c:v>2.2439960881412979E-3</c:v>
                </c:pt>
                <c:pt idx="1376">
                  <c:v>2.253725605506629E-3</c:v>
                </c:pt>
                <c:pt idx="1377">
                  <c:v>2.2635476460437509E-3</c:v>
                </c:pt>
                <c:pt idx="1378">
                  <c:v>2.2734635071393061E-3</c:v>
                </c:pt>
                <c:pt idx="1379">
                  <c:v>2.2834745105901888E-3</c:v>
                </c:pt>
                <c:pt idx="1380">
                  <c:v>2.2935820031813048E-3</c:v>
                </c:pt>
                <c:pt idx="1381">
                  <c:v>2.3037873572733236E-3</c:v>
                </c:pt>
                <c:pt idx="1382">
                  <c:v>2.314091971416854E-3</c:v>
                </c:pt>
                <c:pt idx="1383">
                  <c:v>2.3244972709735023E-3</c:v>
                </c:pt>
                <c:pt idx="1384">
                  <c:v>2.3350047087649095E-3</c:v>
                </c:pt>
                <c:pt idx="1385">
                  <c:v>2.3456157657291143E-3</c:v>
                </c:pt>
                <c:pt idx="1386">
                  <c:v>2.3563319516115566E-3</c:v>
                </c:pt>
                <c:pt idx="1387">
                  <c:v>2.3671548056578562E-3</c:v>
                </c:pt>
                <c:pt idx="1388">
                  <c:v>2.3780858973423413E-3</c:v>
                </c:pt>
                <c:pt idx="1389">
                  <c:v>2.3891268271114541E-3</c:v>
                </c:pt>
                <c:pt idx="1390">
                  <c:v>2.4002792271471396E-3</c:v>
                </c:pt>
                <c:pt idx="1391">
                  <c:v>2.4115447621579911E-3</c:v>
                </c:pt>
                <c:pt idx="1392">
                  <c:v>2.4229251301914889E-3</c:v>
                </c:pt>
                <c:pt idx="1393">
                  <c:v>2.4344220634697766E-3</c:v>
                </c:pt>
                <c:pt idx="1394">
                  <c:v>2.4460373292529702E-3</c:v>
                </c:pt>
                <c:pt idx="1395">
                  <c:v>2.4577727307300012E-3</c:v>
                </c:pt>
                <c:pt idx="1396">
                  <c:v>2.4696301079247807E-3</c:v>
                </c:pt>
                <c:pt idx="1397">
                  <c:v>2.4816113386563199E-3</c:v>
                </c:pt>
                <c:pt idx="1398">
                  <c:v>2.4937183394937446E-3</c:v>
                </c:pt>
                <c:pt idx="1399">
                  <c:v>2.5059530667730368E-3</c:v>
                </c:pt>
                <c:pt idx="1400">
                  <c:v>2.5183175176217709E-3</c:v>
                </c:pt>
                <c:pt idx="1401">
                  <c:v>2.530813731035364E-3</c:v>
                </c:pt>
                <c:pt idx="1402">
                  <c:v>2.5434437889682027E-3</c:v>
                </c:pt>
                <c:pt idx="1403">
                  <c:v>2.5562098174751746E-3</c:v>
                </c:pt>
                <c:pt idx="1404">
                  <c:v>2.5691139878780689E-3</c:v>
                </c:pt>
                <c:pt idx="1405">
                  <c:v>2.5821585179803819E-3</c:v>
                </c:pt>
                <c:pt idx="1406">
                  <c:v>2.5953456733114333E-3</c:v>
                </c:pt>
                <c:pt idx="1407">
                  <c:v>2.6086777684133367E-3</c:v>
                </c:pt>
                <c:pt idx="1408">
                  <c:v>2.6221571681739331E-3</c:v>
                </c:pt>
                <c:pt idx="1409">
                  <c:v>2.6357862892005812E-3</c:v>
                </c:pt>
                <c:pt idx="1410">
                  <c:v>2.6495676012350255E-3</c:v>
                </c:pt>
                <c:pt idx="1411">
                  <c:v>2.6635036286239977E-3</c:v>
                </c:pt>
                <c:pt idx="1412">
                  <c:v>2.071322196452563E-3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05600"/>
        <c:axId val="240091712"/>
      </c:scatterChart>
      <c:valAx>
        <c:axId val="209305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0091712"/>
        <c:crosses val="autoZero"/>
        <c:crossBetween val="midCat"/>
      </c:valAx>
      <c:valAx>
        <c:axId val="240091712"/>
        <c:scaling>
          <c:logBase val="10"/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2093056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44823</xdr:colOff>
      <xdr:row>5</xdr:row>
      <xdr:rowOff>145675</xdr:rowOff>
    </xdr:from>
    <xdr:to>
      <xdr:col>16</xdr:col>
      <xdr:colOff>414619</xdr:colOff>
      <xdr:row>40</xdr:row>
      <xdr:rowOff>33616</xdr:rowOff>
    </xdr:to>
    <xdr:graphicFrame macro="">
      <xdr:nvGraphicFramePr>
        <xdr:cNvPr id="8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</xdr:row>
          <xdr:rowOff>38100</xdr:rowOff>
        </xdr:from>
        <xdr:to>
          <xdr:col>6</xdr:col>
          <xdr:colOff>695325</xdr:colOff>
          <xdr:row>4</xdr:row>
          <xdr:rowOff>142875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Кнопка 11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138112</xdr:colOff>
      <xdr:row>17</xdr:row>
      <xdr:rowOff>104776</xdr:rowOff>
    </xdr:from>
    <xdr:to>
      <xdr:col>8</xdr:col>
      <xdr:colOff>666750</xdr:colOff>
      <xdr:row>39</xdr:row>
      <xdr:rowOff>71438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85725</xdr:colOff>
      <xdr:row>14</xdr:row>
      <xdr:rowOff>152400</xdr:rowOff>
    </xdr:from>
    <xdr:to>
      <xdr:col>17</xdr:col>
      <xdr:colOff>409575</xdr:colOff>
      <xdr:row>37</xdr:row>
      <xdr:rowOff>128587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imulate%20Bulging%20cs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"/>
      <sheetName val="B"/>
    </sheetNames>
    <sheetDataSet>
      <sheetData sheetId="0">
        <row r="3">
          <cell r="K3">
            <v>322.625</v>
          </cell>
          <cell r="O3">
            <v>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"/>
  <dimension ref="A2:Q52"/>
  <sheetViews>
    <sheetView zoomScale="130" zoomScaleNormal="130" workbookViewId="0">
      <selection activeCell="F7" sqref="F7"/>
    </sheetView>
  </sheetViews>
  <sheetFormatPr defaultRowHeight="12.75" x14ac:dyDescent="0.2"/>
  <cols>
    <col min="1" max="1" width="4.85546875" style="2" customWidth="1"/>
    <col min="2" max="2" width="11" style="2" customWidth="1"/>
    <col min="3" max="3" width="13.85546875" style="15" bestFit="1" customWidth="1"/>
    <col min="4" max="4" width="13.85546875" style="2" bestFit="1" customWidth="1"/>
    <col min="5" max="5" width="12.42578125" style="2" bestFit="1" customWidth="1"/>
    <col min="6" max="6" width="6" style="2" customWidth="1"/>
    <col min="7" max="11" width="12.42578125" style="2" bestFit="1" customWidth="1"/>
    <col min="12" max="12" width="11.42578125" style="2" customWidth="1"/>
    <col min="13" max="14" width="12.42578125" style="2" bestFit="1" customWidth="1"/>
    <col min="15" max="15" width="9.5703125" style="2" customWidth="1"/>
    <col min="16" max="16" width="12.42578125" style="2" bestFit="1" customWidth="1"/>
    <col min="17" max="17" width="12.42578125" style="2" customWidth="1"/>
    <col min="18" max="16384" width="9.140625" style="2"/>
  </cols>
  <sheetData>
    <row r="2" spans="1:17" x14ac:dyDescent="0.2">
      <c r="H2" s="3" t="s">
        <v>17</v>
      </c>
      <c r="I2" s="2">
        <v>1</v>
      </c>
    </row>
    <row r="3" spans="1:17" x14ac:dyDescent="0.2">
      <c r="A3" s="4"/>
      <c r="B3" s="4" t="s">
        <v>2</v>
      </c>
      <c r="C3" s="16"/>
      <c r="D3" s="5" t="s">
        <v>12</v>
      </c>
      <c r="E3" s="12">
        <f>data!AC1</f>
        <v>25.083228264651996</v>
      </c>
      <c r="H3" s="6" t="s">
        <v>18</v>
      </c>
      <c r="I3" s="4">
        <v>0.5</v>
      </c>
      <c r="J3" s="4"/>
      <c r="K3" s="4"/>
      <c r="L3" s="4"/>
    </row>
    <row r="4" spans="1:17" x14ac:dyDescent="0.2">
      <c r="A4" s="4"/>
      <c r="B4" s="7" t="s">
        <v>14</v>
      </c>
      <c r="C4" s="16">
        <v>2</v>
      </c>
      <c r="D4" s="4"/>
      <c r="G4" s="6"/>
      <c r="H4" s="6" t="s">
        <v>19</v>
      </c>
      <c r="I4" s="4">
        <v>2</v>
      </c>
      <c r="J4" s="4"/>
      <c r="K4" s="4"/>
      <c r="L4" s="4"/>
    </row>
    <row r="5" spans="1:17" x14ac:dyDescent="0.2">
      <c r="B5" s="7" t="s">
        <v>15</v>
      </c>
      <c r="C5" s="15">
        <v>50000</v>
      </c>
      <c r="I5" s="8"/>
    </row>
    <row r="6" spans="1:17" x14ac:dyDescent="0.2">
      <c r="A6" s="3" t="s">
        <v>23</v>
      </c>
      <c r="B6" s="3" t="s">
        <v>1</v>
      </c>
      <c r="C6" s="2">
        <v>1028.254506034411</v>
      </c>
      <c r="D6" s="2">
        <v>1028.2545060364737</v>
      </c>
      <c r="E6" s="2">
        <v>8314.639465269498</v>
      </c>
      <c r="K6" s="3"/>
    </row>
    <row r="7" spans="1:17" x14ac:dyDescent="0.2">
      <c r="A7" s="3" t="s">
        <v>24</v>
      </c>
      <c r="B7" s="3" t="s">
        <v>0</v>
      </c>
      <c r="C7" s="2">
        <v>0.5046061027994071</v>
      </c>
      <c r="D7" s="2">
        <v>0.50460610279968887</v>
      </c>
      <c r="E7" s="2">
        <v>0.7546317743379487</v>
      </c>
      <c r="K7" s="3"/>
    </row>
    <row r="8" spans="1:17" x14ac:dyDescent="0.2">
      <c r="A8" s="3" t="s">
        <v>25</v>
      </c>
      <c r="B8" s="3" t="s">
        <v>8</v>
      </c>
      <c r="D8" s="2">
        <v>25.083228264650639</v>
      </c>
      <c r="E8" s="2">
        <v>0.51522930093208397</v>
      </c>
      <c r="P8" s="3"/>
      <c r="Q8" s="3"/>
    </row>
    <row r="9" spans="1:17" x14ac:dyDescent="0.2">
      <c r="A9" s="3" t="s">
        <v>26</v>
      </c>
      <c r="B9" s="3" t="s">
        <v>9</v>
      </c>
      <c r="C9" s="1"/>
      <c r="D9" s="15">
        <v>7.3539060358149069</v>
      </c>
      <c r="E9" s="15">
        <v>95.914010323377298</v>
      </c>
      <c r="F9" s="3" t="s">
        <v>68</v>
      </c>
      <c r="G9"/>
      <c r="I9"/>
      <c r="J9"/>
    </row>
    <row r="10" spans="1:17" x14ac:dyDescent="0.2">
      <c r="A10" s="3" t="s">
        <v>27</v>
      </c>
      <c r="B10" s="3" t="s">
        <v>10</v>
      </c>
      <c r="C10" s="20"/>
      <c r="D10" s="2">
        <v>0.47438324945528809</v>
      </c>
      <c r="E10" s="1"/>
      <c r="G10">
        <f>C6*1000000</f>
        <v>1028254506.034411</v>
      </c>
      <c r="H10" s="2">
        <f>(1/G10)^(1/G11)</f>
        <v>1.3814200287822608E-18</v>
      </c>
      <c r="K10" s="3"/>
    </row>
    <row r="11" spans="1:17" x14ac:dyDescent="0.2">
      <c r="A11" s="3" t="s">
        <v>28</v>
      </c>
      <c r="B11" s="3" t="s">
        <v>29</v>
      </c>
      <c r="C11" s="20"/>
      <c r="D11" s="3"/>
      <c r="E11"/>
      <c r="G11" s="1">
        <f>C7</f>
        <v>0.5046061027994071</v>
      </c>
      <c r="H11" s="2">
        <f>1/G11</f>
        <v>1.9817437689562065</v>
      </c>
      <c r="K11" s="3"/>
    </row>
    <row r="12" spans="1:17" x14ac:dyDescent="0.2">
      <c r="A12" s="3" t="s">
        <v>13</v>
      </c>
      <c r="B12" s="3" t="s">
        <v>30</v>
      </c>
      <c r="E12" s="1"/>
      <c r="G12"/>
      <c r="I12" s="3"/>
      <c r="J12" s="3"/>
      <c r="K12" s="3"/>
    </row>
    <row r="13" spans="1:17" x14ac:dyDescent="0.2">
      <c r="A13" s="3" t="s">
        <v>34</v>
      </c>
      <c r="B13" s="3" t="s">
        <v>35</v>
      </c>
      <c r="E13" s="20"/>
      <c r="G13"/>
      <c r="J13" s="3"/>
      <c r="K13" s="3"/>
    </row>
    <row r="14" spans="1:17" x14ac:dyDescent="0.2">
      <c r="A14" s="3" t="s">
        <v>36</v>
      </c>
      <c r="B14" s="3" t="s">
        <v>37</v>
      </c>
      <c r="E14" s="20"/>
      <c r="F14" s="20"/>
      <c r="G14" s="2">
        <f>(1/C6)^(1/C7)</f>
        <v>1.0734661696079047E-6</v>
      </c>
      <c r="J14" s="3"/>
      <c r="K14" s="3"/>
    </row>
    <row r="15" spans="1:17" x14ac:dyDescent="0.2">
      <c r="E15" s="20"/>
      <c r="G15" s="2">
        <f>1/C7</f>
        <v>1.9817437689562065</v>
      </c>
      <c r="J15" s="3"/>
      <c r="K15" s="20"/>
    </row>
    <row r="16" spans="1:17" x14ac:dyDescent="0.2">
      <c r="E16" s="20"/>
      <c r="G16" s="20"/>
      <c r="I16" s="3"/>
      <c r="J16" s="3"/>
      <c r="K16" s="3"/>
      <c r="N16" s="9"/>
    </row>
    <row r="17" spans="1:17" x14ac:dyDescent="0.2">
      <c r="E17" s="20"/>
    </row>
    <row r="18" spans="1:17" x14ac:dyDescent="0.2">
      <c r="G18" s="3"/>
      <c r="M18" s="9"/>
    </row>
    <row r="19" spans="1:17" x14ac:dyDescent="0.2">
      <c r="B19" s="3"/>
      <c r="G19" s="3"/>
      <c r="M19" s="9"/>
    </row>
    <row r="20" spans="1:17" x14ac:dyDescent="0.2">
      <c r="A20" s="10">
        <v>1</v>
      </c>
      <c r="B20" s="10">
        <v>2</v>
      </c>
      <c r="C20" s="18">
        <v>3</v>
      </c>
      <c r="D20" s="10">
        <v>4</v>
      </c>
      <c r="E20" s="10">
        <v>5</v>
      </c>
      <c r="F20" s="10">
        <v>6</v>
      </c>
      <c r="G20" s="10">
        <v>7</v>
      </c>
      <c r="H20" s="10">
        <v>8</v>
      </c>
      <c r="I20" s="10">
        <v>9</v>
      </c>
      <c r="J20" s="10">
        <v>10</v>
      </c>
      <c r="K20" s="10">
        <v>11</v>
      </c>
      <c r="L20" s="10">
        <v>12</v>
      </c>
      <c r="M20" s="10">
        <v>13</v>
      </c>
      <c r="N20" s="10">
        <v>14</v>
      </c>
    </row>
    <row r="21" spans="1:17" x14ac:dyDescent="0.2">
      <c r="A21" s="13"/>
      <c r="B21" s="13">
        <v>11308.742922851525</v>
      </c>
      <c r="C21" s="19">
        <v>137.7628096055706</v>
      </c>
      <c r="D21" s="19">
        <v>17873.516493921878</v>
      </c>
      <c r="E21" s="13"/>
      <c r="F21" s="3" t="s">
        <v>11</v>
      </c>
      <c r="G21" s="2">
        <v>135.96687215850116</v>
      </c>
      <c r="H21" s="2">
        <v>3265.4715489443902</v>
      </c>
      <c r="I21" s="2">
        <v>134286.38296268895</v>
      </c>
      <c r="J21" s="2">
        <v>2117.7336597731564</v>
      </c>
      <c r="K21" s="2">
        <v>0.30076535998069021</v>
      </c>
      <c r="L21" s="3">
        <v>0.30076536946052884</v>
      </c>
      <c r="M21" s="3">
        <v>0.30076537511439672</v>
      </c>
      <c r="N21" s="3">
        <v>0.33745679995798089</v>
      </c>
      <c r="O21" s="2">
        <v>0.28688143828678708</v>
      </c>
      <c r="P21" s="2">
        <v>0.28689735328770782</v>
      </c>
    </row>
    <row r="22" spans="1:17" x14ac:dyDescent="0.2">
      <c r="B22" s="3" t="s">
        <v>22</v>
      </c>
      <c r="C22" s="17" t="s">
        <v>21</v>
      </c>
      <c r="D22" s="3" t="s">
        <v>20</v>
      </c>
      <c r="E22" s="3" t="s">
        <v>16</v>
      </c>
      <c r="G22" s="3" t="s">
        <v>3</v>
      </c>
      <c r="H22" s="3" t="s">
        <v>4</v>
      </c>
      <c r="I22" s="3" t="s">
        <v>5</v>
      </c>
      <c r="J22" s="3" t="s">
        <v>6</v>
      </c>
      <c r="K22" s="3" t="s">
        <v>7</v>
      </c>
      <c r="L22" s="3" t="s">
        <v>31</v>
      </c>
      <c r="M22" s="3" t="s">
        <v>32</v>
      </c>
      <c r="N22" s="3" t="s">
        <v>33</v>
      </c>
      <c r="O22" s="11"/>
      <c r="P22" s="11"/>
      <c r="Q22" s="11"/>
    </row>
    <row r="23" spans="1:17" x14ac:dyDescent="0.2">
      <c r="B23" s="2">
        <v>6722.8492122687012</v>
      </c>
      <c r="C23" s="15">
        <v>6402.7148523320157</v>
      </c>
      <c r="D23" s="2">
        <v>6829.5611045269343</v>
      </c>
      <c r="E23" s="2">
        <v>6616.1373200104681</v>
      </c>
      <c r="F23" s="3" t="s">
        <v>1</v>
      </c>
      <c r="G23" s="2">
        <v>6402.7135354940019</v>
      </c>
      <c r="H23" s="2">
        <v>7042.9848890434023</v>
      </c>
      <c r="I23" s="2">
        <v>6402.7135354940019</v>
      </c>
      <c r="J23" s="2">
        <v>6402.7135354940019</v>
      </c>
      <c r="K23" s="2">
        <v>9.0763302903821526</v>
      </c>
      <c r="L23" s="2">
        <v>9.0780289539000805</v>
      </c>
      <c r="M23" s="3">
        <v>9.0802051666843955</v>
      </c>
      <c r="N23" s="3">
        <v>16.737103937155236</v>
      </c>
      <c r="O23" s="2">
        <v>16.442531219086185</v>
      </c>
      <c r="P23" s="2">
        <v>16.137503223838443</v>
      </c>
    </row>
    <row r="24" spans="1:17" x14ac:dyDescent="0.2">
      <c r="B24" s="2">
        <v>0.68991691835691404</v>
      </c>
      <c r="C24" s="15">
        <v>0.72622843313408925</v>
      </c>
      <c r="D24" s="2">
        <v>0.65360550160128694</v>
      </c>
      <c r="E24" s="2">
        <v>0.72622833511254115</v>
      </c>
      <c r="F24" s="3" t="s">
        <v>0</v>
      </c>
      <c r="G24" s="2">
        <v>0.72622833511254115</v>
      </c>
      <c r="H24" s="2">
        <v>0.72622833511254115</v>
      </c>
      <c r="I24" s="2">
        <v>0.79885116862379535</v>
      </c>
      <c r="J24" s="2">
        <v>0.72622833511254115</v>
      </c>
      <c r="K24" s="2">
        <v>9.1375359482266189E-2</v>
      </c>
      <c r="L24" s="2">
        <v>9.1370477496882527E-2</v>
      </c>
      <c r="M24" s="3">
        <v>9.1364220278272429E-2</v>
      </c>
      <c r="N24" s="3">
        <v>8.3350211787981798E-2</v>
      </c>
      <c r="O24" s="2">
        <v>311684.75912310975</v>
      </c>
      <c r="P24" s="2">
        <v>311703.87249136879</v>
      </c>
    </row>
    <row r="25" spans="1:17" x14ac:dyDescent="0.2">
      <c r="B25" s="2">
        <v>0.56544337349365814</v>
      </c>
      <c r="C25" s="15">
        <v>0.53851804624514377</v>
      </c>
      <c r="D25" s="2">
        <v>0.57441866513641471</v>
      </c>
      <c r="E25" s="2">
        <v>0.55646808185090169</v>
      </c>
      <c r="F25" s="3" t="s">
        <v>8</v>
      </c>
      <c r="G25" s="2">
        <v>0.53851749856538866</v>
      </c>
      <c r="H25" s="2">
        <v>0.53851749856538866</v>
      </c>
      <c r="I25" s="2">
        <v>0.53851749856538866</v>
      </c>
      <c r="J25" s="2">
        <v>0.59236924842192762</v>
      </c>
      <c r="K25" s="2">
        <v>0.89135276883791303</v>
      </c>
      <c r="L25" s="2">
        <v>0.89118632359639993</v>
      </c>
      <c r="M25" s="3">
        <v>0.89112508592406448</v>
      </c>
      <c r="N25" s="3">
        <v>1.142055948452714</v>
      </c>
      <c r="O25" s="2">
        <v>9.5786510974397415E-2</v>
      </c>
      <c r="P25" s="2">
        <v>9.6362556885558046E-2</v>
      </c>
    </row>
    <row r="26" spans="1:17" x14ac:dyDescent="0.2">
      <c r="B26" s="2">
        <v>0.13498795640045472</v>
      </c>
      <c r="C26" s="15">
        <v>0.1349872995649446</v>
      </c>
      <c r="D26" s="2">
        <v>0.13498648162414395</v>
      </c>
      <c r="E26" s="2">
        <v>0.1349856636833433</v>
      </c>
      <c r="F26" s="3" t="s">
        <v>9</v>
      </c>
      <c r="G26" s="2">
        <v>0.13498186417716038</v>
      </c>
      <c r="H26" s="2">
        <v>0.13498795640045472</v>
      </c>
      <c r="I26" s="2">
        <v>0.13498843934761121</v>
      </c>
      <c r="J26" s="2">
        <v>0.13498648162414395</v>
      </c>
      <c r="K26" s="2">
        <v>0.13498139448232144</v>
      </c>
      <c r="L26" s="2">
        <v>0.13498601827155648</v>
      </c>
      <c r="M26" s="3">
        <v>0.1349883094209556</v>
      </c>
      <c r="N26" s="3">
        <v>0.14214473140100631</v>
      </c>
      <c r="O26" s="2">
        <v>0.7993381223002286</v>
      </c>
      <c r="P26" s="2">
        <v>0.80338994607646685</v>
      </c>
    </row>
    <row r="27" spans="1:17" x14ac:dyDescent="0.2">
      <c r="B27" s="2">
        <v>6.522519308783403E-4</v>
      </c>
      <c r="C27" s="15">
        <v>6.5326408337786643E-4</v>
      </c>
      <c r="D27" s="2">
        <v>6.5264775395814203E-4</v>
      </c>
      <c r="E27" s="2">
        <v>6.5203142453841762E-4</v>
      </c>
      <c r="F27" s="3" t="s">
        <v>10</v>
      </c>
      <c r="G27" s="2">
        <v>6.52030615895613E-4</v>
      </c>
      <c r="H27" s="2">
        <v>6.522519308783403E-4</v>
      </c>
      <c r="I27" s="2">
        <v>6.5268727049219103E-4</v>
      </c>
      <c r="J27" s="2">
        <v>6.5264775395814203E-4</v>
      </c>
      <c r="K27" s="2">
        <v>6.5166945436363451E-4</v>
      </c>
      <c r="L27" s="2">
        <v>6.5239383401208284E-4</v>
      </c>
      <c r="M27" s="3">
        <v>6.5115544158864417E-4</v>
      </c>
      <c r="N27" s="3">
        <v>3.6626682381076469E-4</v>
      </c>
      <c r="O27" s="2">
        <v>405331.92701100686</v>
      </c>
      <c r="P27" s="2">
        <v>405279.95589949528</v>
      </c>
    </row>
    <row r="28" spans="1:17" x14ac:dyDescent="0.2">
      <c r="B28" s="2">
        <v>0.12829086871923032</v>
      </c>
      <c r="C28" s="15">
        <v>0.12825067309094171</v>
      </c>
      <c r="D28" s="2">
        <v>0.12827628503859428</v>
      </c>
      <c r="E28" s="2">
        <v>0.12830189698624686</v>
      </c>
      <c r="F28" s="3" t="s">
        <v>29</v>
      </c>
      <c r="G28" s="2">
        <v>0.12830475786481649</v>
      </c>
      <c r="H28" s="2">
        <v>0.12829086871923032</v>
      </c>
      <c r="I28" s="2">
        <v>0.12827260135290747</v>
      </c>
      <c r="J28" s="2">
        <v>0.12827628503859428</v>
      </c>
      <c r="K28" s="2">
        <v>0.12831643827237615</v>
      </c>
      <c r="L28" s="2">
        <v>0.12828976830289152</v>
      </c>
      <c r="M28" s="3">
        <v>0.12833694740525919</v>
      </c>
      <c r="N28" s="3">
        <v>489641.25431752682</v>
      </c>
      <c r="O28" s="2">
        <v>0.134984484464307</v>
      </c>
      <c r="P28" s="2">
        <v>0.13489004147581052</v>
      </c>
    </row>
    <row r="29" spans="1:17" x14ac:dyDescent="0.2">
      <c r="B29" s="2">
        <v>0.11541444788013337</v>
      </c>
      <c r="C29" s="15">
        <v>0.11547052279130668</v>
      </c>
      <c r="D29" s="2">
        <v>0.11544181792884814</v>
      </c>
      <c r="E29" s="2">
        <v>0.1154131130663896</v>
      </c>
      <c r="F29" s="3" t="s">
        <v>30</v>
      </c>
      <c r="G29" s="2">
        <v>0.11539953329453542</v>
      </c>
      <c r="H29" s="2">
        <v>0.11541607985551922</v>
      </c>
      <c r="I29" s="2">
        <v>0.11540427669642098</v>
      </c>
      <c r="J29" s="2">
        <v>0.11547052279130668</v>
      </c>
      <c r="K29" s="2">
        <v>0.11544367589990057</v>
      </c>
      <c r="L29" s="2">
        <v>0.11541226664567328</v>
      </c>
      <c r="M29" s="3">
        <v>0.115410884614151</v>
      </c>
      <c r="N29" s="3">
        <v>0.11540507445852674</v>
      </c>
      <c r="O29" s="2">
        <v>1.8785373153047723E-3</v>
      </c>
      <c r="P29" s="2">
        <v>1.8509699388599855E-3</v>
      </c>
    </row>
    <row r="30" spans="1:17" x14ac:dyDescent="0.2">
      <c r="B30" s="2">
        <v>322592.2022313003</v>
      </c>
      <c r="C30" s="15">
        <v>323134.20926627837</v>
      </c>
      <c r="D30" s="2">
        <v>325111.95998937637</v>
      </c>
      <c r="E30" s="2">
        <v>323432.12148399232</v>
      </c>
      <c r="G30" s="2">
        <v>322811.97866857593</v>
      </c>
      <c r="H30" s="2">
        <v>323585.09637025575</v>
      </c>
      <c r="I30" s="2">
        <v>322854.7215966119</v>
      </c>
      <c r="J30" s="2">
        <v>323618.58482697111</v>
      </c>
      <c r="K30" s="2">
        <v>324217.17941386753</v>
      </c>
      <c r="L30" s="2">
        <v>323594.96000767144</v>
      </c>
      <c r="M30" s="3">
        <v>323374.15791514772</v>
      </c>
      <c r="N30" s="3">
        <v>322592.2022313003</v>
      </c>
      <c r="O30" s="2">
        <v>323119.59873673995</v>
      </c>
      <c r="P30" s="2">
        <v>323712.81582008983</v>
      </c>
    </row>
    <row r="31" spans="1:17" x14ac:dyDescent="0.2">
      <c r="B31" s="2">
        <v>0.1224886823358409</v>
      </c>
      <c r="C31" s="15">
        <v>0.12155315740148739</v>
      </c>
      <c r="D31" s="2">
        <v>0.12045724110866521</v>
      </c>
      <c r="E31" s="2">
        <v>0.12181153526011566</v>
      </c>
      <c r="G31" s="2">
        <v>0.12197399197584563</v>
      </c>
      <c r="H31" s="2">
        <v>0.12146430516755663</v>
      </c>
      <c r="I31" s="2">
        <v>0.12202151870075062</v>
      </c>
      <c r="J31" s="2">
        <v>0.12153356550544378</v>
      </c>
      <c r="K31" s="2">
        <v>0.12122200633894051</v>
      </c>
      <c r="L31" s="2">
        <v>0.12183165618216996</v>
      </c>
      <c r="M31" s="2">
        <v>0.122159127709666</v>
      </c>
      <c r="N31" s="2">
        <v>0.1224886823358409</v>
      </c>
      <c r="O31" s="2">
        <v>0.12185354631136984</v>
      </c>
      <c r="P31" s="2">
        <v>0.12224409944929812</v>
      </c>
    </row>
    <row r="37" spans="3:17" ht="15" x14ac:dyDescent="0.25">
      <c r="D37" s="27">
        <v>4.057E-4</v>
      </c>
      <c r="E37" s="27">
        <v>2.383E-2</v>
      </c>
      <c r="P37" s="14"/>
      <c r="Q37" s="14"/>
    </row>
    <row r="38" spans="3:17" x14ac:dyDescent="0.2">
      <c r="C38" s="17"/>
      <c r="D38" s="27">
        <v>4.0000000000000002E-4</v>
      </c>
      <c r="E38" s="27">
        <v>2.291E-2</v>
      </c>
    </row>
    <row r="39" spans="3:17" x14ac:dyDescent="0.2">
      <c r="C39" s="17"/>
    </row>
    <row r="40" spans="3:17" x14ac:dyDescent="0.2">
      <c r="C40" s="17"/>
    </row>
    <row r="41" spans="3:17" x14ac:dyDescent="0.2">
      <c r="C41" s="17"/>
    </row>
    <row r="52" spans="2:2" ht="15" x14ac:dyDescent="0.25">
      <c r="B52" s="14"/>
    </row>
  </sheetData>
  <sortState ref="J37:L41">
    <sortCondition ref="K37:K41"/>
  </sortState>
  <phoneticPr fontId="1" type="noConversion"/>
  <pageMargins left="0.75" right="0.75" top="1" bottom="1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1" r:id="rId4" name="Button 11">
              <controlPr defaultSize="0" print="0" autoFill="0" autoPict="0" macro="[0]!Optimize">
                <anchor moveWithCells="1" sizeWithCells="1">
                  <from>
                    <xdr:col>5</xdr:col>
                    <xdr:colOff>238125</xdr:colOff>
                    <xdr:row>2</xdr:row>
                    <xdr:rowOff>38100</xdr:rowOff>
                  </from>
                  <to>
                    <xdr:col>6</xdr:col>
                    <xdr:colOff>695325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G4454"/>
  <sheetViews>
    <sheetView tabSelected="1" topLeftCell="A2" workbookViewId="0">
      <pane ySplit="960"/>
      <selection activeCell="W2" sqref="W1:Y1048576"/>
      <selection pane="bottomLeft" activeCell="X19" sqref="X19"/>
    </sheetView>
  </sheetViews>
  <sheetFormatPr defaultRowHeight="12.75" x14ac:dyDescent="0.2"/>
  <cols>
    <col min="6" max="6" width="11.85546875" bestFit="1" customWidth="1"/>
    <col min="7" max="7" width="9.28515625" bestFit="1" customWidth="1"/>
    <col min="8" max="8" width="10.28515625" bestFit="1" customWidth="1"/>
    <col min="9" max="9" width="10.140625" bestFit="1" customWidth="1"/>
    <col min="10" max="10" width="10.28515625" bestFit="1" customWidth="1"/>
    <col min="11" max="11" width="13.5703125" bestFit="1" customWidth="1"/>
    <col min="14" max="14" width="13.7109375" bestFit="1" customWidth="1"/>
    <col min="15" max="15" width="13.5703125" bestFit="1" customWidth="1"/>
    <col min="16" max="17" width="13.7109375" bestFit="1" customWidth="1"/>
    <col min="28" max="28" width="12.42578125" bestFit="1" customWidth="1"/>
  </cols>
  <sheetData>
    <row r="1" spans="1:33" x14ac:dyDescent="0.2">
      <c r="T1" s="1" t="s">
        <v>70</v>
      </c>
      <c r="AA1">
        <f>SUM(AA3:AA5000)</f>
        <v>18.925953100666984</v>
      </c>
      <c r="AB1">
        <f>SUM(AB3:AB5000)^0.5</f>
        <v>6.1572751639850133E-2</v>
      </c>
      <c r="AC1">
        <f>AB1*100+AA1</f>
        <v>25.083228264651996</v>
      </c>
    </row>
    <row r="2" spans="1:33" ht="15" x14ac:dyDescent="0.25">
      <c r="H2" t="s">
        <v>44</v>
      </c>
      <c r="I2" t="s">
        <v>45</v>
      </c>
      <c r="J2" t="s">
        <v>42</v>
      </c>
      <c r="K2" t="s">
        <v>46</v>
      </c>
      <c r="L2" t="s">
        <v>47</v>
      </c>
      <c r="M2" t="s">
        <v>48</v>
      </c>
      <c r="N2" s="1" t="s">
        <v>49</v>
      </c>
      <c r="O2" t="s">
        <v>50</v>
      </c>
      <c r="P2" s="1" t="s">
        <v>51</v>
      </c>
      <c r="Q2" s="1" t="s">
        <v>52</v>
      </c>
      <c r="R2" s="1" t="s">
        <v>53</v>
      </c>
      <c r="T2" s="1" t="s">
        <v>69</v>
      </c>
      <c r="W2" s="25" t="s">
        <v>63</v>
      </c>
      <c r="X2" s="25" t="s">
        <v>64</v>
      </c>
      <c r="Y2" s="25" t="s">
        <v>65</v>
      </c>
      <c r="Z2" s="26" t="s">
        <v>67</v>
      </c>
      <c r="AA2" s="26" t="s">
        <v>66</v>
      </c>
      <c r="AG2" s="1" t="s">
        <v>49</v>
      </c>
    </row>
    <row r="3" spans="1:33" x14ac:dyDescent="0.2">
      <c r="D3" t="s">
        <v>43</v>
      </c>
      <c r="E3">
        <v>3</v>
      </c>
      <c r="H3">
        <v>0</v>
      </c>
      <c r="J3">
        <f>Q3</f>
        <v>0.99792818506277203</v>
      </c>
      <c r="K3">
        <f t="shared" ref="K3:K66" si="0">IF(O3&lt;$B$8+$B$9,0.5*(($B$8+$B$9)^2+O3^2)/O3-$B$9,$B$8)</f>
        <v>322.625</v>
      </c>
      <c r="L3">
        <f>0.5*Z3*K3/J3/$B$7</f>
        <v>161.64740350514609</v>
      </c>
      <c r="M3">
        <f>-LN(J3)</f>
        <v>2.0739641147735316E-3</v>
      </c>
      <c r="N3" s="21">
        <f>-$B$15*(O3-2*(K3+$B$9))/(K3+$B$9)^2/J3</f>
        <v>4.1458567429217951E-3</v>
      </c>
      <c r="O3">
        <v>1</v>
      </c>
      <c r="P3">
        <f>MIN(O3/(K3+$B$9),1)</f>
        <v>3.0710172744721691E-3</v>
      </c>
      <c r="Q3">
        <f t="shared" ref="Q3:Q66" si="1">1-B$15*P3</f>
        <v>0.99792818506277203</v>
      </c>
      <c r="R3">
        <f t="shared" ref="R3:R66" si="2">$E$15/(P3+$E$16)</f>
        <v>-0.30490571916255466</v>
      </c>
      <c r="T3" s="21">
        <f>T4</f>
        <v>2.5570504019181359E-2</v>
      </c>
      <c r="Y3">
        <v>1</v>
      </c>
      <c r="Z3">
        <f t="shared" ref="Z3:Z66" si="3">Y3</f>
        <v>1</v>
      </c>
      <c r="AG3" s="22">
        <f>-$B$15*('[1]3'!O3-'[1]3'!K3-$B$9)/('[1]3'!K3+B9)^2</f>
        <v>2.065452357766233E-3</v>
      </c>
    </row>
    <row r="4" spans="1:33" x14ac:dyDescent="0.2">
      <c r="D4" t="s">
        <v>43</v>
      </c>
      <c r="E4">
        <f>E3*0.101325</f>
        <v>0.303975</v>
      </c>
      <c r="G4" s="21"/>
      <c r="H4" s="21">
        <f>H3+0.0001</f>
        <v>1E-4</v>
      </c>
      <c r="I4">
        <f>IF(P3&lt;0.999,MAX(0,MIN(10000000,(L3/$E$8/M3^$E$10)^(1/$E$9)/N3)),0.1)</f>
        <v>6.1658278623175615</v>
      </c>
      <c r="J4">
        <f>Q4</f>
        <v>0.99792563331336781</v>
      </c>
      <c r="K4">
        <f>IF(O4&lt;$B$8+$B$9,0.5*(($B$8+$B$9)^2+O4^2)/O4-$B$9,$B$8)</f>
        <v>322.42496534103407</v>
      </c>
      <c r="L4">
        <f>0.5*Z4*K4/J4/$B$7</f>
        <v>161.54759161286441</v>
      </c>
      <c r="M4">
        <f>-LN(J4)</f>
        <v>2.0765211651754497E-3</v>
      </c>
      <c r="N4" s="21">
        <f>-$B$15*(O4-2*(K4+$B$9))/(K4+$B$9)^2/J4</f>
        <v>4.1484078993575145E-3</v>
      </c>
      <c r="O4" s="21">
        <f t="shared" ref="O4:O68" si="4">O3+I4*(H4-H3)</f>
        <v>1.0006165827862317</v>
      </c>
      <c r="P4">
        <f t="shared" ref="P4:P67" si="5">MIN(O4/(K4+$B$9),1)</f>
        <v>3.074799690729383E-3</v>
      </c>
      <c r="Q4">
        <f t="shared" si="1"/>
        <v>0.99792563331336781</v>
      </c>
      <c r="R4">
        <f t="shared" si="2"/>
        <v>-0.30490796010132992</v>
      </c>
      <c r="T4" s="21">
        <f>(M4-M3)/(H4-H3)</f>
        <v>2.5570504019181359E-2</v>
      </c>
      <c r="Y4">
        <v>1</v>
      </c>
      <c r="Z4">
        <f t="shared" si="3"/>
        <v>1</v>
      </c>
      <c r="AC4" s="1" t="s">
        <v>51</v>
      </c>
      <c r="AD4" s="1" t="s">
        <v>52</v>
      </c>
      <c r="AE4" s="1" t="s">
        <v>53</v>
      </c>
    </row>
    <row r="5" spans="1:33" x14ac:dyDescent="0.2">
      <c r="G5" s="21"/>
      <c r="H5" s="21">
        <f>H4*1.1</f>
        <v>1.1000000000000002E-4</v>
      </c>
      <c r="I5">
        <f t="shared" ref="I5:I68" si="6">IF(P4&lt;0.999,MAX(0,MIN(10000000,(L4/$E$8/M4^$E$10)^(1/$E$9)/N4)),0.1)</f>
        <v>6.1544980915511465</v>
      </c>
      <c r="J5">
        <f>Q5</f>
        <v>0.99792537852150964</v>
      </c>
      <c r="K5">
        <f>IF(O5&lt;$B$8+$B$9,0.5*(($B$8+$B$9)^2+O5^2)/O5-$B$9,$B$8)</f>
        <v>322.40501218336533</v>
      </c>
      <c r="L5">
        <f>0.5*Z5*K5/J5/$B$7</f>
        <v>161.53763553995842</v>
      </c>
      <c r="M5">
        <f t="shared" ref="M5:M67" si="7">-LN(J5)</f>
        <v>2.0767764866966017E-3</v>
      </c>
      <c r="N5" s="21">
        <f t="shared" ref="N5:N68" si="8">-$B$15*(O5-2*(K5+$B$9))/(K5+$B$9)^2/J5</f>
        <v>4.1486625457064705E-3</v>
      </c>
      <c r="O5" s="21">
        <f t="shared" si="4"/>
        <v>1.0006781277671473</v>
      </c>
      <c r="P5">
        <f t="shared" si="5"/>
        <v>3.0751773645184863E-3</v>
      </c>
      <c r="Q5">
        <f t="shared" si="1"/>
        <v>0.99792537852150964</v>
      </c>
      <c r="R5">
        <f t="shared" si="2"/>
        <v>-0.30490818386059437</v>
      </c>
      <c r="T5" s="21">
        <f>(M5-M4)/(H5-H4)</f>
        <v>2.5532152115193659E-2</v>
      </c>
      <c r="Y5">
        <v>1</v>
      </c>
      <c r="Z5">
        <f t="shared" si="3"/>
        <v>1</v>
      </c>
      <c r="AC5">
        <v>0.1</v>
      </c>
      <c r="AD5">
        <f t="shared" ref="AD5:AD36" si="9">1-AC5*$B$15</f>
        <v>0.93253652610651427</v>
      </c>
      <c r="AE5">
        <f t="shared" ref="AE5:AE36" si="10">$E$15/(AC5+$E$16)</f>
        <v>-0.37565755028029091</v>
      </c>
    </row>
    <row r="6" spans="1:33" x14ac:dyDescent="0.2">
      <c r="D6" s="23"/>
      <c r="E6" s="23"/>
      <c r="G6" s="21"/>
      <c r="H6" s="21">
        <f t="shared" ref="H6:H69" si="11">H5*1.1</f>
        <v>1.2100000000000003E-4</v>
      </c>
      <c r="I6">
        <f t="shared" si="6"/>
        <v>6.1533687243201642</v>
      </c>
      <c r="J6">
        <f>Q6</f>
        <v>0.99792509828391263</v>
      </c>
      <c r="K6">
        <f>IF(O6&lt;$B$8+$B$9,0.5*(($B$8+$B$9)^2+O6^2)/O6-$B$9,$B$8)</f>
        <v>322.38307057571706</v>
      </c>
      <c r="L6">
        <f>0.5*Z6*K6/J6/$B$7</f>
        <v>161.52668728850736</v>
      </c>
      <c r="M6">
        <f>-LN(J6)</f>
        <v>2.0770573069286515E-3</v>
      </c>
      <c r="N6" s="21">
        <f t="shared" si="8"/>
        <v>4.1489426051807918E-3</v>
      </c>
      <c r="O6" s="21">
        <f>O5+I6*(H6-H5)</f>
        <v>1.0007458148231148</v>
      </c>
      <c r="P6">
        <f>MIN(O6/(K6+$B$9),1)</f>
        <v>3.075592756108803E-3</v>
      </c>
      <c r="Q6">
        <f>1-B$15*P6</f>
        <v>0.99792509828391263</v>
      </c>
      <c r="R6">
        <f t="shared" si="2"/>
        <v>-0.30490842996679146</v>
      </c>
      <c r="T6" s="21">
        <f>(M6-M5)/(H6-H5)</f>
        <v>2.5529112004535188E-2</v>
      </c>
      <c r="Y6">
        <v>1</v>
      </c>
      <c r="Z6">
        <f t="shared" si="3"/>
        <v>1</v>
      </c>
      <c r="AC6">
        <v>0.2</v>
      </c>
      <c r="AD6">
        <f t="shared" si="9"/>
        <v>0.86507305221302844</v>
      </c>
      <c r="AE6">
        <f t="shared" si="10"/>
        <v>-0.49389429651279027</v>
      </c>
    </row>
    <row r="7" spans="1:33" x14ac:dyDescent="0.2">
      <c r="A7" s="7" t="s">
        <v>54</v>
      </c>
      <c r="B7" s="2">
        <v>1</v>
      </c>
      <c r="D7" s="23"/>
      <c r="E7" s="23"/>
      <c r="G7" s="21"/>
      <c r="H7" s="21">
        <f t="shared" si="11"/>
        <v>1.3310000000000004E-4</v>
      </c>
      <c r="I7">
        <f t="shared" si="6"/>
        <v>6.1521269681874653</v>
      </c>
      <c r="J7">
        <f t="shared" ref="J7:J68" si="12">Q7</f>
        <v>0.9979247900630116</v>
      </c>
      <c r="K7">
        <f t="shared" si="0"/>
        <v>322.3589431100728</v>
      </c>
      <c r="L7">
        <f>0.5*Z7*K7/J7/$B$7</f>
        <v>161.51464835827869</v>
      </c>
      <c r="M7">
        <f t="shared" si="7"/>
        <v>2.0773661687351671E-3</v>
      </c>
      <c r="N7" s="21">
        <f t="shared" si="8"/>
        <v>4.149250608303511E-3</v>
      </c>
      <c r="O7" s="21">
        <f t="shared" si="4"/>
        <v>1.0008202555594299</v>
      </c>
      <c r="P7">
        <f t="shared" si="5"/>
        <v>3.0760496268911241E-3</v>
      </c>
      <c r="Q7">
        <f t="shared" si="1"/>
        <v>0.9979247900630116</v>
      </c>
      <c r="R7">
        <f t="shared" si="2"/>
        <v>-0.30490870064853848</v>
      </c>
      <c r="T7" s="21">
        <f>(M7-M6)/(H7-H6)</f>
        <v>2.552576913351674E-2</v>
      </c>
      <c r="Y7">
        <v>1</v>
      </c>
      <c r="Z7">
        <f t="shared" si="3"/>
        <v>1</v>
      </c>
      <c r="AC7">
        <v>0.3</v>
      </c>
      <c r="AD7">
        <f t="shared" si="9"/>
        <v>0.79760957831954271</v>
      </c>
      <c r="AE7">
        <f t="shared" si="10"/>
        <v>-0.72074641446212251</v>
      </c>
    </row>
    <row r="8" spans="1:33" x14ac:dyDescent="0.2">
      <c r="A8" s="7" t="s">
        <v>40</v>
      </c>
      <c r="B8" s="2">
        <v>22.5</v>
      </c>
      <c r="D8" s="23" t="s">
        <v>55</v>
      </c>
      <c r="E8" s="23">
        <f>B12</f>
        <v>1028.254506034411</v>
      </c>
      <c r="G8" s="21"/>
      <c r="H8" s="21">
        <f t="shared" si="11"/>
        <v>1.4641000000000006E-4</v>
      </c>
      <c r="I8">
        <f t="shared" si="6"/>
        <v>6.1507616988290135</v>
      </c>
      <c r="J8">
        <f t="shared" si="12"/>
        <v>0.99792445106895244</v>
      </c>
      <c r="K8">
        <f t="shared" si="0"/>
        <v>322.33241293778644</v>
      </c>
      <c r="L8">
        <f>0.5*Z8*K8/J8/$B$7</f>
        <v>161.50141054892072</v>
      </c>
      <c r="M8">
        <f t="shared" si="7"/>
        <v>2.0777058677987742E-3</v>
      </c>
      <c r="N8" s="21">
        <f t="shared" si="8"/>
        <v>4.1495893363932375E-3</v>
      </c>
      <c r="O8" s="21">
        <f t="shared" si="4"/>
        <v>1.0009021221976413</v>
      </c>
      <c r="P8">
        <f t="shared" si="5"/>
        <v>3.0765521122208149E-3</v>
      </c>
      <c r="Q8">
        <f t="shared" si="1"/>
        <v>0.99792445106895244</v>
      </c>
      <c r="R8">
        <f t="shared" si="2"/>
        <v>-0.30490899835604285</v>
      </c>
      <c r="T8" s="21">
        <f>(M8-M7)/(H8-H7)</f>
        <v>2.5522093434046288E-2</v>
      </c>
      <c r="Y8">
        <v>1</v>
      </c>
      <c r="Z8">
        <f t="shared" si="3"/>
        <v>1</v>
      </c>
      <c r="AC8">
        <v>0.4</v>
      </c>
      <c r="AD8">
        <f t="shared" si="9"/>
        <v>0.73014610442605687</v>
      </c>
      <c r="AE8">
        <f t="shared" si="10"/>
        <v>-1.3330199193618968</v>
      </c>
    </row>
    <row r="9" spans="1:33" x14ac:dyDescent="0.2">
      <c r="A9" s="7" t="s">
        <v>41</v>
      </c>
      <c r="B9" s="2">
        <v>3</v>
      </c>
      <c r="D9" s="23" t="s">
        <v>56</v>
      </c>
      <c r="E9" s="23">
        <f>B13</f>
        <v>0.5046061027994071</v>
      </c>
      <c r="G9" s="21"/>
      <c r="H9" s="21">
        <f t="shared" si="11"/>
        <v>1.6105100000000008E-4</v>
      </c>
      <c r="I9">
        <f t="shared" si="6"/>
        <v>6.149260703390226</v>
      </c>
      <c r="J9">
        <f t="shared" si="12"/>
        <v>0.99792407823466855</v>
      </c>
      <c r="K9">
        <f t="shared" si="0"/>
        <v>322.3032418880303</v>
      </c>
      <c r="L9">
        <f>0.5*Z9*K9/J9/$B$7</f>
        <v>161.48685502116851</v>
      </c>
      <c r="M9">
        <f t="shared" si="7"/>
        <v>2.0780794775977309E-3</v>
      </c>
      <c r="N9" s="21">
        <f t="shared" si="8"/>
        <v>4.1499618461727991E-3</v>
      </c>
      <c r="O9" s="21">
        <f t="shared" si="4"/>
        <v>1.0009921535235997</v>
      </c>
      <c r="P9">
        <f t="shared" si="5"/>
        <v>3.0771047583600234E-3</v>
      </c>
      <c r="Q9">
        <f t="shared" si="1"/>
        <v>0.99792407823466855</v>
      </c>
      <c r="R9">
        <f t="shared" si="2"/>
        <v>-0.30490932578299546</v>
      </c>
      <c r="T9" s="21">
        <f>(M9-M8)/(H9-H8)</f>
        <v>2.5518051974365265E-2</v>
      </c>
      <c r="Y9">
        <v>1</v>
      </c>
      <c r="Z9">
        <f t="shared" si="3"/>
        <v>1</v>
      </c>
      <c r="AC9">
        <v>0.5</v>
      </c>
      <c r="AD9">
        <f t="shared" si="9"/>
        <v>0.66268263053257126</v>
      </c>
      <c r="AE9">
        <f t="shared" si="10"/>
        <v>-8.8572283269901604</v>
      </c>
    </row>
    <row r="10" spans="1:33" x14ac:dyDescent="0.2">
      <c r="A10" s="7" t="s">
        <v>57</v>
      </c>
      <c r="B10" s="2">
        <v>0.3</v>
      </c>
      <c r="D10" s="23" t="s">
        <v>58</v>
      </c>
      <c r="E10" s="23">
        <v>0</v>
      </c>
      <c r="G10" s="21"/>
      <c r="H10" s="21">
        <f t="shared" si="11"/>
        <v>1.771561000000001E-4</v>
      </c>
      <c r="I10">
        <f t="shared" si="6"/>
        <v>6.1476105766006475</v>
      </c>
      <c r="J10">
        <f t="shared" si="12"/>
        <v>0.99792366818853084</v>
      </c>
      <c r="K10">
        <f t="shared" si="0"/>
        <v>322.27116841104203</v>
      </c>
      <c r="L10">
        <f>0.5*Z10*K10/J10/$B$7</f>
        <v>161.47085127063926</v>
      </c>
      <c r="M10">
        <f t="shared" si="7"/>
        <v>2.0784903768143129E-3</v>
      </c>
      <c r="N10" s="21">
        <f t="shared" si="8"/>
        <v>4.1503714967408324E-3</v>
      </c>
      <c r="O10" s="21">
        <f t="shared" si="4"/>
        <v>1.0010911614066969</v>
      </c>
      <c r="P10">
        <f t="shared" si="5"/>
        <v>3.0777125630195041E-3</v>
      </c>
      <c r="Q10">
        <f t="shared" si="1"/>
        <v>0.99792366818853084</v>
      </c>
      <c r="R10">
        <f t="shared" si="2"/>
        <v>-0.30490968589059791</v>
      </c>
      <c r="T10" s="21">
        <f>(M10-M9)/(H10-H9)</f>
        <v>2.551360852040687E-2</v>
      </c>
      <c r="Y10">
        <v>1</v>
      </c>
      <c r="Z10">
        <f t="shared" si="3"/>
        <v>1</v>
      </c>
      <c r="AC10">
        <v>0.6</v>
      </c>
      <c r="AD10">
        <f t="shared" si="9"/>
        <v>0.59521915663908542</v>
      </c>
      <c r="AE10">
        <f t="shared" si="10"/>
        <v>1.9070428581831862</v>
      </c>
    </row>
    <row r="11" spans="1:33" x14ac:dyDescent="0.2">
      <c r="A11" s="8"/>
      <c r="B11" s="2"/>
      <c r="D11" s="23" t="s">
        <v>59</v>
      </c>
      <c r="E11" s="23">
        <v>1E-13</v>
      </c>
      <c r="G11" s="21"/>
      <c r="H11" s="21">
        <f t="shared" si="11"/>
        <v>1.9487171000000012E-4</v>
      </c>
      <c r="I11">
        <f t="shared" si="6"/>
        <v>6.1457966075263286</v>
      </c>
      <c r="J11">
        <f t="shared" si="12"/>
        <v>0.99792321722433797</v>
      </c>
      <c r="K11">
        <f t="shared" si="0"/>
        <v>322.23590533131568</v>
      </c>
      <c r="L11">
        <f>0.5*Z11*K11/J11/$B$7</f>
        <v>161.45325600680732</v>
      </c>
      <c r="M11">
        <f t="shared" si="7"/>
        <v>2.0789422794088189E-3</v>
      </c>
      <c r="N11" s="21">
        <f t="shared" si="8"/>
        <v>4.1508219791223967E-3</v>
      </c>
      <c r="O11" s="21">
        <f t="shared" si="4"/>
        <v>1.0012000379425352</v>
      </c>
      <c r="P11">
        <f t="shared" si="5"/>
        <v>3.0783810198404117E-3</v>
      </c>
      <c r="Q11">
        <f t="shared" si="1"/>
        <v>0.99792321722433797</v>
      </c>
      <c r="R11">
        <f t="shared" si="2"/>
        <v>-0.30491008193392583</v>
      </c>
      <c r="T11" s="21">
        <f>(M11-M10)/(H11-H10)</f>
        <v>2.5508723352225343E-2</v>
      </c>
      <c r="Y11">
        <v>1</v>
      </c>
      <c r="Z11">
        <f t="shared" si="3"/>
        <v>1</v>
      </c>
      <c r="AC11">
        <v>0.7</v>
      </c>
      <c r="AD11">
        <f t="shared" si="9"/>
        <v>0.5277556827455997</v>
      </c>
      <c r="AE11">
        <f t="shared" si="10"/>
        <v>0.86084725654191074</v>
      </c>
    </row>
    <row r="12" spans="1:33" x14ac:dyDescent="0.2">
      <c r="A12" s="7" t="s">
        <v>60</v>
      </c>
      <c r="B12">
        <f>calculator!C6</f>
        <v>1028.254506034411</v>
      </c>
      <c r="G12" s="21"/>
      <c r="H12" s="21">
        <f t="shared" si="11"/>
        <v>2.1435888100000014E-4</v>
      </c>
      <c r="I12">
        <f t="shared" si="6"/>
        <v>6.1438026562336114</v>
      </c>
      <c r="J12">
        <f t="shared" si="12"/>
        <v>0.99792272126840009</v>
      </c>
      <c r="K12">
        <f t="shared" si="0"/>
        <v>322.19713739493551</v>
      </c>
      <c r="L12">
        <f>0.5*Z12*K12/J12/$B$7</f>
        <v>161.43391192927743</v>
      </c>
      <c r="M12">
        <f t="shared" si="7"/>
        <v>2.0794392676064632E-3</v>
      </c>
      <c r="N12" s="21">
        <f t="shared" si="8"/>
        <v>4.1513173486320987E-3</v>
      </c>
      <c r="O12" s="21">
        <f t="shared" si="4"/>
        <v>1.0013197632754876</v>
      </c>
      <c r="P12">
        <f t="shared" si="5"/>
        <v>3.0791161671864142E-3</v>
      </c>
      <c r="Q12">
        <f t="shared" si="1"/>
        <v>0.99792272126840009</v>
      </c>
      <c r="R12">
        <f t="shared" si="2"/>
        <v>-0.30491051749084791</v>
      </c>
      <c r="T12" s="21">
        <f>(M12-M11)/(H12-H11)</f>
        <v>2.5503352828605875E-2</v>
      </c>
      <c r="Y12">
        <v>1</v>
      </c>
      <c r="Z12">
        <f t="shared" si="3"/>
        <v>1</v>
      </c>
      <c r="AC12">
        <v>0.8</v>
      </c>
      <c r="AD12">
        <f t="shared" si="9"/>
        <v>0.46029220885211386</v>
      </c>
      <c r="AE12">
        <f t="shared" si="10"/>
        <v>0.5558889452741379</v>
      </c>
    </row>
    <row r="13" spans="1:33" x14ac:dyDescent="0.2">
      <c r="A13" s="7" t="s">
        <v>38</v>
      </c>
      <c r="B13">
        <f>calculator!C7</f>
        <v>0.5046061027994071</v>
      </c>
      <c r="G13" s="21"/>
      <c r="H13" s="21">
        <f t="shared" si="11"/>
        <v>2.3579476910000016E-4</v>
      </c>
      <c r="I13">
        <f t="shared" si="6"/>
        <v>6.1416110196078861</v>
      </c>
      <c r="J13">
        <f t="shared" si="12"/>
        <v>0.99792217584344234</v>
      </c>
      <c r="K13">
        <f t="shared" si="0"/>
        <v>322.15451859431874</v>
      </c>
      <c r="L13">
        <f>0.5*Z13*K13/J13/$B$7</f>
        <v>161.41264639300866</v>
      </c>
      <c r="M13">
        <f t="shared" si="7"/>
        <v>2.079985828071701E-3</v>
      </c>
      <c r="N13" s="21">
        <f t="shared" si="8"/>
        <v>4.1518620603016631E-3</v>
      </c>
      <c r="O13" s="21">
        <f t="shared" si="4"/>
        <v>1.0014514141620576</v>
      </c>
      <c r="P13">
        <f t="shared" si="5"/>
        <v>3.0799246416486842E-3</v>
      </c>
      <c r="Q13">
        <f t="shared" si="1"/>
        <v>0.99792217584344234</v>
      </c>
      <c r="R13">
        <f t="shared" si="2"/>
        <v>-0.30491099649373971</v>
      </c>
      <c r="T13" s="21">
        <f>(M13-M12)/(H13-H12)</f>
        <v>2.5497449076426544E-2</v>
      </c>
      <c r="Y13">
        <v>1</v>
      </c>
      <c r="Z13">
        <f t="shared" si="3"/>
        <v>1</v>
      </c>
      <c r="AC13">
        <v>0.9</v>
      </c>
      <c r="AD13">
        <f t="shared" si="9"/>
        <v>0.39282873495862813</v>
      </c>
      <c r="AE13">
        <f t="shared" si="10"/>
        <v>0.41047622922258892</v>
      </c>
    </row>
    <row r="14" spans="1:33" x14ac:dyDescent="0.2">
      <c r="A14" s="7"/>
      <c r="B14" s="2"/>
      <c r="G14" s="21"/>
      <c r="H14" s="21">
        <f t="shared" si="11"/>
        <v>2.5937424601000017E-4</v>
      </c>
      <c r="I14">
        <f t="shared" si="6"/>
        <v>6.1392022855453332</v>
      </c>
      <c r="J14">
        <f t="shared" si="12"/>
        <v>0.99792157602903397</v>
      </c>
      <c r="K14">
        <f t="shared" si="0"/>
        <v>322.10766925274095</v>
      </c>
      <c r="L14">
        <f>0.5*Z14*K14/J14/$B$7</f>
        <v>161.38926995369894</v>
      </c>
      <c r="M14">
        <f t="shared" si="7"/>
        <v>2.0805868915645736E-3</v>
      </c>
      <c r="N14" s="21">
        <f t="shared" si="8"/>
        <v>4.1524610076430248E-3</v>
      </c>
      <c r="O14" s="21">
        <f t="shared" si="4"/>
        <v>1.0015961733405954</v>
      </c>
      <c r="P14">
        <f t="shared" si="5"/>
        <v>3.0808137367007099E-3</v>
      </c>
      <c r="Q14">
        <f t="shared" si="1"/>
        <v>0.99792157602903397</v>
      </c>
      <c r="R14">
        <f t="shared" si="2"/>
        <v>-0.30491152326425092</v>
      </c>
      <c r="T14" s="21">
        <f>(M14-M13)/(H14-H13)</f>
        <v>2.5490959581794422E-2</v>
      </c>
      <c r="Y14">
        <v>1</v>
      </c>
      <c r="Z14">
        <f t="shared" si="3"/>
        <v>1</v>
      </c>
      <c r="AC14">
        <v>1</v>
      </c>
      <c r="AD14">
        <f t="shared" si="9"/>
        <v>0.32536526106514241</v>
      </c>
      <c r="AE14">
        <f t="shared" si="10"/>
        <v>0.32536526106514241</v>
      </c>
    </row>
    <row r="15" spans="1:33" x14ac:dyDescent="0.2">
      <c r="A15" s="7" t="s">
        <v>39</v>
      </c>
      <c r="B15" s="2">
        <f>0.5+1/(1.54506*($B$13+1)^3.2066)</f>
        <v>0.67463473893485759</v>
      </c>
      <c r="D15" s="24" t="s">
        <v>61</v>
      </c>
      <c r="E15">
        <f>(1-$B$15)^2/B15</f>
        <v>0.15691832483326998</v>
      </c>
      <c r="G15" s="21"/>
      <c r="H15" s="21">
        <f t="shared" si="11"/>
        <v>2.8531167061100022E-4</v>
      </c>
      <c r="I15">
        <f t="shared" si="6"/>
        <v>6.136555174718481</v>
      </c>
      <c r="J15">
        <f t="shared" si="12"/>
        <v>0.99792091641822456</v>
      </c>
      <c r="K15">
        <f t="shared" si="0"/>
        <v>322.05617285017968</v>
      </c>
      <c r="L15">
        <f>0.5*Z15*K15/J15/$B$7</f>
        <v>161.36357478412009</v>
      </c>
      <c r="M15">
        <f t="shared" si="7"/>
        <v>2.0812478763987106E-3</v>
      </c>
      <c r="N15" s="21">
        <f t="shared" si="8"/>
        <v>4.1531195650379655E-3</v>
      </c>
      <c r="O15" s="21">
        <f t="shared" si="4"/>
        <v>1.0017553397777494</v>
      </c>
      <c r="P15">
        <f t="shared" si="5"/>
        <v>3.0817914669765845E-3</v>
      </c>
      <c r="Q15">
        <f t="shared" si="1"/>
        <v>0.99792091641822456</v>
      </c>
      <c r="R15">
        <f t="shared" si="2"/>
        <v>-0.3049121025514086</v>
      </c>
      <c r="T15" s="21">
        <f>(M15-M14)/(H15-H14)</f>
        <v>2.5483826721619949E-2</v>
      </c>
      <c r="Y15">
        <v>1</v>
      </c>
      <c r="Z15">
        <f t="shared" si="3"/>
        <v>1</v>
      </c>
      <c r="AC15">
        <v>1.1000000000000001</v>
      </c>
      <c r="AD15">
        <f t="shared" si="9"/>
        <v>0.25790178717165657</v>
      </c>
      <c r="AE15">
        <f t="shared" si="10"/>
        <v>0.26948780393862343</v>
      </c>
    </row>
    <row r="16" spans="1:33" x14ac:dyDescent="0.2">
      <c r="D16" s="24" t="s">
        <v>62</v>
      </c>
      <c r="E16">
        <f>(1-2*$B$15)/$B$15</f>
        <v>-0.51771641410158764</v>
      </c>
      <c r="G16" s="21"/>
      <c r="H16" s="21">
        <f t="shared" si="11"/>
        <v>3.1384283767210024E-4</v>
      </c>
      <c r="I16">
        <f t="shared" si="6"/>
        <v>6.133646369108134</v>
      </c>
      <c r="J16">
        <f t="shared" si="12"/>
        <v>0.99792019107003949</v>
      </c>
      <c r="K16">
        <f t="shared" si="0"/>
        <v>321.99957257128068</v>
      </c>
      <c r="L16">
        <f>0.5*Z16*K16/J16/$B$7</f>
        <v>161.3353329518317</v>
      </c>
      <c r="M16">
        <f t="shared" si="7"/>
        <v>2.0819747360493611E-3</v>
      </c>
      <c r="N16" s="21">
        <f t="shared" si="8"/>
        <v>4.1538436340658718E-3</v>
      </c>
      <c r="O16" s="21">
        <f t="shared" si="4"/>
        <v>1.0019303398670001</v>
      </c>
      <c r="P16">
        <f t="shared" si="5"/>
        <v>3.0828666386853516E-3</v>
      </c>
      <c r="Q16">
        <f t="shared" si="1"/>
        <v>0.99792019107003949</v>
      </c>
      <c r="R16">
        <f t="shared" si="2"/>
        <v>-0.30491273957335935</v>
      </c>
      <c r="T16" s="21">
        <f>(M16-M15)/(H16-H15)</f>
        <v>2.5475987333218181E-2</v>
      </c>
      <c r="Y16">
        <v>1</v>
      </c>
      <c r="Z16">
        <f t="shared" si="3"/>
        <v>1</v>
      </c>
      <c r="AC16">
        <v>1.2</v>
      </c>
      <c r="AD16">
        <f t="shared" si="9"/>
        <v>0.19043831327817096</v>
      </c>
      <c r="AE16">
        <f t="shared" si="10"/>
        <v>0.22998988701544715</v>
      </c>
    </row>
    <row r="17" spans="2:31" x14ac:dyDescent="0.2">
      <c r="B17" s="2">
        <f>0.5+1/(2*($B$13+1)^calculator!$D$9)</f>
        <v>0.52478673163233436</v>
      </c>
      <c r="G17" s="21"/>
      <c r="H17" s="21">
        <f t="shared" si="11"/>
        <v>3.452271214393103E-4</v>
      </c>
      <c r="I17">
        <f t="shared" si="6"/>
        <v>6.1304503264996191</v>
      </c>
      <c r="J17">
        <f t="shared" si="12"/>
        <v>0.99791939345746317</v>
      </c>
      <c r="K17">
        <f t="shared" si="0"/>
        <v>321.93736755565311</v>
      </c>
      <c r="L17">
        <f>0.5*Z17*K17/J17/$B$7</f>
        <v>161.30429454840325</v>
      </c>
      <c r="M17">
        <f t="shared" si="7"/>
        <v>2.0827740112842079E-3</v>
      </c>
      <c r="N17" s="21">
        <f t="shared" si="8"/>
        <v>4.1546396941019581E-3</v>
      </c>
      <c r="O17" s="21">
        <f t="shared" si="4"/>
        <v>1.0021227396596677</v>
      </c>
      <c r="P17">
        <f t="shared" si="5"/>
        <v>3.0840489267151792E-3</v>
      </c>
      <c r="Q17">
        <f t="shared" si="1"/>
        <v>0.99791939345746317</v>
      </c>
      <c r="R17">
        <f t="shared" si="2"/>
        <v>-0.3049134400630808</v>
      </c>
      <c r="T17" s="21">
        <f>(M17-M16)/(H17-H16)</f>
        <v>2.5467372165485534E-2</v>
      </c>
      <c r="Y17">
        <v>1</v>
      </c>
      <c r="Z17">
        <f t="shared" si="3"/>
        <v>1</v>
      </c>
      <c r="AC17">
        <v>1.3</v>
      </c>
      <c r="AD17">
        <f t="shared" si="9"/>
        <v>0.12297483938468512</v>
      </c>
      <c r="AE17">
        <f t="shared" si="10"/>
        <v>0.20059007713047866</v>
      </c>
    </row>
    <row r="18" spans="2:31" x14ac:dyDescent="0.2">
      <c r="G18" s="21"/>
      <c r="H18" s="21">
        <f t="shared" si="11"/>
        <v>3.7974983358324136E-4</v>
      </c>
      <c r="I18">
        <f t="shared" si="6"/>
        <v>6.1269390801631261</v>
      </c>
      <c r="J18">
        <f t="shared" si="12"/>
        <v>0.99791851641050566</v>
      </c>
      <c r="K18">
        <f t="shared" si="0"/>
        <v>321.86900883030535</v>
      </c>
      <c r="L18">
        <f>0.5*Z18*K18/J18/$B$7</f>
        <v>161.27018566007882</v>
      </c>
      <c r="M18">
        <f t="shared" si="7"/>
        <v>2.0836528872221457E-3</v>
      </c>
      <c r="N18" s="21">
        <f t="shared" si="8"/>
        <v>4.1555148575392799E-3</v>
      </c>
      <c r="O18" s="21">
        <f t="shared" si="4"/>
        <v>1.0023342582138555</v>
      </c>
      <c r="P18">
        <f t="shared" si="5"/>
        <v>3.0853489590243516E-3</v>
      </c>
      <c r="Q18">
        <f t="shared" si="1"/>
        <v>0.99791851641050566</v>
      </c>
      <c r="R18">
        <f t="shared" si="2"/>
        <v>-0.30491421031841598</v>
      </c>
      <c r="T18" s="21">
        <f>(M18-M17)/(H18-H17)</f>
        <v>2.5457905342825177E-2</v>
      </c>
      <c r="Y18">
        <v>1</v>
      </c>
      <c r="Z18">
        <f t="shared" si="3"/>
        <v>1</v>
      </c>
      <c r="AC18">
        <v>1.4</v>
      </c>
      <c r="AD18">
        <f t="shared" si="9"/>
        <v>5.5511365491199394E-2</v>
      </c>
      <c r="AE18">
        <f t="shared" si="10"/>
        <v>0.17785474799860759</v>
      </c>
    </row>
    <row r="19" spans="2:31" x14ac:dyDescent="0.2">
      <c r="G19" s="21"/>
      <c r="H19" s="21">
        <f t="shared" si="11"/>
        <v>4.1772481694156552E-4</v>
      </c>
      <c r="I19">
        <f t="shared" si="6"/>
        <v>6.123082022981241</v>
      </c>
      <c r="J19">
        <f t="shared" si="12"/>
        <v>0.99791755205392063</v>
      </c>
      <c r="K19">
        <f t="shared" si="0"/>
        <v>321.7938949038907</v>
      </c>
      <c r="L19">
        <f>0.5*Z19*K19/J19/$B$7</f>
        <v>161.23270616974938</v>
      </c>
      <c r="M19">
        <f t="shared" si="7"/>
        <v>2.0846192557533783E-3</v>
      </c>
      <c r="N19" s="21">
        <f t="shared" si="8"/>
        <v>4.1564769300084263E-3</v>
      </c>
      <c r="O19" s="21">
        <f t="shared" si="4"/>
        <v>1.0025667821517799</v>
      </c>
      <c r="P19">
        <f t="shared" si="5"/>
        <v>3.0867784089613137E-3</v>
      </c>
      <c r="Q19">
        <f t="shared" si="1"/>
        <v>0.99791755205392063</v>
      </c>
      <c r="R19">
        <f t="shared" si="2"/>
        <v>-0.304915057256813</v>
      </c>
      <c r="T19" s="21">
        <f>(M19-M18)/(H19-H18)</f>
        <v>2.5447503745142774E-2</v>
      </c>
      <c r="Y19">
        <v>1</v>
      </c>
      <c r="Z19">
        <f t="shared" si="3"/>
        <v>1</v>
      </c>
      <c r="AC19">
        <v>1.5</v>
      </c>
      <c r="AD19">
        <f t="shared" si="9"/>
        <v>-1.1952108402286443E-2</v>
      </c>
      <c r="AE19">
        <f t="shared" si="10"/>
        <v>0.15974849532861729</v>
      </c>
    </row>
    <row r="20" spans="2:31" ht="15" x14ac:dyDescent="0.25">
      <c r="G20" s="21"/>
      <c r="H20" s="21">
        <f t="shared" si="11"/>
        <v>4.5949729863572212E-4</v>
      </c>
      <c r="I20">
        <f t="shared" si="6"/>
        <v>6.1188456753567575</v>
      </c>
      <c r="J20">
        <f t="shared" si="12"/>
        <v>0.99791649173910879</v>
      </c>
      <c r="K20">
        <f t="shared" si="0"/>
        <v>321.711367002636</v>
      </c>
      <c r="L20">
        <f>0.5*Z20*K20/J20/$B$7</f>
        <v>161.19152738020031</v>
      </c>
      <c r="M20">
        <f t="shared" si="7"/>
        <v>2.0856817837878491E-3</v>
      </c>
      <c r="N20" s="21">
        <f t="shared" si="8"/>
        <v>4.1575344759885793E-3</v>
      </c>
      <c r="O20" s="21">
        <f t="shared" si="4"/>
        <v>1.0028223815207431</v>
      </c>
      <c r="P20">
        <f t="shared" si="5"/>
        <v>3.0883500962028292E-3</v>
      </c>
      <c r="Q20">
        <f t="shared" si="1"/>
        <v>0.99791649173910879</v>
      </c>
      <c r="R20">
        <f t="shared" si="2"/>
        <v>-0.3049159884751797</v>
      </c>
      <c r="T20" s="21">
        <f>(M20-M19)/(H20-H19)</f>
        <v>2.5436076368414728E-2</v>
      </c>
      <c r="W20" s="25"/>
      <c r="X20" s="25"/>
      <c r="Y20">
        <v>1</v>
      </c>
      <c r="Z20">
        <f t="shared" si="3"/>
        <v>1</v>
      </c>
      <c r="AC20">
        <v>1.6</v>
      </c>
      <c r="AD20">
        <f t="shared" si="9"/>
        <v>-7.941558229577228E-2</v>
      </c>
      <c r="AE20">
        <f t="shared" si="10"/>
        <v>0.14498817766233682</v>
      </c>
    </row>
    <row r="21" spans="2:31" ht="15" x14ac:dyDescent="0.25">
      <c r="G21" s="21"/>
      <c r="H21" s="21">
        <f t="shared" si="11"/>
        <v>5.0544702849929441E-4</v>
      </c>
      <c r="I21">
        <f t="shared" si="6"/>
        <v>6.1141934363369481</v>
      </c>
      <c r="J21">
        <f t="shared" si="12"/>
        <v>0.99791532596971</v>
      </c>
      <c r="K21">
        <f t="shared" si="0"/>
        <v>321.62070392845862</v>
      </c>
      <c r="L21">
        <f>0.5*Z21*K21/J21/$B$7</f>
        <v>161.14628944892107</v>
      </c>
      <c r="M21">
        <f t="shared" si="7"/>
        <v>2.0868499878303427E-3</v>
      </c>
      <c r="N21" s="21">
        <f t="shared" si="8"/>
        <v>4.1586968902220635E-3</v>
      </c>
      <c r="O21" s="21">
        <f t="shared" si="4"/>
        <v>1.0031033270574765</v>
      </c>
      <c r="P21">
        <f t="shared" si="5"/>
        <v>3.0900780970475159E-3</v>
      </c>
      <c r="Q21">
        <f t="shared" si="1"/>
        <v>0.99791532596971</v>
      </c>
      <c r="R21">
        <f t="shared" si="2"/>
        <v>-0.30491701231529206</v>
      </c>
      <c r="T21" s="21">
        <f>(M21-M20)/(H21-H20)</f>
        <v>2.5423523619443545E-2</v>
      </c>
      <c r="W21" s="25"/>
      <c r="X21" s="25"/>
      <c r="Y21">
        <v>1</v>
      </c>
      <c r="Z21">
        <f t="shared" si="3"/>
        <v>1</v>
      </c>
      <c r="AC21">
        <v>1.7</v>
      </c>
      <c r="AD21">
        <f t="shared" si="9"/>
        <v>-0.14687905618925789</v>
      </c>
      <c r="AE21">
        <f t="shared" si="10"/>
        <v>0.13272477661442655</v>
      </c>
    </row>
    <row r="22" spans="2:31" ht="15" x14ac:dyDescent="0.25">
      <c r="G22" s="21"/>
      <c r="H22" s="21">
        <f t="shared" si="11"/>
        <v>5.5599173134922395E-4</v>
      </c>
      <c r="I22">
        <f t="shared" si="6"/>
        <v>6.1090853175344701</v>
      </c>
      <c r="J22">
        <f t="shared" si="12"/>
        <v>0.99791404432035391</v>
      </c>
      <c r="K22">
        <f t="shared" si="0"/>
        <v>321.5211165209634</v>
      </c>
      <c r="L22">
        <f>0.5*Z22*K22/J22/$B$7</f>
        <v>161.09659862535594</v>
      </c>
      <c r="M22">
        <f t="shared" si="7"/>
        <v>2.0881343154138198E-3</v>
      </c>
      <c r="N22" s="21">
        <f t="shared" si="8"/>
        <v>4.1599744753607528E-3</v>
      </c>
      <c r="O22" s="21">
        <f t="shared" si="4"/>
        <v>1.0034121089595363</v>
      </c>
      <c r="P22">
        <f t="shared" si="5"/>
        <v>3.0919778648509544E-3</v>
      </c>
      <c r="Q22">
        <f t="shared" si="1"/>
        <v>0.99791404432035391</v>
      </c>
      <c r="R22">
        <f t="shared" si="2"/>
        <v>-0.30491813793522365</v>
      </c>
      <c r="T22" s="21">
        <f>(M22-M21)/(H22-H21)</f>
        <v>2.5409736551233787E-2</v>
      </c>
      <c r="W22" s="25"/>
      <c r="X22" s="25"/>
      <c r="Y22">
        <v>1</v>
      </c>
      <c r="Z22">
        <f t="shared" si="3"/>
        <v>1</v>
      </c>
      <c r="AC22">
        <v>1.8</v>
      </c>
      <c r="AD22">
        <f t="shared" si="9"/>
        <v>-0.21434253008274373</v>
      </c>
      <c r="AE22">
        <f t="shared" si="10"/>
        <v>0.12237411954651789</v>
      </c>
    </row>
    <row r="23" spans="2:31" ht="15" x14ac:dyDescent="0.25">
      <c r="G23" s="21"/>
      <c r="H23" s="21">
        <f t="shared" si="11"/>
        <v>6.115909044841464E-4</v>
      </c>
      <c r="I23">
        <f t="shared" si="6"/>
        <v>6.1034776596183091</v>
      </c>
      <c r="J23">
        <f t="shared" si="12"/>
        <v>0.99791263534800434</v>
      </c>
      <c r="K23">
        <f t="shared" si="0"/>
        <v>321.41174170687322</v>
      </c>
      <c r="L23">
        <f>0.5*Z23*K23/J23/$B$7</f>
        <v>161.04202428240953</v>
      </c>
      <c r="M23">
        <f t="shared" si="7"/>
        <v>2.0895462339575728E-3</v>
      </c>
      <c r="N23" s="21">
        <f t="shared" si="8"/>
        <v>4.1613785262859318E-3</v>
      </c>
      <c r="O23" s="21">
        <f t="shared" si="4"/>
        <v>1.0037514572706585</v>
      </c>
      <c r="P23">
        <f t="shared" si="5"/>
        <v>3.0940663614377195E-3</v>
      </c>
      <c r="Q23">
        <f t="shared" si="1"/>
        <v>0.99791263534800434</v>
      </c>
      <c r="R23">
        <f t="shared" si="2"/>
        <v>-0.3049193753872953</v>
      </c>
      <c r="T23" s="21">
        <f>(M23-M22)/(H23-H22)</f>
        <v>2.5394596072979073E-2</v>
      </c>
      <c r="W23" s="25"/>
      <c r="X23" s="25"/>
      <c r="Y23">
        <v>1</v>
      </c>
      <c r="Z23">
        <f t="shared" si="3"/>
        <v>1</v>
      </c>
      <c r="AC23">
        <v>1.9</v>
      </c>
      <c r="AD23">
        <f t="shared" si="9"/>
        <v>-0.28180600397622935</v>
      </c>
      <c r="AE23">
        <f t="shared" si="10"/>
        <v>0.11352107949056001</v>
      </c>
    </row>
    <row r="24" spans="2:31" ht="15" x14ac:dyDescent="0.25">
      <c r="G24" s="21"/>
      <c r="H24" s="21">
        <f t="shared" si="11"/>
        <v>6.7274999493256108E-4</v>
      </c>
      <c r="I24">
        <f t="shared" si="6"/>
        <v>6.097322831401546</v>
      </c>
      <c r="J24">
        <f t="shared" si="12"/>
        <v>0.99791108649530291</v>
      </c>
      <c r="K24">
        <f t="shared" si="0"/>
        <v>321.29163612315409</v>
      </c>
      <c r="L24">
        <f>0.5*Z24*K24/J24/$B$7</f>
        <v>160.98209573537309</v>
      </c>
      <c r="M24">
        <f t="shared" si="7"/>
        <v>2.0910983276464855E-3</v>
      </c>
      <c r="N24" s="21">
        <f t="shared" si="8"/>
        <v>4.1629214215522315E-3</v>
      </c>
      <c r="O24" s="21">
        <f t="shared" si="4"/>
        <v>1.0041243639891975</v>
      </c>
      <c r="P24">
        <f t="shared" si="5"/>
        <v>3.0963622003740724E-3</v>
      </c>
      <c r="Q24">
        <f t="shared" si="1"/>
        <v>0.99791108649530291</v>
      </c>
      <c r="R24">
        <f t="shared" si="2"/>
        <v>-0.30492073570306977</v>
      </c>
      <c r="T24" s="21">
        <f>(M24-M23)/(H24-H23)</f>
        <v>2.5377972064869279E-2</v>
      </c>
      <c r="W24" s="25"/>
      <c r="X24" s="25"/>
      <c r="Y24">
        <v>1</v>
      </c>
      <c r="Z24">
        <f t="shared" si="3"/>
        <v>1</v>
      </c>
      <c r="AC24">
        <v>2</v>
      </c>
      <c r="AD24">
        <f t="shared" si="9"/>
        <v>-0.34926947786971518</v>
      </c>
      <c r="AE24">
        <f t="shared" si="10"/>
        <v>0.10586255310798828</v>
      </c>
    </row>
    <row r="25" spans="2:31" ht="15" x14ac:dyDescent="0.25">
      <c r="G25" s="21"/>
      <c r="H25" s="21">
        <f t="shared" si="11"/>
        <v>7.4002499442581723E-4</v>
      </c>
      <c r="I25">
        <f t="shared" si="6"/>
        <v>6.0905689118773321</v>
      </c>
      <c r="J25">
        <f t="shared" si="12"/>
        <v>0.99790938398528273</v>
      </c>
      <c r="K25">
        <f t="shared" si="0"/>
        <v>321.1597693038234</v>
      </c>
      <c r="L25">
        <f>0.5*Z25*K25/J25/$B$7</f>
        <v>160.91629884330254</v>
      </c>
      <c r="M25">
        <f t="shared" si="7"/>
        <v>2.0928044029627445E-3</v>
      </c>
      <c r="N25" s="21">
        <f t="shared" si="8"/>
        <v>4.1646167224097539E-3</v>
      </c>
      <c r="O25" s="21">
        <f t="shared" si="4"/>
        <v>1.0045341070096576</v>
      </c>
      <c r="P25">
        <f t="shared" si="5"/>
        <v>3.0988858030317253E-3</v>
      </c>
      <c r="Q25">
        <f t="shared" si="1"/>
        <v>0.99790938398528273</v>
      </c>
      <c r="R25">
        <f t="shared" si="2"/>
        <v>-0.30492223098594817</v>
      </c>
      <c r="T25" s="21">
        <f>(M25-M24)/(H25-H24)</f>
        <v>2.5359722469118474E-2</v>
      </c>
      <c r="W25" s="25"/>
      <c r="X25" s="25"/>
      <c r="Y25">
        <v>1</v>
      </c>
      <c r="Z25">
        <f t="shared" si="3"/>
        <v>1</v>
      </c>
      <c r="AC25">
        <v>2.1</v>
      </c>
      <c r="AD25">
        <f t="shared" si="9"/>
        <v>-0.41673295176320102</v>
      </c>
      <c r="AE25">
        <f t="shared" si="10"/>
        <v>9.9172061337015366E-2</v>
      </c>
    </row>
    <row r="26" spans="2:31" ht="15" x14ac:dyDescent="0.25">
      <c r="G26" s="21"/>
      <c r="H26" s="21">
        <f t="shared" si="11"/>
        <v>8.1402749386839902E-4</v>
      </c>
      <c r="I26">
        <f t="shared" si="6"/>
        <v>6.0831593559640513</v>
      </c>
      <c r="J26">
        <f t="shared" si="12"/>
        <v>0.99790751270679645</v>
      </c>
      <c r="K26">
        <f t="shared" si="0"/>
        <v>321.01501642539324</v>
      </c>
      <c r="L26">
        <f>0.5*Z26*K26/J26/$B$7</f>
        <v>160.84407239036057</v>
      </c>
      <c r="M26">
        <f t="shared" si="7"/>
        <v>2.0946796035278647E-3</v>
      </c>
      <c r="N26" s="21">
        <f t="shared" si="8"/>
        <v>4.166479279854903E-3</v>
      </c>
      <c r="O26" s="21">
        <f t="shared" si="4"/>
        <v>1.0049842760065064</v>
      </c>
      <c r="P26">
        <f t="shared" si="5"/>
        <v>3.1016595684166732E-3</v>
      </c>
      <c r="Q26">
        <f t="shared" si="1"/>
        <v>0.99790751270679645</v>
      </c>
      <c r="R26">
        <f t="shared" si="2"/>
        <v>-0.30492387451194886</v>
      </c>
      <c r="T26" s="21">
        <f>(M26-M25)/(H26-H25)</f>
        <v>2.5339692297490141E-2</v>
      </c>
      <c r="W26" s="25"/>
      <c r="X26" s="25"/>
      <c r="Y26">
        <v>1</v>
      </c>
      <c r="Z26">
        <f t="shared" si="3"/>
        <v>1</v>
      </c>
      <c r="AC26">
        <v>2.2000000000000002</v>
      </c>
      <c r="AD26">
        <f t="shared" si="9"/>
        <v>-0.48419642565668686</v>
      </c>
      <c r="AE26">
        <f t="shared" si="10"/>
        <v>9.3276975504381909E-2</v>
      </c>
    </row>
    <row r="27" spans="2:31" ht="15" x14ac:dyDescent="0.25">
      <c r="G27" s="21"/>
      <c r="H27" s="21">
        <f t="shared" si="11"/>
        <v>8.9543024325523899E-4</v>
      </c>
      <c r="I27">
        <f t="shared" si="6"/>
        <v>6.0750326452298866</v>
      </c>
      <c r="J27">
        <f t="shared" si="12"/>
        <v>0.99790545608997339</v>
      </c>
      <c r="K27">
        <f t="shared" si="0"/>
        <v>320.85615061234341</v>
      </c>
      <c r="L27">
        <f>0.5*Z27*K27/J27/$B$7</f>
        <v>160.76480424785566</v>
      </c>
      <c r="M27">
        <f t="shared" si="7"/>
        <v>2.0967405349430019E-3</v>
      </c>
      <c r="N27" s="21">
        <f t="shared" si="8"/>
        <v>4.1685253501476931E-3</v>
      </c>
      <c r="O27" s="21">
        <f t="shared" si="4"/>
        <v>1.005478800366443</v>
      </c>
      <c r="P27">
        <f t="shared" si="5"/>
        <v>3.1047080577759462E-3</v>
      </c>
      <c r="Q27">
        <f t="shared" si="1"/>
        <v>0.99790545608997339</v>
      </c>
      <c r="R27">
        <f t="shared" si="2"/>
        <v>-0.30492568083927474</v>
      </c>
      <c r="T27" s="21">
        <f>(M27-M26)/(H27-H26)</f>
        <v>2.5317712616109534E-2</v>
      </c>
      <c r="W27" s="25"/>
      <c r="X27" s="25"/>
      <c r="Y27">
        <v>1</v>
      </c>
      <c r="Z27">
        <f t="shared" si="3"/>
        <v>1</v>
      </c>
      <c r="AC27">
        <v>2.2999999999999998</v>
      </c>
      <c r="AD27">
        <f t="shared" si="9"/>
        <v>-0.55165989955017225</v>
      </c>
      <c r="AE27">
        <f t="shared" si="10"/>
        <v>8.8043410192868224E-2</v>
      </c>
    </row>
    <row r="28" spans="2:31" ht="15" x14ac:dyDescent="0.25">
      <c r="G28" s="21"/>
      <c r="H28" s="21">
        <f t="shared" si="11"/>
        <v>9.8497326758076298E-4</v>
      </c>
      <c r="I28">
        <f t="shared" si="6"/>
        <v>6.0661219254929595</v>
      </c>
      <c r="J28">
        <f t="shared" si="12"/>
        <v>0.99790319597100341</v>
      </c>
      <c r="K28">
        <f t="shared" si="0"/>
        <v>320.68183481220836</v>
      </c>
      <c r="L28">
        <f>0.5*Z28*K28/J28/$B$7</f>
        <v>160.67782732180297</v>
      </c>
      <c r="M28">
        <f t="shared" si="7"/>
        <v>2.0990054003324206E-3</v>
      </c>
      <c r="N28" s="21">
        <f t="shared" si="8"/>
        <v>4.1707727192094425E-3</v>
      </c>
      <c r="O28" s="21">
        <f t="shared" si="4"/>
        <v>1.006021979269579</v>
      </c>
      <c r="P28">
        <f t="shared" si="5"/>
        <v>3.1080581950273679E-3</v>
      </c>
      <c r="Q28">
        <f t="shared" si="1"/>
        <v>0.99790319597100341</v>
      </c>
      <c r="R28">
        <f t="shared" si="2"/>
        <v>-0.3049276659272947</v>
      </c>
      <c r="T28" s="21">
        <f>(M28-M27)/(H28-H27)</f>
        <v>2.5293599434222335E-2</v>
      </c>
      <c r="W28" s="25"/>
      <c r="X28" s="25"/>
      <c r="Y28">
        <v>1</v>
      </c>
      <c r="Z28">
        <f t="shared" si="3"/>
        <v>1</v>
      </c>
      <c r="AC28">
        <v>2.4</v>
      </c>
      <c r="AD28">
        <f t="shared" si="9"/>
        <v>-0.61912337344365809</v>
      </c>
      <c r="AE28">
        <f t="shared" si="10"/>
        <v>8.3365931684716371E-2</v>
      </c>
    </row>
    <row r="29" spans="2:31" ht="15" x14ac:dyDescent="0.25">
      <c r="G29" s="21"/>
      <c r="H29" s="21">
        <f t="shared" si="11"/>
        <v>1.0834705943388394E-3</v>
      </c>
      <c r="I29">
        <f t="shared" si="6"/>
        <v>6.0563546339524619</v>
      </c>
      <c r="J29">
        <f t="shared" si="12"/>
        <v>0.99790071244552403</v>
      </c>
      <c r="K29">
        <f t="shared" si="0"/>
        <v>320.49061326011088</v>
      </c>
      <c r="L29">
        <f>0.5*Z29*K29/J29/$B$7</f>
        <v>160.58241529595392</v>
      </c>
      <c r="M29">
        <f t="shared" si="7"/>
        <v>2.1014941473169392E-3</v>
      </c>
      <c r="N29" s="21">
        <f t="shared" si="8"/>
        <v>4.1732408362768073E-3</v>
      </c>
      <c r="O29" s="21">
        <f t="shared" si="4"/>
        <v>1.0066185140109223</v>
      </c>
      <c r="P29">
        <f t="shared" si="5"/>
        <v>3.1117394840805626E-3</v>
      </c>
      <c r="Q29">
        <f t="shared" si="1"/>
        <v>0.99790071244552403</v>
      </c>
      <c r="R29">
        <f t="shared" si="2"/>
        <v>-0.30492984726558015</v>
      </c>
      <c r="T29" s="21">
        <f>(M29-M28)/(H29-H28)</f>
        <v>2.5267152586093765E-2</v>
      </c>
      <c r="W29" s="25"/>
      <c r="X29" s="25"/>
      <c r="Y29">
        <v>1</v>
      </c>
      <c r="Z29">
        <f t="shared" si="3"/>
        <v>1</v>
      </c>
      <c r="AC29">
        <v>2.5</v>
      </c>
      <c r="AD29">
        <f t="shared" si="9"/>
        <v>-0.68658684733714392</v>
      </c>
      <c r="AE29">
        <f t="shared" si="10"/>
        <v>7.9160381465879573E-2</v>
      </c>
    </row>
    <row r="30" spans="2:31" ht="15" x14ac:dyDescent="0.25">
      <c r="G30" s="21"/>
      <c r="H30" s="21">
        <f t="shared" si="11"/>
        <v>1.1918176537727234E-3</v>
      </c>
      <c r="I30">
        <f t="shared" si="6"/>
        <v>6.0456521194199322</v>
      </c>
      <c r="J30">
        <f t="shared" si="12"/>
        <v>0.99789798370988481</v>
      </c>
      <c r="K30">
        <f t="shared" si="0"/>
        <v>320.28090256520966</v>
      </c>
      <c r="L30">
        <f>0.5*Z30*K30/J30/$B$7</f>
        <v>160.47777818655445</v>
      </c>
      <c r="M30">
        <f t="shared" si="7"/>
        <v>2.104228627146475E-3</v>
      </c>
      <c r="N30" s="21">
        <f t="shared" si="8"/>
        <v>4.1759509571334674E-3</v>
      </c>
      <c r="O30" s="21">
        <f t="shared" si="4"/>
        <v>1.0072735426404216</v>
      </c>
      <c r="P30">
        <f t="shared" si="5"/>
        <v>3.1157842441288108E-3</v>
      </c>
      <c r="Q30">
        <f t="shared" si="1"/>
        <v>0.99789798370988481</v>
      </c>
      <c r="R30">
        <f t="shared" si="2"/>
        <v>-0.30493224401364488</v>
      </c>
      <c r="T30" s="21">
        <f>(M30-M29)/(H30-H29)</f>
        <v>2.5238154536205534E-2</v>
      </c>
      <c r="W30" s="25"/>
      <c r="X30" s="25"/>
      <c r="Y30">
        <v>1</v>
      </c>
      <c r="Z30">
        <f t="shared" si="3"/>
        <v>1</v>
      </c>
      <c r="AC30">
        <v>2.6</v>
      </c>
      <c r="AD30">
        <f t="shared" si="9"/>
        <v>-0.75405032123062976</v>
      </c>
      <c r="AE30">
        <f t="shared" si="10"/>
        <v>7.535876760300482E-2</v>
      </c>
    </row>
    <row r="31" spans="2:31" ht="15" x14ac:dyDescent="0.25">
      <c r="G31" s="21"/>
      <c r="H31" s="21">
        <f t="shared" si="11"/>
        <v>1.3109994191499959E-3</v>
      </c>
      <c r="I31">
        <f t="shared" si="6"/>
        <v>6.0339292603051486</v>
      </c>
      <c r="J31">
        <f t="shared" si="12"/>
        <v>0.99789498588956138</v>
      </c>
      <c r="K31">
        <f t="shared" si="0"/>
        <v>320.05098246690488</v>
      </c>
      <c r="L31">
        <f>0.5*Z31*K31/J31/$B$7</f>
        <v>160.363057732773</v>
      </c>
      <c r="M31">
        <f t="shared" si="7"/>
        <v>2.1072327667231655E-3</v>
      </c>
      <c r="N31" s="21">
        <f t="shared" si="8"/>
        <v>4.1789262971657941E-3</v>
      </c>
      <c r="O31" s="21">
        <f t="shared" si="4"/>
        <v>1.0079926769818264</v>
      </c>
      <c r="P31">
        <f t="shared" si="5"/>
        <v>3.1202278639876624E-3</v>
      </c>
      <c r="Q31">
        <f t="shared" si="1"/>
        <v>0.99789498588956138</v>
      </c>
      <c r="R31">
        <f t="shared" si="2"/>
        <v>-0.30493487715203832</v>
      </c>
      <c r="T31" s="21">
        <f>(M31-M30)/(H31-H30)</f>
        <v>2.520636917217026E-2</v>
      </c>
      <c r="W31" s="25"/>
      <c r="X31" s="25"/>
      <c r="Y31">
        <v>1</v>
      </c>
      <c r="Z31">
        <f t="shared" si="3"/>
        <v>1</v>
      </c>
      <c r="AC31">
        <v>2.7</v>
      </c>
      <c r="AD31">
        <f t="shared" si="9"/>
        <v>-0.8215137951241156</v>
      </c>
      <c r="AE31">
        <f t="shared" si="10"/>
        <v>7.1905560692135773E-2</v>
      </c>
    </row>
    <row r="32" spans="2:31" ht="15" x14ac:dyDescent="0.25">
      <c r="G32" s="21"/>
      <c r="H32" s="21">
        <f t="shared" si="11"/>
        <v>1.4420993610649957E-3</v>
      </c>
      <c r="I32">
        <f t="shared" si="6"/>
        <v>6.021094086289307</v>
      </c>
      <c r="J32">
        <f t="shared" si="12"/>
        <v>0.9978916928540098</v>
      </c>
      <c r="K32">
        <f t="shared" si="0"/>
        <v>319.79898632715162</v>
      </c>
      <c r="L32">
        <f>0.5*Z32*K32/J32/$B$7</f>
        <v>160.23732265598576</v>
      </c>
      <c r="M32">
        <f t="shared" si="7"/>
        <v>2.1105327542284965E-3</v>
      </c>
      <c r="N32" s="21">
        <f t="shared" si="8"/>
        <v>4.1821921943897547E-3</v>
      </c>
      <c r="O32" s="21">
        <f t="shared" si="4"/>
        <v>1.0087820420668037</v>
      </c>
      <c r="P32">
        <f t="shared" si="5"/>
        <v>3.1251090765335278E-3</v>
      </c>
      <c r="Q32">
        <f t="shared" si="1"/>
        <v>0.9978916928540098</v>
      </c>
      <c r="R32">
        <f t="shared" si="2"/>
        <v>-0.30493776964542768</v>
      </c>
      <c r="T32" s="21">
        <f>(M32-M31)/(H32-H31)</f>
        <v>2.5171540560029973E-2</v>
      </c>
      <c r="W32" s="25"/>
      <c r="X32" s="25"/>
      <c r="Y32">
        <v>1</v>
      </c>
      <c r="Z32">
        <f t="shared" si="3"/>
        <v>1</v>
      </c>
      <c r="AC32">
        <v>2.8</v>
      </c>
      <c r="AD32">
        <f t="shared" si="9"/>
        <v>-0.88897726901760121</v>
      </c>
      <c r="AE32">
        <f t="shared" si="10"/>
        <v>6.8754963582450548E-2</v>
      </c>
    </row>
    <row r="33" spans="7:31" ht="15" x14ac:dyDescent="0.25">
      <c r="G33" s="21"/>
      <c r="H33" s="21">
        <f t="shared" si="11"/>
        <v>1.5863092971714955E-3</v>
      </c>
      <c r="I33">
        <f t="shared" si="6"/>
        <v>6.0070474111062682</v>
      </c>
      <c r="J33">
        <f t="shared" si="12"/>
        <v>0.99788807601728091</v>
      </c>
      <c r="K33">
        <f t="shared" si="0"/>
        <v>319.52289144722533</v>
      </c>
      <c r="L33">
        <f>0.5*Z33*K33/J33/$B$7</f>
        <v>160.09956383209254</v>
      </c>
      <c r="M33">
        <f t="shared" si="7"/>
        <v>2.1141572390392049E-3</v>
      </c>
      <c r="N33" s="21">
        <f t="shared" si="8"/>
        <v>4.1857762824690824E-3</v>
      </c>
      <c r="O33" s="21">
        <f t="shared" si="4"/>
        <v>1.0096483179901481</v>
      </c>
      <c r="P33">
        <f t="shared" si="5"/>
        <v>3.1304702542497131E-3</v>
      </c>
      <c r="Q33">
        <f t="shared" si="1"/>
        <v>0.99788807601728091</v>
      </c>
      <c r="R33">
        <f t="shared" si="2"/>
        <v>-0.30494094661828325</v>
      </c>
      <c r="T33" s="21">
        <f>(M33-M32)/(H33-H32)</f>
        <v>2.5133391696613886E-2</v>
      </c>
      <c r="W33" s="25"/>
      <c r="X33" s="25"/>
      <c r="Y33">
        <v>1</v>
      </c>
      <c r="Z33">
        <f t="shared" si="3"/>
        <v>1</v>
      </c>
      <c r="AC33">
        <v>2.9</v>
      </c>
      <c r="AD33">
        <f t="shared" si="9"/>
        <v>-0.95644074291108705</v>
      </c>
      <c r="AE33">
        <f t="shared" si="10"/>
        <v>6.5868868745150924E-2</v>
      </c>
    </row>
    <row r="34" spans="7:31" ht="15" x14ac:dyDescent="0.25">
      <c r="G34" s="21"/>
      <c r="H34" s="21">
        <f t="shared" si="11"/>
        <v>1.7449402268886452E-3</v>
      </c>
      <c r="I34">
        <f t="shared" si="6"/>
        <v>5.9916824855657147</v>
      </c>
      <c r="J34">
        <f t="shared" si="12"/>
        <v>0.99788410412376494</v>
      </c>
      <c r="K34">
        <f t="shared" si="0"/>
        <v>319.2205093231504</v>
      </c>
      <c r="L34">
        <f>0.5*Z34*K34/J34/$B$7</f>
        <v>159.94868943395772</v>
      </c>
      <c r="M34">
        <f t="shared" si="7"/>
        <v>2.1181375465667901E-3</v>
      </c>
      <c r="N34" s="21">
        <f t="shared" si="8"/>
        <v>4.189708673584632E-3</v>
      </c>
      <c r="O34" s="21">
        <f t="shared" si="4"/>
        <v>1.0105987841534034</v>
      </c>
      <c r="P34">
        <f t="shared" si="5"/>
        <v>3.1363577268133736E-3</v>
      </c>
      <c r="Q34">
        <f t="shared" si="1"/>
        <v>0.99788410412376494</v>
      </c>
      <c r="R34">
        <f t="shared" si="2"/>
        <v>-0.30494443554373718</v>
      </c>
      <c r="T34" s="21">
        <f>(M34-M33)/(H34-H33)</f>
        <v>2.5091623270962246E-2</v>
      </c>
      <c r="W34" s="25"/>
      <c r="X34" s="25"/>
      <c r="Y34">
        <v>1</v>
      </c>
      <c r="Z34">
        <f t="shared" si="3"/>
        <v>1</v>
      </c>
      <c r="AC34">
        <v>3</v>
      </c>
      <c r="AD34">
        <f t="shared" si="9"/>
        <v>-1.0239042168045729</v>
      </c>
      <c r="AE34">
        <f t="shared" si="10"/>
        <v>6.3215309372670475E-2</v>
      </c>
    </row>
    <row r="35" spans="7:31" ht="15" x14ac:dyDescent="0.25">
      <c r="G35" s="21"/>
      <c r="H35" s="21">
        <f t="shared" si="11"/>
        <v>1.9194342495775099E-3</v>
      </c>
      <c r="I35">
        <f t="shared" si="6"/>
        <v>5.9748846819003258</v>
      </c>
      <c r="J35">
        <f t="shared" si="12"/>
        <v>0.99787974301850979</v>
      </c>
      <c r="K35">
        <f t="shared" si="0"/>
        <v>318.88947598405542</v>
      </c>
      <c r="L35">
        <f>0.5*Z35*K35/J35/$B$7</f>
        <v>159.78352011608092</v>
      </c>
      <c r="M35">
        <f t="shared" si="7"/>
        <v>2.1225079085827147E-3</v>
      </c>
      <c r="N35" s="21">
        <f t="shared" si="8"/>
        <v>4.1940221508172549E-3</v>
      </c>
      <c r="O35" s="21">
        <f t="shared" si="4"/>
        <v>1.0116413658166503</v>
      </c>
      <c r="P35">
        <f t="shared" si="5"/>
        <v>3.1428221215494515E-3</v>
      </c>
      <c r="Q35">
        <f t="shared" si="1"/>
        <v>0.99787974301850979</v>
      </c>
      <c r="R35">
        <f t="shared" si="2"/>
        <v>-0.30494826644612827</v>
      </c>
      <c r="T35" s="21">
        <f>(M35-M34)/(H35-H34)</f>
        <v>2.504591245350192E-2</v>
      </c>
      <c r="W35" s="25"/>
      <c r="X35" s="25"/>
      <c r="Y35">
        <v>1</v>
      </c>
      <c r="Z35">
        <f t="shared" si="3"/>
        <v>1</v>
      </c>
      <c r="AC35">
        <v>3.1</v>
      </c>
      <c r="AD35">
        <f t="shared" si="9"/>
        <v>-1.0913676906980587</v>
      </c>
      <c r="AE35">
        <f t="shared" si="10"/>
        <v>6.0767270368825857E-2</v>
      </c>
    </row>
    <row r="36" spans="7:31" ht="15" x14ac:dyDescent="0.25">
      <c r="G36" s="21"/>
      <c r="H36" s="21">
        <f t="shared" si="11"/>
        <v>2.1113776745352612E-3</v>
      </c>
      <c r="I36">
        <f t="shared" si="6"/>
        <v>5.9565312227042178</v>
      </c>
      <c r="J36">
        <f t="shared" si="12"/>
        <v>0.99787495540165372</v>
      </c>
      <c r="K36">
        <f t="shared" si="0"/>
        <v>318.52724259221725</v>
      </c>
      <c r="L36">
        <f>0.5*Z36*K36/J36/$B$7</f>
        <v>159.60278433083189</v>
      </c>
      <c r="M36">
        <f t="shared" si="7"/>
        <v>2.1273057094946916E-3</v>
      </c>
      <c r="N36" s="21">
        <f t="shared" si="8"/>
        <v>4.1987523694663447E-3</v>
      </c>
      <c r="O36" s="21">
        <f t="shared" si="4"/>
        <v>1.0127846828204039</v>
      </c>
      <c r="P36">
        <f t="shared" si="5"/>
        <v>3.1499187274307778E-3</v>
      </c>
      <c r="Q36">
        <f t="shared" si="1"/>
        <v>0.99787495540165372</v>
      </c>
      <c r="R36">
        <f t="shared" si="2"/>
        <v>-0.30495247211766074</v>
      </c>
      <c r="T36" s="21">
        <f>(M36-M35)/(H36-H35)</f>
        <v>2.499591175385631E-2</v>
      </c>
      <c r="W36" s="25"/>
      <c r="X36" s="25"/>
      <c r="Y36">
        <v>1</v>
      </c>
      <c r="Z36">
        <f t="shared" si="3"/>
        <v>1</v>
      </c>
      <c r="AC36">
        <v>3.2</v>
      </c>
      <c r="AD36">
        <f t="shared" si="9"/>
        <v>-1.1588311645915446</v>
      </c>
      <c r="AE36">
        <f t="shared" si="10"/>
        <v>5.8501765308574288E-2</v>
      </c>
    </row>
    <row r="37" spans="7:31" ht="15" x14ac:dyDescent="0.25">
      <c r="G37" s="21"/>
      <c r="H37" s="21">
        <f t="shared" si="11"/>
        <v>2.3225154419887874E-3</v>
      </c>
      <c r="I37">
        <f t="shared" si="6"/>
        <v>5.936490970142966</v>
      </c>
      <c r="J37">
        <f t="shared" si="12"/>
        <v>0.99786970056664492</v>
      </c>
      <c r="K37">
        <f t="shared" si="0"/>
        <v>318.13106652263156</v>
      </c>
      <c r="L37">
        <f>0.5*Z37*K37/J37/$B$7</f>
        <v>159.4051138850991</v>
      </c>
      <c r="M37">
        <f t="shared" si="7"/>
        <v>2.1325717489081926E-3</v>
      </c>
      <c r="N37" s="21">
        <f t="shared" si="8"/>
        <v>4.2039380664388257E-3</v>
      </c>
      <c r="O37" s="21">
        <f t="shared" si="4"/>
        <v>1.0140381002703478</v>
      </c>
      <c r="P37">
        <f t="shared" si="5"/>
        <v>3.1577078831109724E-3</v>
      </c>
      <c r="Q37">
        <f t="shared" si="1"/>
        <v>0.99786970056664492</v>
      </c>
      <c r="R37">
        <f t="shared" si="2"/>
        <v>-0.30495708834949531</v>
      </c>
      <c r="T37" s="21">
        <f>(M37-M36)/(H37-H36)</f>
        <v>2.4941247968154667E-2</v>
      </c>
      <c r="W37" s="25"/>
      <c r="X37" s="25"/>
      <c r="Y37">
        <v>1</v>
      </c>
      <c r="Z37">
        <f t="shared" si="3"/>
        <v>1</v>
      </c>
      <c r="AC37">
        <v>3.3</v>
      </c>
      <c r="AD37">
        <f t="shared" ref="AD37:AD68" si="13">1-AC37*$B$15</f>
        <v>-1.22629463848503</v>
      </c>
      <c r="AE37">
        <f t="shared" ref="AE37:AE68" si="14">$E$15/(AC37+$E$16)</f>
        <v>5.6399112451580073E-2</v>
      </c>
    </row>
    <row r="38" spans="7:31" ht="15" x14ac:dyDescent="0.25">
      <c r="G38" s="21"/>
      <c r="H38" s="21">
        <f t="shared" si="11"/>
        <v>2.5547669861876662E-3</v>
      </c>
      <c r="I38">
        <f t="shared" si="6"/>
        <v>5.9146242937312135</v>
      </c>
      <c r="J38">
        <f t="shared" si="12"/>
        <v>0.9978639341220843</v>
      </c>
      <c r="K38">
        <f t="shared" si="0"/>
        <v>317.69800318356596</v>
      </c>
      <c r="L38">
        <f>0.5*Z38*K38/J38/$B$7</f>
        <v>159.18903986798315</v>
      </c>
      <c r="M38">
        <f t="shared" si="7"/>
        <v>2.1383505206444761E-3</v>
      </c>
      <c r="N38" s="21">
        <f t="shared" si="8"/>
        <v>4.2096212765040013E-3</v>
      </c>
      <c r="O38" s="21">
        <f t="shared" si="4"/>
        <v>1.0154117808959231</v>
      </c>
      <c r="P38">
        <f t="shared" si="5"/>
        <v>3.1662553892320509E-3</v>
      </c>
      <c r="Q38">
        <f t="shared" si="1"/>
        <v>0.9978639341220843</v>
      </c>
      <c r="R38">
        <f t="shared" si="2"/>
        <v>-0.30496215417745243</v>
      </c>
      <c r="T38" s="21">
        <f>(M38-M37)/(H38-H37)</f>
        <v>2.488152126702373E-2</v>
      </c>
      <c r="W38" s="25"/>
      <c r="X38" s="25"/>
      <c r="Y38">
        <v>1</v>
      </c>
      <c r="Z38">
        <f t="shared" si="3"/>
        <v>1</v>
      </c>
      <c r="AC38">
        <v>3.4</v>
      </c>
      <c r="AD38">
        <f t="shared" si="13"/>
        <v>-1.2937581123785158</v>
      </c>
      <c r="AE38">
        <f t="shared" si="14"/>
        <v>5.4442361466787555E-2</v>
      </c>
    </row>
    <row r="39" spans="7:31" ht="15" x14ac:dyDescent="0.25">
      <c r="G39" s="21"/>
      <c r="H39" s="21">
        <f t="shared" si="11"/>
        <v>2.8102436848064329E-3</v>
      </c>
      <c r="I39">
        <f t="shared" si="6"/>
        <v>5.8907830377469912</v>
      </c>
      <c r="J39">
        <f t="shared" si="12"/>
        <v>0.99785760769723397</v>
      </c>
      <c r="K39">
        <f t="shared" si="0"/>
        <v>317.22489888743092</v>
      </c>
      <c r="L39">
        <f>0.5*Z39*K39/J39/$B$7</f>
        <v>158.95298910407368</v>
      </c>
      <c r="M39">
        <f t="shared" si="7"/>
        <v>2.1446905081805895E-3</v>
      </c>
      <c r="N39" s="21">
        <f t="shared" si="8"/>
        <v>4.2158475538149357E-3</v>
      </c>
      <c r="O39" s="21">
        <f t="shared" si="4"/>
        <v>1.0169167386986862</v>
      </c>
      <c r="P39">
        <f t="shared" si="5"/>
        <v>3.1756329449452469E-3</v>
      </c>
      <c r="Q39">
        <f t="shared" si="1"/>
        <v>0.99785760769723397</v>
      </c>
      <c r="R39">
        <f t="shared" si="2"/>
        <v>-0.30496771214233281</v>
      </c>
      <c r="T39" s="21">
        <f>(M39-M38)/(H39-H38)</f>
        <v>2.4816304462952944E-2</v>
      </c>
      <c r="W39" s="25"/>
      <c r="X39" s="25"/>
      <c r="Y39">
        <v>1</v>
      </c>
      <c r="Z39">
        <f t="shared" si="3"/>
        <v>1</v>
      </c>
      <c r="AC39">
        <v>3.5</v>
      </c>
      <c r="AD39">
        <f t="shared" si="13"/>
        <v>-1.3612215862720016</v>
      </c>
      <c r="AE39">
        <f t="shared" si="14"/>
        <v>5.2616835493194174E-2</v>
      </c>
    </row>
    <row r="40" spans="7:31" ht="15" x14ac:dyDescent="0.25">
      <c r="G40" s="21"/>
      <c r="H40" s="21">
        <f t="shared" si="11"/>
        <v>3.0912680532870765E-3</v>
      </c>
      <c r="I40">
        <f t="shared" si="6"/>
        <v>5.8648106122100838</v>
      </c>
      <c r="J40">
        <f t="shared" si="12"/>
        <v>0.99785066863147875</v>
      </c>
      <c r="K40">
        <f t="shared" si="0"/>
        <v>316.70838513283547</v>
      </c>
      <c r="L40">
        <f>0.5*Z40*K40/J40/$B$7</f>
        <v>158.69528131257917</v>
      </c>
      <c r="M40">
        <f t="shared" si="7"/>
        <v>2.1516444962334036E-3</v>
      </c>
      <c r="N40" s="21">
        <f t="shared" si="8"/>
        <v>4.2226661966441028E-3</v>
      </c>
      <c r="O40" s="21">
        <f t="shared" si="4"/>
        <v>1.0185648933972411</v>
      </c>
      <c r="P40">
        <f t="shared" si="5"/>
        <v>3.1859186082155403E-3</v>
      </c>
      <c r="Q40">
        <f t="shared" si="1"/>
        <v>0.99785066863147875</v>
      </c>
      <c r="R40">
        <f t="shared" si="2"/>
        <v>-0.30497380856464962</v>
      </c>
      <c r="T40" s="21">
        <f>(M40-M39)/(H40-H39)</f>
        <v>2.4745142531271642E-2</v>
      </c>
      <c r="W40" s="25"/>
      <c r="X40" s="25"/>
      <c r="Y40">
        <v>1</v>
      </c>
      <c r="Z40">
        <f t="shared" si="3"/>
        <v>1</v>
      </c>
      <c r="AC40">
        <v>3.6</v>
      </c>
      <c r="AD40">
        <f t="shared" si="13"/>
        <v>-1.4286850601654875</v>
      </c>
      <c r="AE40">
        <f t="shared" si="14"/>
        <v>5.0909762343471075E-2</v>
      </c>
    </row>
    <row r="41" spans="7:31" ht="15" x14ac:dyDescent="0.25">
      <c r="G41" s="21"/>
      <c r="H41" s="21">
        <f t="shared" si="11"/>
        <v>3.4003948586157845E-3</v>
      </c>
      <c r="I41">
        <f t="shared" si="6"/>
        <v>5.8365422341898672</v>
      </c>
      <c r="J41">
        <f t="shared" si="12"/>
        <v>0.99784305964833009</v>
      </c>
      <c r="K41">
        <f t="shared" si="0"/>
        <v>316.14487471286498</v>
      </c>
      <c r="L41">
        <f>0.5*Z41*K41/J41/$B$7</f>
        <v>158.41412717962078</v>
      </c>
      <c r="M41">
        <f t="shared" si="7"/>
        <v>2.1592698979078996E-3</v>
      </c>
      <c r="N41" s="21">
        <f t="shared" si="8"/>
        <v>4.2301304727692781E-3</v>
      </c>
      <c r="O41" s="21">
        <f t="shared" si="4"/>
        <v>1.0203691250522624</v>
      </c>
      <c r="P41">
        <f t="shared" si="5"/>
        <v>3.1971972790422838E-3</v>
      </c>
      <c r="Q41">
        <f t="shared" si="1"/>
        <v>0.99784305964833009</v>
      </c>
      <c r="R41">
        <f t="shared" si="2"/>
        <v>-0.30498049383331427</v>
      </c>
      <c r="T41" s="21">
        <f>(M41-M40)/(H41-H40)</f>
        <v>2.4667552418780304E-2</v>
      </c>
      <c r="W41" s="25"/>
      <c r="X41" s="25"/>
      <c r="Y41">
        <v>1</v>
      </c>
      <c r="Z41">
        <f t="shared" si="3"/>
        <v>1</v>
      </c>
      <c r="AC41">
        <v>3.7</v>
      </c>
      <c r="AD41">
        <f t="shared" si="13"/>
        <v>-1.4961485340589733</v>
      </c>
      <c r="AE41">
        <f t="shared" si="14"/>
        <v>4.9309975241873139E-2</v>
      </c>
    </row>
    <row r="42" spans="7:31" ht="15" x14ac:dyDescent="0.25">
      <c r="G42" s="21"/>
      <c r="H42" s="21">
        <f t="shared" si="11"/>
        <v>3.7404343444773632E-3</v>
      </c>
      <c r="I42">
        <f t="shared" si="6"/>
        <v>5.8058053488815604</v>
      </c>
      <c r="J42">
        <f t="shared" si="12"/>
        <v>0.99783471851489791</v>
      </c>
      <c r="K42">
        <f t="shared" si="0"/>
        <v>315.53056011987064</v>
      </c>
      <c r="L42">
        <f>0.5*Z42*K42/J42/$B$7</f>
        <v>158.10762757858464</v>
      </c>
      <c r="M42">
        <f t="shared" si="7"/>
        <v>2.1676290964954617E-3</v>
      </c>
      <c r="N42" s="21">
        <f t="shared" si="8"/>
        <v>4.2382978423771162E-3</v>
      </c>
      <c r="O42" s="21">
        <f t="shared" si="4"/>
        <v>1.0223433281181085</v>
      </c>
      <c r="P42">
        <f t="shared" si="5"/>
        <v>3.2095612042165635E-3</v>
      </c>
      <c r="Q42">
        <f t="shared" si="1"/>
        <v>0.99783471851489791</v>
      </c>
      <c r="R42">
        <f t="shared" si="2"/>
        <v>-0.30498782270752484</v>
      </c>
      <c r="T42" s="21">
        <f>(M42-M41)/(H42-H41)</f>
        <v>2.4583023252084585E-2</v>
      </c>
      <c r="W42" s="25"/>
      <c r="X42" s="25"/>
      <c r="Y42">
        <v>1</v>
      </c>
      <c r="Z42">
        <f t="shared" si="3"/>
        <v>1</v>
      </c>
      <c r="AC42">
        <v>3.8</v>
      </c>
      <c r="AD42">
        <f t="shared" si="13"/>
        <v>-1.5636120079524587</v>
      </c>
      <c r="AE42">
        <f t="shared" si="14"/>
        <v>4.7807668267127804E-2</v>
      </c>
    </row>
    <row r="43" spans="7:31" ht="15" x14ac:dyDescent="0.25">
      <c r="G43" s="21"/>
      <c r="H43" s="21">
        <f t="shared" si="11"/>
        <v>4.1144777789250998E-3</v>
      </c>
      <c r="I43">
        <f t="shared" si="6"/>
        <v>5.772420262207878</v>
      </c>
      <c r="J43">
        <f t="shared" si="12"/>
        <v>0.99782557768816205</v>
      </c>
      <c r="K43">
        <f t="shared" si="0"/>
        <v>314.86141477122771</v>
      </c>
      <c r="L43">
        <f>0.5*Z43*K43/J43/$B$7</f>
        <v>157.77377420045821</v>
      </c>
      <c r="M43">
        <f t="shared" si="7"/>
        <v>2.1767898006025887E-3</v>
      </c>
      <c r="N43" s="21">
        <f t="shared" si="8"/>
        <v>4.247230174731549E-3</v>
      </c>
      <c r="O43" s="21">
        <f t="shared" si="4"/>
        <v>1.0245024640180604</v>
      </c>
      <c r="P43">
        <f t="shared" si="5"/>
        <v>3.2231105016487099E-3</v>
      </c>
      <c r="Q43">
        <f t="shared" si="1"/>
        <v>0.99782557768816205</v>
      </c>
      <c r="R43">
        <f t="shared" si="2"/>
        <v>-0.30499585463076684</v>
      </c>
      <c r="T43" s="21">
        <f>(M43-M42)/(H43-H42)</f>
        <v>2.4491016987512444E-2</v>
      </c>
      <c r="W43" s="25"/>
      <c r="X43" s="25"/>
      <c r="Y43">
        <v>1</v>
      </c>
      <c r="Z43">
        <f t="shared" si="3"/>
        <v>1</v>
      </c>
      <c r="AC43">
        <v>3.9</v>
      </c>
      <c r="AD43">
        <f t="shared" si="13"/>
        <v>-1.6310754818459445</v>
      </c>
      <c r="AE43">
        <f t="shared" si="14"/>
        <v>4.639419517851838E-2</v>
      </c>
    </row>
    <row r="44" spans="7:31" ht="15" x14ac:dyDescent="0.25">
      <c r="G44" s="21"/>
      <c r="H44" s="21">
        <f t="shared" si="11"/>
        <v>4.5259255568176103E-3</v>
      </c>
      <c r="I44">
        <f t="shared" si="6"/>
        <v>5.7362010184230066</v>
      </c>
      <c r="J44">
        <f t="shared" si="12"/>
        <v>0.99781556394981219</v>
      </c>
      <c r="K44">
        <f t="shared" si="0"/>
        <v>314.13319763069541</v>
      </c>
      <c r="L44">
        <f>0.5*Z44*K44/J44/$B$7</f>
        <v>157.41045188111315</v>
      </c>
      <c r="M44">
        <f t="shared" si="7"/>
        <v>2.1868254108543617E-3</v>
      </c>
      <c r="N44" s="21">
        <f t="shared" si="8"/>
        <v>4.2569939541919934E-3</v>
      </c>
      <c r="O44" s="21">
        <f t="shared" si="4"/>
        <v>1.0268626111806354</v>
      </c>
      <c r="P44">
        <f t="shared" si="5"/>
        <v>3.237953701638094E-3</v>
      </c>
      <c r="Q44">
        <f t="shared" si="1"/>
        <v>0.99781556394981219</v>
      </c>
      <c r="R44">
        <f t="shared" si="2"/>
        <v>-0.30500465405545546</v>
      </c>
      <c r="T44" s="21">
        <f>(M44-M43)/(H44-H43)</f>
        <v>2.4390969622382432E-2</v>
      </c>
      <c r="W44" s="25"/>
      <c r="X44" s="25"/>
      <c r="Y44">
        <v>1</v>
      </c>
      <c r="Z44">
        <f t="shared" si="3"/>
        <v>1</v>
      </c>
      <c r="AC44">
        <v>4</v>
      </c>
      <c r="AD44">
        <f t="shared" si="13"/>
        <v>-1.6985389557394304</v>
      </c>
      <c r="AE44">
        <f t="shared" si="14"/>
        <v>4.5061902904379864E-2</v>
      </c>
    </row>
    <row r="45" spans="7:31" ht="15" x14ac:dyDescent="0.25">
      <c r="G45" s="21"/>
      <c r="H45" s="21">
        <f t="shared" si="11"/>
        <v>4.9785181124993722E-3</v>
      </c>
      <c r="I45">
        <f t="shared" si="6"/>
        <v>5.6969565570223102</v>
      </c>
      <c r="J45">
        <f t="shared" si="12"/>
        <v>0.99780459803192434</v>
      </c>
      <c r="K45">
        <f t="shared" si="0"/>
        <v>313.3414618424664</v>
      </c>
      <c r="L45">
        <f>0.5*Z45*K45/J45/$B$7</f>
        <v>157.01544293366806</v>
      </c>
      <c r="M45">
        <f t="shared" si="7"/>
        <v>2.1978153959195269E-3</v>
      </c>
      <c r="N45" s="21">
        <f t="shared" si="8"/>
        <v>4.2676604704775306E-3</v>
      </c>
      <c r="O45" s="21">
        <f t="shared" si="4"/>
        <v>1.0294410113083861</v>
      </c>
      <c r="P45">
        <f t="shared" si="5"/>
        <v>3.2542083017275594E-3</v>
      </c>
      <c r="Q45">
        <f t="shared" si="1"/>
        <v>0.99780459803192434</v>
      </c>
      <c r="R45">
        <f t="shared" si="2"/>
        <v>-0.30501429077632869</v>
      </c>
      <c r="T45" s="21">
        <f>(M45-M44)/(H45-H44)</f>
        <v>2.4282293040835429E-2</v>
      </c>
      <c r="W45" s="25"/>
      <c r="X45" s="25"/>
      <c r="Y45">
        <v>1</v>
      </c>
      <c r="Z45">
        <f t="shared" si="3"/>
        <v>1</v>
      </c>
      <c r="AC45">
        <v>4.0999999999999996</v>
      </c>
      <c r="AD45">
        <f t="shared" si="13"/>
        <v>-1.7660024296329158</v>
      </c>
      <c r="AE45">
        <f t="shared" si="14"/>
        <v>4.3803992919760969E-2</v>
      </c>
    </row>
    <row r="46" spans="7:31" ht="15" x14ac:dyDescent="0.25">
      <c r="G46" s="21"/>
      <c r="H46" s="21">
        <f t="shared" si="11"/>
        <v>5.4763699237493097E-3</v>
      </c>
      <c r="I46">
        <f t="shared" si="6"/>
        <v>5.6544921828424739</v>
      </c>
      <c r="J46">
        <f t="shared" si="12"/>
        <v>0.99779259423626832</v>
      </c>
      <c r="K46">
        <f t="shared" si="0"/>
        <v>312.48156802514717</v>
      </c>
      <c r="L46">
        <f>0.5*Z46*K46/J46/$B$7</f>
        <v>156.58643380908595</v>
      </c>
      <c r="M46">
        <f t="shared" si="7"/>
        <v>2.2098456750787444E-3</v>
      </c>
      <c r="N46" s="21">
        <f t="shared" si="8"/>
        <v>4.2793059873791573E-3</v>
      </c>
      <c r="O46" s="21">
        <f t="shared" si="4"/>
        <v>1.0322561104833128</v>
      </c>
      <c r="P46">
        <f t="shared" si="5"/>
        <v>3.2720013309970337E-3</v>
      </c>
      <c r="Q46">
        <f t="shared" si="1"/>
        <v>0.99779259423626832</v>
      </c>
      <c r="R46">
        <f t="shared" si="2"/>
        <v>-0.30502484027024612</v>
      </c>
      <c r="T46" s="21">
        <f>(M46-M45)/(H46-H45)</f>
        <v>2.4164377606689016E-2</v>
      </c>
      <c r="W46" s="25"/>
      <c r="X46" s="25"/>
      <c r="Y46">
        <v>1</v>
      </c>
      <c r="Z46">
        <f t="shared" si="3"/>
        <v>1</v>
      </c>
      <c r="AC46">
        <v>4.2</v>
      </c>
      <c r="AD46">
        <f t="shared" si="13"/>
        <v>-1.833465903526402</v>
      </c>
      <c r="AE46">
        <f t="shared" si="14"/>
        <v>4.2614405211537955E-2</v>
      </c>
    </row>
    <row r="47" spans="7:31" ht="15" x14ac:dyDescent="0.25">
      <c r="G47" s="21"/>
      <c r="H47" s="21">
        <f t="shared" si="11"/>
        <v>6.0240069161242409E-3</v>
      </c>
      <c r="I47">
        <f t="shared" si="6"/>
        <v>5.6086113811770639</v>
      </c>
      <c r="J47">
        <f t="shared" si="12"/>
        <v>0.99777946005060347</v>
      </c>
      <c r="K47">
        <f t="shared" si="0"/>
        <v>311.54870288530094</v>
      </c>
      <c r="L47">
        <f>0.5*Z47*K47/J47/$B$7</f>
        <v>156.12102441430315</v>
      </c>
      <c r="M47">
        <f t="shared" si="7"/>
        <v>2.2230090039967029E-3</v>
      </c>
      <c r="N47" s="21">
        <f t="shared" si="8"/>
        <v>4.2920118834523366E-3</v>
      </c>
      <c r="O47" s="21">
        <f t="shared" si="4"/>
        <v>1.0353275935515005</v>
      </c>
      <c r="P47">
        <f t="shared" si="5"/>
        <v>3.2914699188221702E-3</v>
      </c>
      <c r="Q47">
        <f t="shared" si="1"/>
        <v>0.99777946005060347</v>
      </c>
      <c r="R47">
        <f t="shared" si="2"/>
        <v>-0.30503638403957301</v>
      </c>
      <c r="T47" s="21">
        <f>(M47-M46)/(H47-H46)</f>
        <v>2.4036595593868143E-2</v>
      </c>
      <c r="W47" s="25"/>
      <c r="X47" s="25"/>
      <c r="Y47">
        <v>1</v>
      </c>
      <c r="Z47">
        <f t="shared" si="3"/>
        <v>1</v>
      </c>
      <c r="AC47">
        <v>4.3</v>
      </c>
      <c r="AD47">
        <f t="shared" si="13"/>
        <v>-1.9009293774198874</v>
      </c>
      <c r="AE47">
        <f t="shared" si="14"/>
        <v>4.1487720650644155E-2</v>
      </c>
    </row>
    <row r="48" spans="7:31" ht="15" x14ac:dyDescent="0.25">
      <c r="G48" s="21"/>
      <c r="H48" s="21">
        <f t="shared" si="11"/>
        <v>6.6264076077366656E-3</v>
      </c>
      <c r="I48">
        <f t="shared" si="6"/>
        <v>5.5591180055997338</v>
      </c>
      <c r="J48">
        <f t="shared" si="12"/>
        <v>0.99776509576588823</v>
      </c>
      <c r="K48">
        <f t="shared" si="0"/>
        <v>310.53790379860584</v>
      </c>
      <c r="L48">
        <f>0.5*Z48*K48/J48/$B$7</f>
        <v>155.61674041134691</v>
      </c>
      <c r="M48">
        <f t="shared" si="7"/>
        <v>2.2374053597920373E-3</v>
      </c>
      <c r="N48" s="21">
        <f t="shared" si="8"/>
        <v>4.3058647576132824E-3</v>
      </c>
      <c r="O48" s="21">
        <f t="shared" si="4"/>
        <v>1.038676410082829</v>
      </c>
      <c r="P48">
        <f t="shared" si="5"/>
        <v>3.3127618622786985E-3</v>
      </c>
      <c r="Q48">
        <f t="shared" si="1"/>
        <v>0.99776509576588823</v>
      </c>
      <c r="R48">
        <f t="shared" si="2"/>
        <v>-0.30504900995584111</v>
      </c>
      <c r="T48" s="21">
        <f>(M48-M47)/(H48-H47)</f>
        <v>2.3898305556058101E-2</v>
      </c>
      <c r="W48" s="25"/>
      <c r="X48" s="25"/>
      <c r="Y48">
        <v>1</v>
      </c>
      <c r="Z48">
        <f t="shared" si="3"/>
        <v>1</v>
      </c>
      <c r="AC48">
        <v>4.4000000000000004</v>
      </c>
      <c r="AD48">
        <f t="shared" si="13"/>
        <v>-1.9683928513133737</v>
      </c>
      <c r="AE48">
        <f t="shared" si="14"/>
        <v>4.0419078452497169E-2</v>
      </c>
    </row>
    <row r="49" spans="7:31" ht="15" x14ac:dyDescent="0.25">
      <c r="G49" s="21"/>
      <c r="H49" s="21">
        <f t="shared" si="11"/>
        <v>7.2890483685103327E-3</v>
      </c>
      <c r="I49">
        <f t="shared" si="6"/>
        <v>5.5058188595424022</v>
      </c>
      <c r="J49">
        <f t="shared" si="12"/>
        <v>0.99774939409888785</v>
      </c>
      <c r="K49">
        <f t="shared" si="0"/>
        <v>309.4440899643439</v>
      </c>
      <c r="L49">
        <f>0.5*Z49*K49/J49/$B$7</f>
        <v>155.07104879969219</v>
      </c>
      <c r="M49">
        <f t="shared" si="7"/>
        <v>2.253142320942108E-3</v>
      </c>
      <c r="N49" s="21">
        <f t="shared" si="8"/>
        <v>4.3209564920607462E-3</v>
      </c>
      <c r="O49" s="21">
        <f t="shared" si="4"/>
        <v>1.0423247900805981</v>
      </c>
      <c r="P49">
        <f t="shared" si="5"/>
        <v>3.336036185544582E-3</v>
      </c>
      <c r="Q49">
        <f t="shared" si="1"/>
        <v>0.99774939409888785</v>
      </c>
      <c r="R49">
        <f t="shared" si="2"/>
        <v>-0.30506281259990464</v>
      </c>
      <c r="T49" s="21">
        <f>(M49-M48)/(H49-H48)</f>
        <v>2.3748857724503671E-2</v>
      </c>
      <c r="W49" s="25"/>
      <c r="X49" s="25"/>
      <c r="Y49">
        <v>1</v>
      </c>
      <c r="Z49">
        <f t="shared" si="3"/>
        <v>1</v>
      </c>
      <c r="AC49">
        <v>4.5</v>
      </c>
      <c r="AD49">
        <f t="shared" si="13"/>
        <v>-2.0358563252068591</v>
      </c>
      <c r="AE49">
        <f t="shared" si="14"/>
        <v>3.9404106073442496E-2</v>
      </c>
    </row>
    <row r="50" spans="7:31" ht="15" x14ac:dyDescent="0.25">
      <c r="G50" s="21"/>
      <c r="H50" s="21">
        <f t="shared" si="11"/>
        <v>8.0179532053613663E-3</v>
      </c>
      <c r="I50">
        <f t="shared" si="6"/>
        <v>5.4485266831043706</v>
      </c>
      <c r="J50">
        <f t="shared" si="12"/>
        <v>0.99773223982518522</v>
      </c>
      <c r="K50">
        <f t="shared" si="0"/>
        <v>308.26210065886272</v>
      </c>
      <c r="L50">
        <f>0.5*Z50*K50/J50/$B$7</f>
        <v>154.48137704404238</v>
      </c>
      <c r="M50">
        <f t="shared" si="7"/>
        <v>2.2703354370414274E-3</v>
      </c>
      <c r="N50" s="21">
        <f t="shared" si="8"/>
        <v>4.337384264603907E-3</v>
      </c>
      <c r="O50" s="21">
        <f t="shared" si="4"/>
        <v>1.0462962475336248</v>
      </c>
      <c r="P50">
        <f t="shared" si="5"/>
        <v>3.3614636838821101E-3</v>
      </c>
      <c r="Q50">
        <f t="shared" si="1"/>
        <v>0.99773223982518522</v>
      </c>
      <c r="R50">
        <f t="shared" si="2"/>
        <v>-0.30507789359436954</v>
      </c>
      <c r="T50" s="21">
        <f>(M50-M49)/(H50-H49)</f>
        <v>2.3587600507078452E-2</v>
      </c>
      <c r="W50" s="25"/>
      <c r="X50" s="25"/>
      <c r="Y50">
        <v>1</v>
      </c>
      <c r="Z50">
        <f t="shared" si="3"/>
        <v>1</v>
      </c>
      <c r="AC50">
        <v>4.5999999999999996</v>
      </c>
      <c r="AD50">
        <f t="shared" si="13"/>
        <v>-2.1033197991003445</v>
      </c>
      <c r="AE50">
        <f t="shared" si="14"/>
        <v>3.8438859410776592E-2</v>
      </c>
    </row>
    <row r="51" spans="7:31" ht="15" x14ac:dyDescent="0.25">
      <c r="G51" s="21"/>
      <c r="H51" s="21">
        <f t="shared" si="11"/>
        <v>8.8197485258975031E-3</v>
      </c>
      <c r="I51">
        <f t="shared" si="6"/>
        <v>5.3870635437323537</v>
      </c>
      <c r="J51">
        <f t="shared" si="12"/>
        <v>0.99771350942804382</v>
      </c>
      <c r="K51">
        <f t="shared" si="0"/>
        <v>306.98674098915114</v>
      </c>
      <c r="L51">
        <f>0.5*Z51*K51/J51/$B$7</f>
        <v>153.84513594746076</v>
      </c>
      <c r="M51">
        <f t="shared" si="7"/>
        <v>2.2891085829903537E-3</v>
      </c>
      <c r="N51" s="21">
        <f t="shared" si="8"/>
        <v>4.3552505023573655E-3</v>
      </c>
      <c r="O51" s="21">
        <f t="shared" si="4"/>
        <v>1.0506155698744202</v>
      </c>
      <c r="P51">
        <f t="shared" si="5"/>
        <v>3.3892274441221647E-3</v>
      </c>
      <c r="Q51">
        <f t="shared" si="1"/>
        <v>0.99771350942804382</v>
      </c>
      <c r="R51">
        <f t="shared" si="2"/>
        <v>-0.30509436192369765</v>
      </c>
      <c r="T51" s="21">
        <f>(M51-M50)/(H51-H50)</f>
        <v>2.341388814338953E-2</v>
      </c>
      <c r="W51" s="25"/>
      <c r="X51" s="25"/>
      <c r="Y51">
        <v>1</v>
      </c>
      <c r="Z51">
        <f t="shared" si="3"/>
        <v>1</v>
      </c>
      <c r="AC51">
        <v>4.7</v>
      </c>
      <c r="AD51">
        <f t="shared" si="13"/>
        <v>-2.1707832729938308</v>
      </c>
      <c r="AE51">
        <f t="shared" si="14"/>
        <v>3.7519771581811988E-2</v>
      </c>
    </row>
    <row r="52" spans="7:31" ht="15" x14ac:dyDescent="0.25">
      <c r="G52" s="21"/>
      <c r="H52" s="21">
        <f t="shared" si="11"/>
        <v>9.7017233784872543E-3</v>
      </c>
      <c r="I52">
        <f t="shared" si="6"/>
        <v>5.3212646131086245</v>
      </c>
      <c r="J52">
        <f t="shared" si="12"/>
        <v>0.9976930707689039</v>
      </c>
      <c r="K52">
        <f t="shared" si="0"/>
        <v>305.61283537308674</v>
      </c>
      <c r="L52">
        <f>0.5*Z52*K52/J52/$B$7</f>
        <v>153.15974638250043</v>
      </c>
      <c r="M52">
        <f t="shared" si="7"/>
        <v>2.309594291861393E-3</v>
      </c>
      <c r="N52" s="21">
        <f t="shared" si="8"/>
        <v>4.3746627689308501E-3</v>
      </c>
      <c r="O52" s="21">
        <f t="shared" si="4"/>
        <v>1.0553087914471577</v>
      </c>
      <c r="P52">
        <f t="shared" si="5"/>
        <v>3.4195233330829512E-3</v>
      </c>
      <c r="Q52">
        <f t="shared" si="1"/>
        <v>0.9976930707689039</v>
      </c>
      <c r="R52">
        <f t="shared" si="2"/>
        <v>-0.30511233423711681</v>
      </c>
      <c r="T52" s="21">
        <f>(M52-M51)/(H52-H51)</f>
        <v>2.3227089537629048E-2</v>
      </c>
      <c r="W52" s="25"/>
      <c r="X52" s="25"/>
      <c r="Y52">
        <v>1</v>
      </c>
      <c r="Z52">
        <f t="shared" si="3"/>
        <v>1</v>
      </c>
      <c r="AC52">
        <v>4.8</v>
      </c>
      <c r="AD52">
        <f t="shared" si="13"/>
        <v>-2.2382467468873162</v>
      </c>
      <c r="AE52">
        <f t="shared" si="14"/>
        <v>3.6643608879618123E-2</v>
      </c>
    </row>
    <row r="53" spans="7:31" ht="15" x14ac:dyDescent="0.25">
      <c r="G53" s="21"/>
      <c r="H53" s="21">
        <f t="shared" si="11"/>
        <v>1.0671895716335981E-2</v>
      </c>
      <c r="I53">
        <f t="shared" si="6"/>
        <v>5.2509822928229193</v>
      </c>
      <c r="J53">
        <f t="shared" si="12"/>
        <v>0.99767078278546162</v>
      </c>
      <c r="K53">
        <f t="shared" si="0"/>
        <v>304.13528874445745</v>
      </c>
      <c r="L53">
        <f>0.5*Z53*K53/J53/$B$7</f>
        <v>152.42266987879631</v>
      </c>
      <c r="M53">
        <f t="shared" si="7"/>
        <v>2.3319340605241429E-3</v>
      </c>
      <c r="N53" s="21">
        <f t="shared" si="8"/>
        <v>4.3957335777605267E-3</v>
      </c>
      <c r="O53" s="21">
        <f t="shared" si="4"/>
        <v>1.0604031492141881</v>
      </c>
      <c r="P53">
        <f t="shared" si="5"/>
        <v>3.4525604451023022E-3</v>
      </c>
      <c r="Q53">
        <f t="shared" si="1"/>
        <v>0.99767078278546162</v>
      </c>
      <c r="R53">
        <f t="shared" si="2"/>
        <v>-0.30513193512933007</v>
      </c>
      <c r="T53" s="21">
        <f>(M53-M52)/(H53-H52)</f>
        <v>2.3026598256023673E-2</v>
      </c>
      <c r="W53" s="25"/>
      <c r="X53" s="25"/>
      <c r="Y53">
        <v>1</v>
      </c>
      <c r="Z53">
        <f t="shared" si="3"/>
        <v>1</v>
      </c>
      <c r="AC53">
        <v>4.9000000000000004</v>
      </c>
      <c r="AD53">
        <f t="shared" si="13"/>
        <v>-2.3057102207808025</v>
      </c>
      <c r="AE53">
        <f t="shared" si="14"/>
        <v>3.5807432759078307E-2</v>
      </c>
    </row>
    <row r="54" spans="7:31" ht="15" x14ac:dyDescent="0.25">
      <c r="G54" s="21"/>
      <c r="H54" s="21">
        <f t="shared" si="11"/>
        <v>1.173908528796958E-2</v>
      </c>
      <c r="I54">
        <f t="shared" si="6"/>
        <v>5.1760906284781489</v>
      </c>
      <c r="J54">
        <f t="shared" si="12"/>
        <v>0.99764649522324522</v>
      </c>
      <c r="K54">
        <f t="shared" si="0"/>
        <v>302.54915519765461</v>
      </c>
      <c r="L54">
        <f>0.5*Z54*K54/J54/$B$7</f>
        <v>151.63144292405528</v>
      </c>
      <c r="M54">
        <f t="shared" si="7"/>
        <v>2.3562786221487829E-3</v>
      </c>
      <c r="N54" s="21">
        <f t="shared" si="8"/>
        <v>4.4185801251619789E-3</v>
      </c>
      <c r="O54" s="21">
        <f t="shared" si="4"/>
        <v>1.0659270191547303</v>
      </c>
      <c r="P54">
        <f t="shared" si="5"/>
        <v>3.4885614999170919E-3</v>
      </c>
      <c r="Q54">
        <f t="shared" si="1"/>
        <v>0.99764649522324522</v>
      </c>
      <c r="R54">
        <f t="shared" si="2"/>
        <v>-0.30515329739406688</v>
      </c>
      <c r="T54" s="21">
        <f>(M54-M53)/(H54-H53)</f>
        <v>2.2811843623410353E-2</v>
      </c>
      <c r="W54" s="25"/>
      <c r="X54" s="25"/>
      <c r="Y54">
        <v>1</v>
      </c>
      <c r="Z54">
        <f t="shared" si="3"/>
        <v>1</v>
      </c>
      <c r="AC54">
        <v>5</v>
      </c>
      <c r="AD54">
        <f t="shared" si="13"/>
        <v>-2.3731736946742878</v>
      </c>
      <c r="AE54">
        <f t="shared" si="14"/>
        <v>3.5008566911506084E-2</v>
      </c>
    </row>
    <row r="55" spans="7:31" ht="15" x14ac:dyDescent="0.25">
      <c r="G55" s="21"/>
      <c r="H55" s="21">
        <f t="shared" si="11"/>
        <v>1.2912993816766539E-2</v>
      </c>
      <c r="I55">
        <f t="shared" si="6"/>
        <v>5.0964899264492889</v>
      </c>
      <c r="J55">
        <f t="shared" si="12"/>
        <v>0.99762004840631258</v>
      </c>
      <c r="K55">
        <f t="shared" si="0"/>
        <v>300.84971345208038</v>
      </c>
      <c r="L55">
        <f>0.5*Z55*K55/J55/$B$7</f>
        <v>150.78371466806655</v>
      </c>
      <c r="M55">
        <f t="shared" si="7"/>
        <v>2.3827881800007234E-3</v>
      </c>
      <c r="N55" s="21">
        <f t="shared" si="8"/>
        <v>4.4433239380830183E-3</v>
      </c>
      <c r="O55" s="21">
        <f t="shared" si="4"/>
        <v>1.071909832146317</v>
      </c>
      <c r="P55">
        <f t="shared" si="5"/>
        <v>3.5277631825555958E-3</v>
      </c>
      <c r="Q55">
        <f t="shared" si="1"/>
        <v>0.99762004840631258</v>
      </c>
      <c r="R55">
        <f t="shared" si="2"/>
        <v>-0.30517656224578843</v>
      </c>
      <c r="T55" s="21">
        <f>(M55-M54)/(H55-H54)</f>
        <v>2.2582302795864293E-2</v>
      </c>
      <c r="W55" s="25"/>
      <c r="X55" s="25"/>
      <c r="Y55">
        <v>1</v>
      </c>
      <c r="Z55">
        <f t="shared" si="3"/>
        <v>1</v>
      </c>
      <c r="AC55">
        <v>5.0999999999999996</v>
      </c>
      <c r="AD55">
        <f t="shared" si="13"/>
        <v>-2.4406371685677737</v>
      </c>
      <c r="AE55">
        <f t="shared" si="14"/>
        <v>3.4244568650480901E-2</v>
      </c>
    </row>
    <row r="56" spans="7:31" ht="15" x14ac:dyDescent="0.25">
      <c r="G56" s="21"/>
      <c r="H56" s="21">
        <f t="shared" si="11"/>
        <v>1.4204293198443194E-2</v>
      </c>
      <c r="I56">
        <f t="shared" si="6"/>
        <v>5.0121114606626209</v>
      </c>
      <c r="J56">
        <f t="shared" si="12"/>
        <v>0.99759127305210027</v>
      </c>
      <c r="K56">
        <f t="shared" si="0"/>
        <v>299.03254813789158</v>
      </c>
      <c r="L56">
        <f>0.5*Z56*K56/J56/$B$7</f>
        <v>149.87728753029813</v>
      </c>
      <c r="M56">
        <f t="shared" si="7"/>
        <v>2.411632597536675E-3</v>
      </c>
      <c r="N56" s="21">
        <f t="shared" si="8"/>
        <v>4.4700904334295938E-3</v>
      </c>
      <c r="O56" s="21">
        <f t="shared" si="4"/>
        <v>1.0783819685763651</v>
      </c>
      <c r="P56">
        <f t="shared" si="5"/>
        <v>3.570416417783009E-3</v>
      </c>
      <c r="Q56">
        <f t="shared" si="1"/>
        <v>0.99759127305210027</v>
      </c>
      <c r="R56">
        <f t="shared" si="2"/>
        <v>-0.30520187950538785</v>
      </c>
      <c r="T56" s="21">
        <f>(M56-M55)/(H56-H55)</f>
        <v>2.2337513627939131E-2</v>
      </c>
      <c r="W56" s="25"/>
      <c r="X56" s="25"/>
      <c r="Y56">
        <v>1</v>
      </c>
      <c r="Z56">
        <f t="shared" si="3"/>
        <v>1</v>
      </c>
      <c r="AC56">
        <v>5.2</v>
      </c>
      <c r="AD56">
        <f t="shared" si="13"/>
        <v>-2.5081006424612595</v>
      </c>
      <c r="AE56">
        <f t="shared" si="14"/>
        <v>3.3513203964377417E-2</v>
      </c>
    </row>
    <row r="57" spans="7:31" ht="15" x14ac:dyDescent="0.25">
      <c r="G57" s="21"/>
      <c r="H57" s="21">
        <f t="shared" si="11"/>
        <v>1.5624722518287514E-2</v>
      </c>
      <c r="I57">
        <f t="shared" si="6"/>
        <v>4.9229221300289447</v>
      </c>
      <c r="J57">
        <f t="shared" si="12"/>
        <v>0.99755999013453578</v>
      </c>
      <c r="K57">
        <f t="shared" si="0"/>
        <v>297.09363549659338</v>
      </c>
      <c r="L57">
        <f>0.5*Z57*K57/J57/$B$7</f>
        <v>148.91016000778353</v>
      </c>
      <c r="M57">
        <f t="shared" si="7"/>
        <v>2.4429915407348855E-3</v>
      </c>
      <c r="N57" s="21">
        <f t="shared" si="8"/>
        <v>4.4990083882354183E-3</v>
      </c>
      <c r="O57" s="21">
        <f t="shared" si="4"/>
        <v>1.0853746315091688</v>
      </c>
      <c r="P57">
        <f t="shared" si="5"/>
        <v>3.6167865730077765E-3</v>
      </c>
      <c r="Q57">
        <f t="shared" si="1"/>
        <v>0.99755999013453578</v>
      </c>
      <c r="R57">
        <f t="shared" si="2"/>
        <v>-0.30522940774654922</v>
      </c>
      <c r="T57" s="21">
        <f>(M57-M56)/(H57-H56)</f>
        <v>2.2077088074785343E-2</v>
      </c>
      <c r="W57" s="25"/>
      <c r="X57" s="25"/>
      <c r="Y57">
        <v>1</v>
      </c>
      <c r="Z57">
        <f t="shared" si="3"/>
        <v>1</v>
      </c>
      <c r="AC57">
        <v>5.3</v>
      </c>
      <c r="AD57">
        <f t="shared" si="13"/>
        <v>-2.5755641163547449</v>
      </c>
      <c r="AE57">
        <f t="shared" si="14"/>
        <v>3.2812425698881029E-2</v>
      </c>
    </row>
    <row r="58" spans="7:31" ht="15" x14ac:dyDescent="0.25">
      <c r="G58" s="21"/>
      <c r="H58" s="21">
        <f t="shared" si="11"/>
        <v>1.7187194770116265E-2</v>
      </c>
      <c r="I58">
        <f t="shared" si="6"/>
        <v>4.8289289025306665</v>
      </c>
      <c r="J58">
        <f t="shared" si="12"/>
        <v>0.99752601079824832</v>
      </c>
      <c r="K58">
        <f t="shared" si="0"/>
        <v>295.02943167224828</v>
      </c>
      <c r="L58">
        <f>0.5*Z58*K58/J58/$B$7</f>
        <v>147.88057077136136</v>
      </c>
      <c r="M58">
        <f t="shared" si="7"/>
        <v>2.4770545698723345E-3</v>
      </c>
      <c r="N58" s="21">
        <f t="shared" si="8"/>
        <v>4.5302093228154006E-3</v>
      </c>
      <c r="O58" s="21">
        <f t="shared" si="4"/>
        <v>1.0929196989254268</v>
      </c>
      <c r="P58">
        <f t="shared" si="5"/>
        <v>3.6671535854463622E-3</v>
      </c>
      <c r="Q58">
        <f t="shared" si="1"/>
        <v>0.99752601079824832</v>
      </c>
      <c r="R58">
        <f t="shared" si="2"/>
        <v>-0.30525931440055576</v>
      </c>
      <c r="T58" s="21">
        <f>(M58-M57)/(H58-H57)</f>
        <v>2.1800725803342004E-2</v>
      </c>
      <c r="W58" s="25"/>
      <c r="X58" s="25"/>
      <c r="Y58">
        <v>1</v>
      </c>
      <c r="Z58">
        <f t="shared" si="3"/>
        <v>1</v>
      </c>
      <c r="AC58">
        <v>5.4</v>
      </c>
      <c r="AD58">
        <f t="shared" si="13"/>
        <v>-2.6430275902482312</v>
      </c>
      <c r="AE58">
        <f t="shared" si="14"/>
        <v>3.2140354420726401E-2</v>
      </c>
    </row>
    <row r="59" spans="7:31" ht="15" x14ac:dyDescent="0.25">
      <c r="G59" s="21"/>
      <c r="H59" s="21">
        <f t="shared" si="11"/>
        <v>1.8905914247127894E-2</v>
      </c>
      <c r="I59">
        <f t="shared" si="6"/>
        <v>4.7301828617752424</v>
      </c>
      <c r="J59">
        <f t="shared" si="12"/>
        <v>0.99748913632508374</v>
      </c>
      <c r="K59">
        <f t="shared" si="0"/>
        <v>292.83696136764672</v>
      </c>
      <c r="L59">
        <f>0.5*Z59*K59/J59/$B$7</f>
        <v>146.78704293788448</v>
      </c>
      <c r="M59">
        <f t="shared" si="7"/>
        <v>2.514021179596529E-3</v>
      </c>
      <c r="N59" s="21">
        <f t="shared" si="8"/>
        <v>4.5638268023125515E-3</v>
      </c>
      <c r="O59" s="21">
        <f t="shared" si="4"/>
        <v>1.1010495563397866</v>
      </c>
      <c r="P59">
        <f t="shared" si="5"/>
        <v>3.7218120117569575E-3</v>
      </c>
      <c r="Q59">
        <f t="shared" si="1"/>
        <v>0.99748913632508374</v>
      </c>
      <c r="R59">
        <f t="shared" si="2"/>
        <v>-0.30529177581877681</v>
      </c>
      <c r="T59" s="21">
        <f>(M59-M58)/(H59-H58)</f>
        <v>2.1508227618662435E-2</v>
      </c>
      <c r="W59" s="25"/>
      <c r="X59" s="25"/>
      <c r="Y59">
        <v>1</v>
      </c>
      <c r="Z59">
        <f t="shared" si="3"/>
        <v>1</v>
      </c>
      <c r="AC59">
        <v>5.5</v>
      </c>
      <c r="AD59">
        <f t="shared" si="13"/>
        <v>-2.7104910641417166</v>
      </c>
      <c r="AE59">
        <f t="shared" si="14"/>
        <v>3.1495261585952908E-2</v>
      </c>
    </row>
    <row r="60" spans="7:31" ht="15" x14ac:dyDescent="0.25">
      <c r="G60" s="21"/>
      <c r="H60" s="21">
        <f t="shared" si="11"/>
        <v>2.0796505671840684E-2</v>
      </c>
      <c r="I60">
        <f t="shared" si="6"/>
        <v>4.6267826586436094</v>
      </c>
      <c r="J60">
        <f t="shared" si="12"/>
        <v>0.99744915815217638</v>
      </c>
      <c r="K60">
        <f t="shared" si="0"/>
        <v>290.51390428554072</v>
      </c>
      <c r="L60">
        <f>0.5*Z60*K60/J60/$B$7</f>
        <v>145.62842722917929</v>
      </c>
      <c r="M60">
        <f t="shared" si="7"/>
        <v>2.5541007880970803E-3</v>
      </c>
      <c r="N60" s="21">
        <f t="shared" si="8"/>
        <v>4.5999956655990897E-3</v>
      </c>
      <c r="O60" s="21">
        <f t="shared" si="4"/>
        <v>1.109796911958228</v>
      </c>
      <c r="P60">
        <f t="shared" si="5"/>
        <v>3.7810710012517101E-3</v>
      </c>
      <c r="Q60">
        <f t="shared" si="1"/>
        <v>0.99744915815217638</v>
      </c>
      <c r="R60">
        <f t="shared" si="2"/>
        <v>-0.30532697729378522</v>
      </c>
      <c r="T60" s="21">
        <f>(M60-M59)/(H60-H59)</f>
        <v>2.1199508247341192E-2</v>
      </c>
      <c r="W60" s="25"/>
      <c r="X60" s="25"/>
      <c r="Y60">
        <v>1</v>
      </c>
      <c r="Z60">
        <f t="shared" si="3"/>
        <v>1</v>
      </c>
      <c r="AC60">
        <v>5.6</v>
      </c>
      <c r="AD60">
        <f t="shared" si="13"/>
        <v>-2.7779545380352024</v>
      </c>
      <c r="AE60">
        <f t="shared" si="14"/>
        <v>3.0875554695268155E-2</v>
      </c>
    </row>
    <row r="61" spans="7:31" ht="15" x14ac:dyDescent="0.25">
      <c r="G61" s="21"/>
      <c r="H61" s="21">
        <f t="shared" si="11"/>
        <v>2.2876156239024753E-2</v>
      </c>
      <c r="I61">
        <f t="shared" si="6"/>
        <v>4.518877167022886</v>
      </c>
      <c r="J61">
        <f t="shared" si="12"/>
        <v>0.99740585793859904</v>
      </c>
      <c r="K61">
        <f t="shared" si="0"/>
        <v>288.05867650174196</v>
      </c>
      <c r="L61">
        <f>0.5*Z61*K61/J61/$B$7</f>
        <v>144.40394259218149</v>
      </c>
      <c r="M61">
        <f t="shared" si="7"/>
        <v>2.5975126784198166E-3</v>
      </c>
      <c r="N61" s="21">
        <f t="shared" si="8"/>
        <v>4.6388511941598803E-3</v>
      </c>
      <c r="O61" s="21">
        <f t="shared" si="4"/>
        <v>1.1191945974216624</v>
      </c>
      <c r="P61">
        <f t="shared" si="5"/>
        <v>3.8452541971033256E-3</v>
      </c>
      <c r="Q61">
        <f t="shared" si="1"/>
        <v>0.99740585793859904</v>
      </c>
      <c r="R61">
        <f t="shared" si="2"/>
        <v>-0.30536511304202624</v>
      </c>
      <c r="T61" s="21">
        <f>(M61-M60)/(H61-H60)</f>
        <v>2.0874607978742171E-2</v>
      </c>
      <c r="W61" s="25"/>
      <c r="X61" s="25"/>
      <c r="Y61">
        <v>1</v>
      </c>
      <c r="Z61">
        <f t="shared" si="3"/>
        <v>1</v>
      </c>
      <c r="AC61">
        <v>5.7</v>
      </c>
      <c r="AD61">
        <f t="shared" si="13"/>
        <v>-2.8454180119286883</v>
      </c>
      <c r="AE61">
        <f t="shared" si="14"/>
        <v>3.0279764168109735E-2</v>
      </c>
    </row>
    <row r="62" spans="7:31" ht="15" x14ac:dyDescent="0.25">
      <c r="G62" s="21"/>
      <c r="H62" s="21">
        <f t="shared" si="11"/>
        <v>2.5163771862927231E-2</v>
      </c>
      <c r="I62">
        <f t="shared" si="6"/>
        <v>4.4066671507464044</v>
      </c>
      <c r="J62">
        <f t="shared" si="12"/>
        <v>0.99735900767518859</v>
      </c>
      <c r="K62">
        <f t="shared" si="0"/>
        <v>285.47050375834817</v>
      </c>
      <c r="L62">
        <f>0.5*Z62*K62/J62/$B$7</f>
        <v>143.1132127756938</v>
      </c>
      <c r="M62">
        <f t="shared" si="7"/>
        <v>2.6444858973958246E-3</v>
      </c>
      <c r="N62" s="21">
        <f t="shared" si="8"/>
        <v>4.680528237163405E-3</v>
      </c>
      <c r="O62" s="21">
        <f t="shared" si="4"/>
        <v>1.1292753580450476</v>
      </c>
      <c r="P62">
        <f t="shared" si="5"/>
        <v>3.9146995735516929E-3</v>
      </c>
      <c r="Q62">
        <f t="shared" si="1"/>
        <v>0.99735900767518859</v>
      </c>
      <c r="R62">
        <f t="shared" si="2"/>
        <v>-0.30540638615309179</v>
      </c>
      <c r="T62" s="21">
        <f>(M62-M61)/(H62-H61)</f>
        <v>2.0533702640077114E-2</v>
      </c>
      <c r="W62" s="25"/>
      <c r="X62" s="25"/>
      <c r="Y62">
        <v>1</v>
      </c>
      <c r="Z62">
        <f t="shared" si="3"/>
        <v>1</v>
      </c>
      <c r="AC62">
        <v>5.8</v>
      </c>
      <c r="AD62">
        <f t="shared" si="13"/>
        <v>-2.9128814858221741</v>
      </c>
      <c r="AE62">
        <f t="shared" si="14"/>
        <v>2.9706531707646148E-2</v>
      </c>
    </row>
    <row r="63" spans="7:31" ht="15" x14ac:dyDescent="0.25">
      <c r="G63" s="21"/>
      <c r="H63" s="21">
        <f t="shared" si="11"/>
        <v>2.7680149049219956E-2</v>
      </c>
      <c r="I63">
        <f t="shared" si="6"/>
        <v>4.2904057703505591</v>
      </c>
      <c r="J63">
        <f t="shared" si="12"/>
        <v>0.99730836982964688</v>
      </c>
      <c r="K63">
        <f t="shared" si="0"/>
        <v>282.74948365185526</v>
      </c>
      <c r="L63">
        <f>0.5*Z63*K63/J63/$B$7</f>
        <v>141.75629735271977</v>
      </c>
      <c r="M63">
        <f t="shared" si="7"/>
        <v>2.695259120163356E-3</v>
      </c>
      <c r="N63" s="21">
        <f t="shared" si="8"/>
        <v>4.7251603121750219E-3</v>
      </c>
      <c r="O63" s="21">
        <f t="shared" si="4"/>
        <v>1.1400716372454964</v>
      </c>
      <c r="P63">
        <f t="shared" si="5"/>
        <v>3.9897592208233352E-3</v>
      </c>
      <c r="Q63">
        <f t="shared" si="1"/>
        <v>0.99730836982964688</v>
      </c>
      <c r="R63">
        <f t="shared" si="2"/>
        <v>-0.30545100851286494</v>
      </c>
      <c r="T63" s="21">
        <f>(M63-M62)/(H63-H62)</f>
        <v>2.0177111382230252E-2</v>
      </c>
      <c r="W63" s="25"/>
      <c r="X63" s="25"/>
      <c r="Y63">
        <v>1</v>
      </c>
      <c r="Z63">
        <f t="shared" si="3"/>
        <v>1</v>
      </c>
      <c r="AC63">
        <v>5.9</v>
      </c>
      <c r="AD63">
        <f t="shared" si="13"/>
        <v>-2.9803449597156599</v>
      </c>
      <c r="AE63">
        <f t="shared" si="14"/>
        <v>2.9154599962810602E-2</v>
      </c>
    </row>
    <row r="64" spans="7:31" ht="15" x14ac:dyDescent="0.25">
      <c r="G64" s="21"/>
      <c r="H64" s="21">
        <f t="shared" si="11"/>
        <v>3.0448163954141953E-2</v>
      </c>
      <c r="I64">
        <f t="shared" si="6"/>
        <v>4.1703977936938657</v>
      </c>
      <c r="J64">
        <f t="shared" si="12"/>
        <v>0.99725369751657056</v>
      </c>
      <c r="K64">
        <f t="shared" si="0"/>
        <v>279.89663384518815</v>
      </c>
      <c r="L64">
        <f>0.5*Z64*K64/J64/$B$7</f>
        <v>140.33371575468004</v>
      </c>
      <c r="M64">
        <f t="shared" si="7"/>
        <v>2.7500804907138903E-3</v>
      </c>
      <c r="N64" s="21">
        <f t="shared" si="8"/>
        <v>4.7728787036391109E-3</v>
      </c>
      <c r="O64" s="21">
        <f t="shared" si="4"/>
        <v>1.1516153604978949</v>
      </c>
      <c r="P64">
        <f t="shared" si="5"/>
        <v>4.0707990930995063E-3</v>
      </c>
      <c r="Q64">
        <f t="shared" si="1"/>
        <v>0.99725369751657056</v>
      </c>
      <c r="R64">
        <f t="shared" si="2"/>
        <v>-0.30549920070996195</v>
      </c>
      <c r="T64" s="21">
        <f>(M64-M63)/(H64-H63)</f>
        <v>1.9805301789760112E-2</v>
      </c>
      <c r="W64" s="25"/>
      <c r="X64" s="25"/>
      <c r="Y64">
        <v>1</v>
      </c>
      <c r="Z64">
        <f t="shared" si="3"/>
        <v>1</v>
      </c>
      <c r="AC64">
        <v>6</v>
      </c>
      <c r="AD64">
        <f t="shared" si="13"/>
        <v>-3.0478084336091458</v>
      </c>
      <c r="AE64">
        <f t="shared" si="14"/>
        <v>2.8622803321757553E-2</v>
      </c>
    </row>
    <row r="65" spans="7:31" ht="15" x14ac:dyDescent="0.25">
      <c r="G65" s="21"/>
      <c r="H65" s="21">
        <f t="shared" si="11"/>
        <v>3.3492980349556153E-2</v>
      </c>
      <c r="I65">
        <f t="shared" si="6"/>
        <v>4.0469974232078645</v>
      </c>
      <c r="J65">
        <f t="shared" si="12"/>
        <v>0.99719473467982622</v>
      </c>
      <c r="K65">
        <f t="shared" si="0"/>
        <v>276.91392376610764</v>
      </c>
      <c r="L65">
        <f>0.5*Z65*K65/J65/$B$7</f>
        <v>138.84646305067869</v>
      </c>
      <c r="M65">
        <f t="shared" si="7"/>
        <v>2.8092074511403184E-3</v>
      </c>
      <c r="N65" s="21">
        <f t="shared" si="8"/>
        <v>4.8238115831090193E-3</v>
      </c>
      <c r="O65" s="21">
        <f t="shared" si="4"/>
        <v>1.1639377246042772</v>
      </c>
      <c r="P65">
        <f t="shared" si="5"/>
        <v>4.1581987381837E-3</v>
      </c>
      <c r="Q65">
        <f t="shared" si="1"/>
        <v>0.99719473467982622</v>
      </c>
      <c r="R65">
        <f t="shared" si="2"/>
        <v>-0.30555119193688968</v>
      </c>
      <c r="T65" s="21">
        <f>(M65-M64)/(H65-H64)</f>
        <v>1.9418891896233633E-2</v>
      </c>
      <c r="W65" s="25"/>
      <c r="X65" s="25"/>
      <c r="Y65">
        <v>1</v>
      </c>
      <c r="Z65">
        <f t="shared" si="3"/>
        <v>1</v>
      </c>
      <c r="AC65">
        <v>6.1</v>
      </c>
      <c r="AD65">
        <f t="shared" si="13"/>
        <v>-3.1152719075026312</v>
      </c>
      <c r="AE65">
        <f t="shared" si="14"/>
        <v>2.8110059694865103E-2</v>
      </c>
    </row>
    <row r="66" spans="7:31" ht="15" x14ac:dyDescent="0.25">
      <c r="G66" s="21"/>
      <c r="H66" s="21">
        <f t="shared" si="11"/>
        <v>3.6842278384511769E-2</v>
      </c>
      <c r="I66">
        <f t="shared" si="6"/>
        <v>3.9206047124827168</v>
      </c>
      <c r="J66">
        <f t="shared" si="12"/>
        <v>0.99713121627281576</v>
      </c>
      <c r="K66">
        <f t="shared" si="0"/>
        <v>273.80428776390374</v>
      </c>
      <c r="L66">
        <f>0.5*Z66*K66/J66/$B$7</f>
        <v>137.29601645977891</v>
      </c>
      <c r="M66">
        <f t="shared" si="7"/>
        <v>2.8729065741463665E-3</v>
      </c>
      <c r="N66" s="21">
        <f t="shared" si="8"/>
        <v>4.8780831760299268E-3</v>
      </c>
      <c r="O66" s="21">
        <f t="shared" si="4"/>
        <v>1.1770689982636333</v>
      </c>
      <c r="P66">
        <f t="shared" si="5"/>
        <v>4.2523510302976139E-3</v>
      </c>
      <c r="Q66">
        <f t="shared" si="1"/>
        <v>0.99713121627281576</v>
      </c>
      <c r="R66">
        <f t="shared" si="2"/>
        <v>-0.30560721989901607</v>
      </c>
      <c r="T66" s="21">
        <f>(M66-M65)/(H66-H65)</f>
        <v>1.9018648785876755E-2</v>
      </c>
      <c r="W66" s="25"/>
      <c r="X66" s="25"/>
      <c r="Y66">
        <v>1</v>
      </c>
      <c r="Z66">
        <f t="shared" si="3"/>
        <v>1</v>
      </c>
      <c r="AC66">
        <v>6.2</v>
      </c>
      <c r="AD66">
        <f t="shared" si="13"/>
        <v>-3.1827353813961174</v>
      </c>
      <c r="AE66">
        <f t="shared" si="14"/>
        <v>2.7615363165381334E-2</v>
      </c>
    </row>
    <row r="67" spans="7:31" ht="15" x14ac:dyDescent="0.25">
      <c r="G67" s="21"/>
      <c r="H67" s="21">
        <f t="shared" si="11"/>
        <v>4.0526506222962951E-2</v>
      </c>
      <c r="I67">
        <f t="shared" si="6"/>
        <v>3.7916606125460186</v>
      </c>
      <c r="J67">
        <f t="shared" si="12"/>
        <v>0.99706286842080571</v>
      </c>
      <c r="K67">
        <f t="shared" ref="K67:K130" si="15">IF(O67&lt;$B$8+$B$9,0.5*(($B$8+$B$9)^2+O67^2)/O67-$B$9,$B$8)</f>
        <v>270.57161836245388</v>
      </c>
      <c r="L67">
        <f>0.5*Z67*K67/J67/$B$7</f>
        <v>135.68433191730313</v>
      </c>
      <c r="M67">
        <f t="shared" si="7"/>
        <v>2.9414534147587284E-3</v>
      </c>
      <c r="N67" s="21">
        <f t="shared" si="8"/>
        <v>4.9358129995315169E-3</v>
      </c>
      <c r="O67" s="21">
        <f t="shared" si="4"/>
        <v>1.1910383398463342</v>
      </c>
      <c r="P67">
        <f t="shared" si="5"/>
        <v>4.3536619294635035E-3</v>
      </c>
      <c r="Q67">
        <f t="shared" ref="Q67:Q130" si="16">1-B$15*P67</f>
        <v>0.99706286842080571</v>
      </c>
      <c r="R67">
        <f t="shared" ref="R67:R130" si="17">$E$15/(P67+$E$16)</f>
        <v>-0.30566753074570013</v>
      </c>
      <c r="T67" s="21">
        <f>(M67-M66)/(H67-H66)</f>
        <v>1.86054835960358E-2</v>
      </c>
      <c r="W67" s="25"/>
      <c r="X67" s="25"/>
      <c r="Y67">
        <v>1</v>
      </c>
      <c r="Z67">
        <f t="shared" ref="Z67:Z124" si="18">Y67</f>
        <v>1</v>
      </c>
      <c r="AC67">
        <v>6.3</v>
      </c>
      <c r="AD67">
        <f t="shared" si="13"/>
        <v>-3.2501988552896028</v>
      </c>
      <c r="AE67">
        <f t="shared" si="14"/>
        <v>2.7137777402678025E-2</v>
      </c>
    </row>
    <row r="68" spans="7:31" ht="15" x14ac:dyDescent="0.25">
      <c r="G68" s="21"/>
      <c r="H68" s="21">
        <f t="shared" si="11"/>
        <v>4.4579156845259246E-2</v>
      </c>
      <c r="I68">
        <f t="shared" si="6"/>
        <v>3.6606407588909113</v>
      </c>
      <c r="J68">
        <f t="shared" si="12"/>
        <v>0.99698940854874829</v>
      </c>
      <c r="K68">
        <f t="shared" si="15"/>
        <v>267.22073903520214</v>
      </c>
      <c r="L68">
        <f>0.5*Z68*K68/J68/$B$7</f>
        <v>134.01383040978226</v>
      </c>
      <c r="M68">
        <f t="shared" ref="M68:M131" si="19">-LN(J68)</f>
        <v>3.0151323979419539E-3</v>
      </c>
      <c r="N68" s="21">
        <f t="shared" si="8"/>
        <v>4.9971151940986199E-3</v>
      </c>
      <c r="O68" s="21">
        <f t="shared" si="4"/>
        <v>1.2058736378958566</v>
      </c>
      <c r="P68">
        <f t="shared" ref="P68:P131" si="20">MIN(O68/(K68+$B$9),1)</f>
        <v>4.4625502920364862E-3</v>
      </c>
      <c r="Q68">
        <f t="shared" si="16"/>
        <v>0.99698940854874829</v>
      </c>
      <c r="R68">
        <f t="shared" si="17"/>
        <v>-0.30573237903864342</v>
      </c>
      <c r="T68" s="21">
        <f>(M68-M67)/(H68-H67)</f>
        <v>1.8180442887888986E-2</v>
      </c>
      <c r="W68" s="25"/>
      <c r="X68" s="25"/>
      <c r="Y68">
        <v>1</v>
      </c>
      <c r="Z68">
        <f t="shared" si="18"/>
        <v>1</v>
      </c>
      <c r="AC68">
        <v>6.4</v>
      </c>
      <c r="AD68">
        <f t="shared" si="13"/>
        <v>-3.3176623291830891</v>
      </c>
      <c r="AE68">
        <f t="shared" si="14"/>
        <v>2.6676429747360359E-2</v>
      </c>
    </row>
    <row r="69" spans="7:31" ht="15" x14ac:dyDescent="0.25">
      <c r="G69" s="21"/>
      <c r="H69" s="21">
        <f t="shared" si="11"/>
        <v>4.9037072529785175E-2</v>
      </c>
      <c r="I69">
        <f t="shared" ref="I69:I132" si="21">IF(P68&lt;0.999,MAX(0,MIN(10000000,(L68/$E$8/M68^$E$10)^(1/$E$9)/N68)),0.1)</f>
        <v>3.52804817858522</v>
      </c>
      <c r="J69">
        <f t="shared" ref="J69:J132" si="22">Q69</f>
        <v>0.99691054545797897</v>
      </c>
      <c r="K69">
        <f t="shared" si="15"/>
        <v>263.75735678720019</v>
      </c>
      <c r="L69">
        <f>0.5*Z69*K69/J69/$B$7</f>
        <v>132.2873742227446</v>
      </c>
      <c r="M69">
        <f t="shared" si="19"/>
        <v>3.094236758872371E-3</v>
      </c>
      <c r="N69" s="21">
        <f t="shared" ref="N69:N132" si="23">-$B$15*(O69-2*(K69+$B$9))/(K69+$B$9)^2/J69</f>
        <v>5.0620979691875703E-3</v>
      </c>
      <c r="O69" s="21">
        <f t="shared" ref="O69:O132" si="24">O68+I69*(H69-H68)</f>
        <v>1.2216013792069347</v>
      </c>
      <c r="P69">
        <f t="shared" si="20"/>
        <v>4.5794477570170267E-3</v>
      </c>
      <c r="Q69">
        <f t="shared" si="16"/>
        <v>0.99691054545797897</v>
      </c>
      <c r="R69">
        <f t="shared" si="17"/>
        <v>-0.30580202777263876</v>
      </c>
      <c r="T69" s="21">
        <f>(M69-M68)/(H69-H68)</f>
        <v>1.774469651927239E-2</v>
      </c>
      <c r="W69" s="25"/>
      <c r="X69" s="25"/>
      <c r="Y69">
        <v>1</v>
      </c>
      <c r="Z69">
        <f t="shared" si="18"/>
        <v>1</v>
      </c>
      <c r="AC69">
        <v>6.5</v>
      </c>
      <c r="AD69">
        <f t="shared" ref="AD69:AD95" si="25">1-AC69*$B$15</f>
        <v>-3.3851258030765745</v>
      </c>
      <c r="AE69">
        <f t="shared" ref="AE69:AE95" si="26">$E$15/(AC69+$E$16)</f>
        <v>2.623050588961743E-2</v>
      </c>
    </row>
    <row r="70" spans="7:31" ht="15" x14ac:dyDescent="0.25">
      <c r="G70" s="21"/>
      <c r="H70" s="21">
        <f t="shared" ref="H70:H124" si="27">H69*1.1</f>
        <v>5.3940779782763695E-2</v>
      </c>
      <c r="I70">
        <f t="shared" si="21"/>
        <v>3.3944051569752407</v>
      </c>
      <c r="J70">
        <f t="shared" si="22"/>
        <v>0.99682597933585781</v>
      </c>
      <c r="K70">
        <f t="shared" si="15"/>
        <v>260.18799570230215</v>
      </c>
      <c r="L70">
        <f>0.5*Z70*K70/J70/$B$7</f>
        <v>130.50823368169748</v>
      </c>
      <c r="M70">
        <f t="shared" si="19"/>
        <v>3.1790685519605911E-3</v>
      </c>
      <c r="N70" s="21">
        <f t="shared" si="23"/>
        <v>5.1308631789731898E-3</v>
      </c>
      <c r="O70" s="21">
        <f t="shared" si="24"/>
        <v>1.2382465483947418</v>
      </c>
      <c r="P70">
        <f t="shared" si="20"/>
        <v>4.7047987317603585E-3</v>
      </c>
      <c r="Q70">
        <f t="shared" si="16"/>
        <v>0.99682597933585781</v>
      </c>
      <c r="R70">
        <f t="shared" si="17"/>
        <v>-0.30587674846338209</v>
      </c>
      <c r="T70" s="21">
        <f>(M70-M69)/(H70-H69)</f>
        <v>1.7299522322971703E-2</v>
      </c>
      <c r="W70" s="25"/>
      <c r="X70" s="25"/>
      <c r="Y70">
        <v>1</v>
      </c>
      <c r="Z70">
        <f t="shared" si="18"/>
        <v>1</v>
      </c>
      <c r="AC70">
        <v>6.6</v>
      </c>
      <c r="AD70">
        <f t="shared" si="25"/>
        <v>-3.4525892769700599</v>
      </c>
      <c r="AE70">
        <f t="shared" si="26"/>
        <v>2.5799245072538265E-2</v>
      </c>
    </row>
    <row r="71" spans="7:31" ht="15" x14ac:dyDescent="0.25">
      <c r="G71" s="21"/>
      <c r="H71" s="21">
        <f t="shared" si="27"/>
        <v>5.9334857761040069E-2</v>
      </c>
      <c r="I71">
        <f t="shared" si="21"/>
        <v>3.2602445503657007</v>
      </c>
      <c r="J71">
        <f t="shared" si="22"/>
        <v>0.99673540168380526</v>
      </c>
      <c r="K71">
        <f t="shared" si="15"/>
        <v>256.51991343749228</v>
      </c>
      <c r="L71">
        <f>0.5*Z71*K71/J71/$B$7</f>
        <v>128.68004537821574</v>
      </c>
      <c r="M71">
        <f t="shared" si="19"/>
        <v>3.2699387433449754E-3</v>
      </c>
      <c r="N71" s="21">
        <f t="shared" si="23"/>
        <v>5.2035060396678628E-3</v>
      </c>
      <c r="O71" s="21">
        <f t="shared" si="24"/>
        <v>1.2558325617276649</v>
      </c>
      <c r="P71">
        <f t="shared" si="20"/>
        <v>4.8390604986470282E-3</v>
      </c>
      <c r="Q71">
        <f t="shared" si="16"/>
        <v>0.99673540168380526</v>
      </c>
      <c r="R71">
        <f t="shared" si="17"/>
        <v>-0.30595682131590668</v>
      </c>
      <c r="T71" s="21">
        <f>(M71-M70)/(H71-H70)</f>
        <v>1.6846288049662383E-2</v>
      </c>
      <c r="W71" s="25"/>
      <c r="X71" s="25"/>
      <c r="Y71">
        <v>1</v>
      </c>
      <c r="Z71">
        <f t="shared" si="18"/>
        <v>1</v>
      </c>
      <c r="AC71">
        <v>6.7</v>
      </c>
      <c r="AD71">
        <f t="shared" si="25"/>
        <v>-3.5200527508635462</v>
      </c>
      <c r="AE71">
        <f t="shared" si="26"/>
        <v>2.5381935760953375E-2</v>
      </c>
    </row>
    <row r="72" spans="7:31" ht="15" x14ac:dyDescent="0.25">
      <c r="G72" s="21"/>
      <c r="H72" s="21">
        <f t="shared" si="27"/>
        <v>6.5268343537144086E-2</v>
      </c>
      <c r="I72">
        <f t="shared" si="21"/>
        <v>3.1261008604857197</v>
      </c>
      <c r="J72">
        <f t="shared" si="22"/>
        <v>0.99663849515118963</v>
      </c>
      <c r="K72">
        <f t="shared" si="15"/>
        <v>252.76100336164015</v>
      </c>
      <c r="L72">
        <f>0.5*Z72*K72/J72/$B$7</f>
        <v>126.80676323028061</v>
      </c>
      <c r="M72">
        <f t="shared" si="19"/>
        <v>3.3671673995903815E-3</v>
      </c>
      <c r="N72" s="21">
        <f t="shared" si="23"/>
        <v>5.2801149945464277E-3</v>
      </c>
      <c r="O72" s="21">
        <f t="shared" si="24"/>
        <v>1.2743812367180234</v>
      </c>
      <c r="P72">
        <f t="shared" si="20"/>
        <v>4.9827034613094548E-3</v>
      </c>
      <c r="Q72">
        <f t="shared" si="16"/>
        <v>0.99663849515118963</v>
      </c>
      <c r="R72">
        <f t="shared" si="17"/>
        <v>-0.3060425354855596</v>
      </c>
      <c r="T72" s="21">
        <f>(M72-M71)/(H72-H71)</f>
        <v>1.6386431166141153E-2</v>
      </c>
      <c r="W72" s="25"/>
      <c r="X72" s="25"/>
      <c r="Y72">
        <v>1</v>
      </c>
      <c r="Z72">
        <f t="shared" si="18"/>
        <v>1</v>
      </c>
      <c r="AC72">
        <v>6.8</v>
      </c>
      <c r="AD72">
        <f t="shared" si="25"/>
        <v>-3.5875162247570316</v>
      </c>
      <c r="AE72">
        <f t="shared" si="26"/>
        <v>2.4977911723930799E-2</v>
      </c>
    </row>
    <row r="73" spans="7:31" ht="15" x14ac:dyDescent="0.25">
      <c r="G73" s="21"/>
      <c r="H73" s="21">
        <f t="shared" si="27"/>
        <v>7.17951778908585E-2</v>
      </c>
      <c r="I73">
        <f t="shared" si="21"/>
        <v>2.9925013960330458</v>
      </c>
      <c r="J73">
        <f t="shared" si="22"/>
        <v>0.99653493326501064</v>
      </c>
      <c r="K73">
        <f t="shared" si="15"/>
        <v>248.91968559255733</v>
      </c>
      <c r="L73">
        <f>0.5*Z73*K73/J73/$B$7</f>
        <v>124.89260400385864</v>
      </c>
      <c r="M73">
        <f t="shared" si="19"/>
        <v>3.4710839828597851E-3</v>
      </c>
      <c r="N73" s="21">
        <f t="shared" si="23"/>
        <v>5.3607717272806795E-3</v>
      </c>
      <c r="O73" s="21">
        <f t="shared" si="24"/>
        <v>1.2939127976331901</v>
      </c>
      <c r="P73">
        <f t="shared" si="20"/>
        <v>5.1362115453172721E-3</v>
      </c>
      <c r="Q73">
        <f t="shared" si="16"/>
        <v>0.99653493326501064</v>
      </c>
      <c r="R73">
        <f t="shared" si="17"/>
        <v>-0.3061341894413952</v>
      </c>
      <c r="T73" s="21">
        <f>(M73-M72)/(H73-H72)</f>
        <v>1.5921437198764633E-2</v>
      </c>
      <c r="W73" s="25"/>
      <c r="X73" s="25"/>
      <c r="Y73">
        <v>1</v>
      </c>
      <c r="Z73">
        <f t="shared" si="18"/>
        <v>1</v>
      </c>
      <c r="AC73">
        <v>6.9</v>
      </c>
      <c r="AD73">
        <f t="shared" si="25"/>
        <v>-3.6549796986505179</v>
      </c>
      <c r="AE73">
        <f t="shared" si="26"/>
        <v>2.4586548485557636E-2</v>
      </c>
    </row>
    <row r="74" spans="7:31" ht="15" x14ac:dyDescent="0.25">
      <c r="G74" s="21"/>
      <c r="H74" s="21">
        <f t="shared" si="27"/>
        <v>7.8974695679944362E-2</v>
      </c>
      <c r="I74">
        <f t="shared" si="21"/>
        <v>2.8599578355490785</v>
      </c>
      <c r="J74">
        <f t="shared" si="22"/>
        <v>0.99642438004813816</v>
      </c>
      <c r="K74">
        <f t="shared" si="15"/>
        <v>245.00479054853747</v>
      </c>
      <c r="L74">
        <f>0.5*Z74*K74/J74/$B$7</f>
        <v>122.94198910342854</v>
      </c>
      <c r="M74">
        <f t="shared" si="19"/>
        <v>3.5820277600331248E-3</v>
      </c>
      <c r="N74" s="21">
        <f t="shared" si="23"/>
        <v>5.4455513187902449E-3</v>
      </c>
      <c r="O74" s="21">
        <f t="shared" si="24"/>
        <v>1.3144459157895503</v>
      </c>
      <c r="P74">
        <f t="shared" si="20"/>
        <v>5.3000827640557113E-3</v>
      </c>
      <c r="Q74">
        <f t="shared" si="16"/>
        <v>0.99642438004813816</v>
      </c>
      <c r="R74">
        <f t="shared" si="17"/>
        <v>-0.3062320914395425</v>
      </c>
      <c r="T74" s="21">
        <f>(M74-M73)/(H74-H73)</f>
        <v>1.5452817366368785E-2</v>
      </c>
      <c r="W74" s="25"/>
      <c r="X74" s="25"/>
      <c r="Y74">
        <v>1</v>
      </c>
      <c r="Z74">
        <f t="shared" si="18"/>
        <v>1</v>
      </c>
      <c r="AC74">
        <v>7</v>
      </c>
      <c r="AD74">
        <f t="shared" si="25"/>
        <v>-3.7224431725440033</v>
      </c>
      <c r="AE74">
        <f t="shared" si="26"/>
        <v>2.4207260104237151E-2</v>
      </c>
    </row>
    <row r="75" spans="7:31" ht="15" x14ac:dyDescent="0.25">
      <c r="G75" s="21"/>
      <c r="H75" s="21">
        <f t="shared" si="27"/>
        <v>8.687216524793881E-2</v>
      </c>
      <c r="I75">
        <f t="shared" si="21"/>
        <v>2.7289584757174836</v>
      </c>
      <c r="J75">
        <f t="shared" si="22"/>
        <v>0.996306489521812</v>
      </c>
      <c r="K75">
        <f t="shared" si="15"/>
        <v>241.02543878101542</v>
      </c>
      <c r="L75">
        <f>0.5*Z75*K75/J75/$B$7</f>
        <v>120.95948451399637</v>
      </c>
      <c r="M75">
        <f t="shared" si="19"/>
        <v>3.7003483303258279E-3</v>
      </c>
      <c r="N75" s="21">
        <f t="shared" si="23"/>
        <v>5.5345225378853101E-3</v>
      </c>
      <c r="O75" s="21">
        <f t="shared" si="24"/>
        <v>1.3359977823038496</v>
      </c>
      <c r="P75">
        <f t="shared" si="20"/>
        <v>5.4748299561618776E-3</v>
      </c>
      <c r="Q75">
        <f t="shared" si="16"/>
        <v>0.996306489521812</v>
      </c>
      <c r="R75">
        <f t="shared" si="17"/>
        <v>-0.30633656011168503</v>
      </c>
      <c r="T75" s="21">
        <f>(M75-M74)/(H75-H74)</f>
        <v>1.4982086258643286E-2</v>
      </c>
      <c r="W75" s="25"/>
      <c r="X75" s="25"/>
      <c r="Y75">
        <v>1</v>
      </c>
      <c r="Z75">
        <f t="shared" si="18"/>
        <v>1</v>
      </c>
      <c r="AC75">
        <v>7.1</v>
      </c>
      <c r="AD75">
        <f t="shared" si="25"/>
        <v>-3.7899066464374886</v>
      </c>
      <c r="AE75">
        <f t="shared" si="26"/>
        <v>2.3839496245565101E-2</v>
      </c>
    </row>
    <row r="76" spans="7:31" ht="15" x14ac:dyDescent="0.25">
      <c r="G76" s="21"/>
      <c r="H76" s="21">
        <f t="shared" si="27"/>
        <v>9.5559381772732696E-2</v>
      </c>
      <c r="I76">
        <f t="shared" si="21"/>
        <v>2.5999614030586677</v>
      </c>
      <c r="J76">
        <f t="shared" si="22"/>
        <v>0.99618090509100521</v>
      </c>
      <c r="K76">
        <f t="shared" si="15"/>
        <v>236.99092079495671</v>
      </c>
      <c r="L76">
        <f>0.5*Z76*K76/J76/$B$7</f>
        <v>118.94974074679067</v>
      </c>
      <c r="M76">
        <f t="shared" si="19"/>
        <v>3.8264062730888693E-3</v>
      </c>
      <c r="N76" s="21">
        <f t="shared" si="23"/>
        <v>5.6277482517914455E-3</v>
      </c>
      <c r="O76" s="21">
        <f t="shared" si="24"/>
        <v>1.3585842099683272</v>
      </c>
      <c r="P76">
        <f t="shared" si="20"/>
        <v>5.6609816965912368E-3</v>
      </c>
      <c r="Q76">
        <f t="shared" si="16"/>
        <v>0.99618090509100521</v>
      </c>
      <c r="R76">
        <f t="shared" si="17"/>
        <v>-0.30644792517142883</v>
      </c>
      <c r="T76" s="21">
        <f>(M76-M75)/(H76-H75)</f>
        <v>1.4510740281799557E-2</v>
      </c>
      <c r="W76" s="25"/>
      <c r="X76" s="25"/>
      <c r="Y76">
        <v>1</v>
      </c>
      <c r="Z76">
        <f t="shared" si="18"/>
        <v>1</v>
      </c>
      <c r="AC76">
        <v>7.2</v>
      </c>
      <c r="AD76">
        <f t="shared" si="25"/>
        <v>-3.8573701203309749</v>
      </c>
      <c r="AE76">
        <f t="shared" si="26"/>
        <v>2.3482739518031513E-2</v>
      </c>
    </row>
    <row r="77" spans="7:31" ht="15" x14ac:dyDescent="0.25">
      <c r="G77" s="21"/>
      <c r="H77" s="21">
        <f t="shared" si="27"/>
        <v>0.10511531995000598</v>
      </c>
      <c r="I77">
        <f t="shared" si="21"/>
        <v>2.4733887693803824</v>
      </c>
      <c r="J77">
        <f t="shared" si="22"/>
        <v>0.99604725881392364</v>
      </c>
      <c r="K77">
        <f t="shared" si="15"/>
        <v>232.91058031203593</v>
      </c>
      <c r="L77">
        <f>0.5*Z77*K77/J77/$B$7</f>
        <v>116.91743451479498</v>
      </c>
      <c r="M77">
        <f t="shared" si="19"/>
        <v>3.9605739148313593E-3</v>
      </c>
      <c r="N77" s="21">
        <f t="shared" si="23"/>
        <v>5.725285939411991E-3</v>
      </c>
      <c r="O77" s="21">
        <f t="shared" si="24"/>
        <v>1.3822197601368882</v>
      </c>
      <c r="P77">
        <f t="shared" si="20"/>
        <v>5.8590833794255589E-3</v>
      </c>
      <c r="Q77">
        <f t="shared" si="16"/>
        <v>0.99604725881392364</v>
      </c>
      <c r="R77">
        <f t="shared" si="17"/>
        <v>-0.30656652823918579</v>
      </c>
      <c r="T77" s="21">
        <f>(M77-M76)/(H77-H76)</f>
        <v>1.4040237520746898E-2</v>
      </c>
      <c r="W77" s="25"/>
      <c r="X77" s="25"/>
      <c r="Y77">
        <v>1</v>
      </c>
      <c r="Z77">
        <f t="shared" si="18"/>
        <v>1</v>
      </c>
      <c r="AC77">
        <v>7.3</v>
      </c>
      <c r="AD77">
        <f t="shared" si="25"/>
        <v>-3.9248335942244603</v>
      </c>
      <c r="AE77">
        <f t="shared" si="26"/>
        <v>2.3136503044421705E-2</v>
      </c>
    </row>
    <row r="78" spans="7:31" ht="15" x14ac:dyDescent="0.25">
      <c r="G78" s="21"/>
      <c r="H78" s="21">
        <f t="shared" si="27"/>
        <v>0.11562685194500658</v>
      </c>
      <c r="I78">
        <f t="shared" si="21"/>
        <v>2.3496222874331143</v>
      </c>
      <c r="J78">
        <f t="shared" si="22"/>
        <v>0.99590517055922467</v>
      </c>
      <c r="K78">
        <f t="shared" si="15"/>
        <v>228.79370402170525</v>
      </c>
      <c r="L78">
        <f>0.5*Z78*K78/J78/$B$7</f>
        <v>114.86721365912383</v>
      </c>
      <c r="M78">
        <f t="shared" si="19"/>
        <v>4.1032362122283613E-3</v>
      </c>
      <c r="N78" s="21">
        <f t="shared" si="23"/>
        <v>5.8271882880147358E-3</v>
      </c>
      <c r="O78" s="21">
        <f t="shared" si="24"/>
        <v>1.406917889987408</v>
      </c>
      <c r="P78">
        <f t="shared" si="20"/>
        <v>6.0696984671148087E-3</v>
      </c>
      <c r="Q78">
        <f t="shared" si="16"/>
        <v>0.99590517055922467</v>
      </c>
      <c r="R78">
        <f t="shared" si="17"/>
        <v>-0.30669272378438273</v>
      </c>
      <c r="T78" s="21">
        <f>(M78-M77)/(H78-H77)</f>
        <v>1.3571979561576157E-2</v>
      </c>
      <c r="W78" s="25"/>
      <c r="X78" s="25"/>
      <c r="Y78">
        <v>1</v>
      </c>
      <c r="Z78">
        <f t="shared" si="18"/>
        <v>1</v>
      </c>
      <c r="AC78">
        <v>7.4</v>
      </c>
      <c r="AD78">
        <f t="shared" si="25"/>
        <v>-3.9922970681179466</v>
      </c>
      <c r="AE78">
        <f t="shared" si="26"/>
        <v>2.2800328244943407E-2</v>
      </c>
    </row>
    <row r="79" spans="7:31" ht="15" x14ac:dyDescent="0.25">
      <c r="G79" s="21"/>
      <c r="H79" s="21">
        <f t="shared" si="27"/>
        <v>0.12718953713950723</v>
      </c>
      <c r="I79">
        <f t="shared" si="21"/>
        <v>2.2289999982878479</v>
      </c>
      <c r="J79">
        <f t="shared" si="22"/>
        <v>0.99575424705637083</v>
      </c>
      <c r="K79">
        <f t="shared" si="15"/>
        <v>224.64942033949291</v>
      </c>
      <c r="L79">
        <f>0.5*Z79*K79/J79/$B$7</f>
        <v>112.80364658428378</v>
      </c>
      <c r="M79">
        <f t="shared" si="19"/>
        <v>4.2547917460790284E-3</v>
      </c>
      <c r="N79" s="21">
        <f t="shared" si="23"/>
        <v>5.9335038529521001E-3</v>
      </c>
      <c r="O79" s="21">
        <f t="shared" si="24"/>
        <v>1.4326911152661528</v>
      </c>
      <c r="P79">
        <f t="shared" si="20"/>
        <v>6.2934098981213514E-3</v>
      </c>
      <c r="Q79">
        <f t="shared" si="16"/>
        <v>0.99575424705637083</v>
      </c>
      <c r="R79">
        <f t="shared" si="17"/>
        <v>-0.30682688018241949</v>
      </c>
      <c r="T79" s="21">
        <f>(M79-M78)/(H79-H78)</f>
        <v>1.3107295693110161E-2</v>
      </c>
      <c r="W79" s="25"/>
      <c r="X79" s="25"/>
      <c r="Y79">
        <v>1</v>
      </c>
      <c r="Z79">
        <f t="shared" si="18"/>
        <v>1</v>
      </c>
      <c r="AC79">
        <v>7.5</v>
      </c>
      <c r="AD79">
        <f t="shared" si="25"/>
        <v>-4.059760542011432</v>
      </c>
      <c r="AE79">
        <f t="shared" si="26"/>
        <v>2.2473782810853743E-2</v>
      </c>
    </row>
    <row r="80" spans="7:31" ht="15" x14ac:dyDescent="0.25">
      <c r="G80" s="21"/>
      <c r="H80" s="21">
        <f t="shared" si="27"/>
        <v>0.13990849085345797</v>
      </c>
      <c r="I80">
        <f t="shared" si="21"/>
        <v>2.1118143008000043</v>
      </c>
      <c r="J80">
        <f t="shared" si="22"/>
        <v>0.99559408084584955</v>
      </c>
      <c r="K80">
        <f t="shared" si="15"/>
        <v>220.48660909711563</v>
      </c>
      <c r="L80">
        <f>0.5*Z80*K80/J80/$B$7</f>
        <v>110.73117716298182</v>
      </c>
      <c r="M80">
        <f t="shared" si="19"/>
        <v>4.415653819903542E-3</v>
      </c>
      <c r="N80" s="21">
        <f t="shared" si="23"/>
        <v>6.0442777599802556E-3</v>
      </c>
      <c r="O80" s="21">
        <f t="shared" si="24"/>
        <v>1.4595511836104873</v>
      </c>
      <c r="P80">
        <f t="shared" si="20"/>
        <v>6.5308216429926791E-3</v>
      </c>
      <c r="Q80">
        <f t="shared" si="16"/>
        <v>0.99559408084584955</v>
      </c>
      <c r="R80">
        <f t="shared" si="17"/>
        <v>-0.30696938088289344</v>
      </c>
      <c r="T80" s="21">
        <f>(M80-M79)/(H80-H79)</f>
        <v>1.2647429768383598E-2</v>
      </c>
      <c r="W80" s="25"/>
      <c r="X80" s="25"/>
      <c r="Y80">
        <v>1</v>
      </c>
      <c r="Z80">
        <f t="shared" si="18"/>
        <v>1</v>
      </c>
      <c r="AC80">
        <v>7.6</v>
      </c>
      <c r="AD80">
        <f t="shared" si="25"/>
        <v>-4.1272240159049174</v>
      </c>
      <c r="AE80">
        <f t="shared" si="26"/>
        <v>2.2156458849757334E-2</v>
      </c>
    </row>
    <row r="81" spans="7:31" ht="15" x14ac:dyDescent="0.25">
      <c r="G81" s="21"/>
      <c r="H81" s="21">
        <f t="shared" si="27"/>
        <v>0.15389933993880378</v>
      </c>
      <c r="I81">
        <f t="shared" si="21"/>
        <v>1.9983111800142717</v>
      </c>
      <c r="J81">
        <f t="shared" si="22"/>
        <v>0.99542424913675276</v>
      </c>
      <c r="K81">
        <f t="shared" si="15"/>
        <v>216.31382347124469</v>
      </c>
      <c r="L81">
        <f>0.5*Z81*K81/J81/$B$7</f>
        <v>108.65408576234474</v>
      </c>
      <c r="M81">
        <f t="shared" si="19"/>
        <v>4.5862516561476392E-3</v>
      </c>
      <c r="N81" s="21">
        <f t="shared" si="23"/>
        <v>6.159552430608564E-3</v>
      </c>
      <c r="O81" s="21">
        <f t="shared" si="24"/>
        <v>1.4875092537556263</v>
      </c>
      <c r="P81">
        <f t="shared" si="20"/>
        <v>6.7825603977519494E-3</v>
      </c>
      <c r="Q81">
        <f t="shared" si="16"/>
        <v>0.99542424913675276</v>
      </c>
      <c r="R81">
        <f t="shared" si="17"/>
        <v>-0.30712062568519516</v>
      </c>
      <c r="T81" s="21">
        <f>(M81-M80)/(H81-H80)</f>
        <v>1.2193529871091485E-2</v>
      </c>
      <c r="W81" s="25"/>
      <c r="X81" s="25"/>
      <c r="Y81">
        <v>1</v>
      </c>
      <c r="Z81">
        <f t="shared" si="18"/>
        <v>1</v>
      </c>
      <c r="AC81">
        <v>7.7</v>
      </c>
      <c r="AD81">
        <f t="shared" si="25"/>
        <v>-4.1946874897984037</v>
      </c>
      <c r="AE81">
        <f t="shared" si="26"/>
        <v>2.184797118584416E-2</v>
      </c>
    </row>
    <row r="82" spans="7:31" ht="15" x14ac:dyDescent="0.25">
      <c r="G82" s="21"/>
      <c r="H82" s="21">
        <f t="shared" si="27"/>
        <v>0.16928927393268417</v>
      </c>
      <c r="I82">
        <f t="shared" si="21"/>
        <v>1.888690528177164</v>
      </c>
      <c r="J82">
        <f t="shared" si="22"/>
        <v>0.99524431257945978</v>
      </c>
      <c r="K82">
        <f t="shared" si="15"/>
        <v>212.13922485809559</v>
      </c>
      <c r="L82">
        <f>0.5*Z82*K82/J82/$B$7</f>
        <v>106.5764567437096</v>
      </c>
      <c r="M82">
        <f t="shared" si="19"/>
        <v>4.7670316827613125E-3</v>
      </c>
      <c r="N82" s="21">
        <f t="shared" si="23"/>
        <v>6.2793683125155599E-3</v>
      </c>
      <c r="O82" s="21">
        <f t="shared" si="24"/>
        <v>1.5165760763191398</v>
      </c>
      <c r="P82">
        <f t="shared" si="20"/>
        <v>7.0492774031302909E-3</v>
      </c>
      <c r="Q82">
        <f t="shared" si="16"/>
        <v>0.99524431257945978</v>
      </c>
      <c r="R82">
        <f t="shared" si="17"/>
        <v>-0.30728103211765578</v>
      </c>
      <c r="T82" s="21">
        <f>(M82-M81)/(H82-H81)</f>
        <v>1.1746640803369145E-2</v>
      </c>
      <c r="W82" s="25"/>
      <c r="X82" s="25"/>
      <c r="Y82">
        <v>1</v>
      </c>
      <c r="Z82">
        <f t="shared" si="18"/>
        <v>1</v>
      </c>
      <c r="AC82">
        <v>7.8</v>
      </c>
      <c r="AD82">
        <f t="shared" si="25"/>
        <v>-4.2621509636918891</v>
      </c>
      <c r="AE82">
        <f t="shared" si="26"/>
        <v>2.1547955800173779E-2</v>
      </c>
    </row>
    <row r="83" spans="7:31" ht="15" x14ac:dyDescent="0.25">
      <c r="G83" s="21"/>
      <c r="H83" s="21">
        <f t="shared" si="27"/>
        <v>0.1862182013259526</v>
      </c>
      <c r="I83">
        <f t="shared" si="21"/>
        <v>1.7831074205608337</v>
      </c>
      <c r="J83">
        <f t="shared" si="22"/>
        <v>0.99505381396094439</v>
      </c>
      <c r="K83">
        <f t="shared" si="15"/>
        <v>207.97053085261078</v>
      </c>
      <c r="L83">
        <f>0.5*Z83*K83/J83/$B$7</f>
        <v>104.502152514122</v>
      </c>
      <c r="M83">
        <f t="shared" si="19"/>
        <v>4.9584589031931017E-3</v>
      </c>
      <c r="N83" s="21">
        <f t="shared" si="23"/>
        <v>6.4037645992167441E-3</v>
      </c>
      <c r="O83" s="21">
        <f t="shared" si="24"/>
        <v>1.5467621723762124</v>
      </c>
      <c r="P83">
        <f t="shared" si="20"/>
        <v>7.3316503784920497E-3</v>
      </c>
      <c r="Q83">
        <f t="shared" si="16"/>
        <v>0.99505381396094439</v>
      </c>
      <c r="R83">
        <f t="shared" si="17"/>
        <v>-0.30745103691693376</v>
      </c>
      <c r="T83" s="21">
        <f>(M83-M82)/(H83-H82)</f>
        <v>1.1307699299833244E-2</v>
      </c>
      <c r="W83" s="25"/>
      <c r="X83" s="25"/>
      <c r="Y83">
        <v>1</v>
      </c>
      <c r="Z83">
        <f t="shared" si="18"/>
        <v>1</v>
      </c>
      <c r="AC83">
        <v>7.9</v>
      </c>
      <c r="AD83">
        <f t="shared" si="25"/>
        <v>-4.3296144375853753</v>
      </c>
      <c r="AE83">
        <f t="shared" si="26"/>
        <v>2.1256068397726455E-2</v>
      </c>
    </row>
    <row r="84" spans="7:31" ht="15" x14ac:dyDescent="0.25">
      <c r="G84" s="21"/>
      <c r="H84" s="21">
        <f t="shared" si="27"/>
        <v>0.20484002145854788</v>
      </c>
      <c r="I84">
        <f t="shared" si="21"/>
        <v>1.6816741887772593</v>
      </c>
      <c r="J84">
        <f t="shared" si="22"/>
        <v>0.99485227682961264</v>
      </c>
      <c r="K84">
        <f t="shared" si="15"/>
        <v>203.81497601766984</v>
      </c>
      <c r="L84">
        <f>0.5*Z84*K84/J84/$B$7</f>
        <v>102.43479397121439</v>
      </c>
      <c r="M84">
        <f t="shared" si="19"/>
        <v>5.161018343514007E-3</v>
      </c>
      <c r="N84" s="21">
        <f t="shared" si="23"/>
        <v>6.5327799256627468E-3</v>
      </c>
      <c r="O84" s="21">
        <f t="shared" si="24"/>
        <v>1.5780780066412505</v>
      </c>
      <c r="P84">
        <f t="shared" si="20"/>
        <v>7.6303855602140869E-3</v>
      </c>
      <c r="Q84">
        <f t="shared" si="16"/>
        <v>0.99485227682961264</v>
      </c>
      <c r="R84">
        <f t="shared" si="17"/>
        <v>-0.30763109760521934</v>
      </c>
      <c r="T84" s="21">
        <f>(M84-M83)/(H84-H83)</f>
        <v>1.0877531781458309E-2</v>
      </c>
      <c r="W84" s="25"/>
      <c r="X84" s="25"/>
      <c r="Y84">
        <v>1</v>
      </c>
      <c r="Z84">
        <f t="shared" si="18"/>
        <v>1</v>
      </c>
      <c r="AC84">
        <v>8</v>
      </c>
      <c r="AD84">
        <f t="shared" si="25"/>
        <v>-4.3970779114788607</v>
      </c>
      <c r="AE84">
        <f t="shared" si="26"/>
        <v>2.0971983089361681E-2</v>
      </c>
    </row>
    <row r="85" spans="7:31" ht="15" x14ac:dyDescent="0.25">
      <c r="G85" s="21"/>
      <c r="H85" s="21">
        <f t="shared" si="27"/>
        <v>0.22532402360440268</v>
      </c>
      <c r="I85">
        <f t="shared" si="21"/>
        <v>1.5844631259036912</v>
      </c>
      <c r="J85">
        <f t="shared" si="22"/>
        <v>0.99463920405566009</v>
      </c>
      <c r="K85">
        <f t="shared" si="15"/>
        <v>199.67928474463048</v>
      </c>
      <c r="L85">
        <f>0.5*Z85*K85/J85/$B$7</f>
        <v>100.37774699128812</v>
      </c>
      <c r="M85">
        <f t="shared" si="19"/>
        <v>5.3752165713670877E-3</v>
      </c>
      <c r="N85" s="21">
        <f t="shared" si="23"/>
        <v>6.6664530290973844E-3</v>
      </c>
      <c r="O85" s="21">
        <f t="shared" si="24"/>
        <v>1.6105341527122896</v>
      </c>
      <c r="P85">
        <f t="shared" si="20"/>
        <v>7.9462198356458191E-3</v>
      </c>
      <c r="Q85">
        <f t="shared" si="16"/>
        <v>0.99463920405566009</v>
      </c>
      <c r="R85">
        <f t="shared" si="17"/>
        <v>-0.3078216941640321</v>
      </c>
      <c r="T85" s="21">
        <f>(M85-M84)/(H85-H84)</f>
        <v>1.0456854394365819E-2</v>
      </c>
      <c r="W85" s="25"/>
      <c r="X85" s="25"/>
      <c r="Y85">
        <v>1</v>
      </c>
      <c r="Z85">
        <f t="shared" si="18"/>
        <v>1</v>
      </c>
      <c r="AC85">
        <v>8.1</v>
      </c>
      <c r="AD85">
        <f t="shared" si="25"/>
        <v>-4.4645413853723461</v>
      </c>
      <c r="AE85">
        <f t="shared" si="26"/>
        <v>2.0695391178075673E-2</v>
      </c>
    </row>
    <row r="86" spans="7:31" ht="15" x14ac:dyDescent="0.25">
      <c r="G86" s="21"/>
      <c r="H86" s="21">
        <f t="shared" si="27"/>
        <v>0.24785642596484297</v>
      </c>
      <c r="I86">
        <f t="shared" si="21"/>
        <v>1.4915096590577999</v>
      </c>
      <c r="J86">
        <f t="shared" si="22"/>
        <v>0.99441407633179124</v>
      </c>
      <c r="K86">
        <f t="shared" si="15"/>
        <v>195.5696552168196</v>
      </c>
      <c r="L86">
        <f>0.5*Z86*K86/J86/$B$7</f>
        <v>98.334114465796645</v>
      </c>
      <c r="M86">
        <f t="shared" si="19"/>
        <v>5.6015832826563127E-3</v>
      </c>
      <c r="N86" s="21">
        <f t="shared" si="23"/>
        <v>6.8048233671513568E-3</v>
      </c>
      <c r="O86" s="21">
        <f t="shared" si="24"/>
        <v>1.644141448474663</v>
      </c>
      <c r="P86">
        <f t="shared" si="20"/>
        <v>8.2799229654672742E-3</v>
      </c>
      <c r="Q86">
        <f t="shared" si="16"/>
        <v>0.99441407633179124</v>
      </c>
      <c r="R86">
        <f t="shared" si="17"/>
        <v>-0.30802333080482397</v>
      </c>
      <c r="T86" s="21">
        <f>(M86-M85)/(H86-H85)</f>
        <v>1.004627503397741E-2</v>
      </c>
      <c r="W86" s="25"/>
      <c r="X86" s="25"/>
      <c r="Y86">
        <v>1</v>
      </c>
      <c r="Z86">
        <f t="shared" si="18"/>
        <v>1</v>
      </c>
      <c r="AC86">
        <v>8.1999999999999993</v>
      </c>
      <c r="AD86">
        <f t="shared" si="25"/>
        <v>-4.5320048592658315</v>
      </c>
      <c r="AE86">
        <f t="shared" si="26"/>
        <v>2.0426000040054369E-2</v>
      </c>
    </row>
    <row r="87" spans="7:31" ht="15" x14ac:dyDescent="0.25">
      <c r="G87" s="21"/>
      <c r="H87" s="21">
        <f t="shared" si="27"/>
        <v>0.27264206856132728</v>
      </c>
      <c r="I87">
        <f t="shared" si="21"/>
        <v>1.4028158341351353</v>
      </c>
      <c r="J87">
        <f t="shared" si="22"/>
        <v>0.99417635061787302</v>
      </c>
      <c r="K87">
        <f t="shared" si="15"/>
        <v>191.49175329017677</v>
      </c>
      <c r="L87">
        <f>0.5*Z87*K87/J87/$B$7</f>
        <v>96.306733292924392</v>
      </c>
      <c r="M87">
        <f t="shared" si="19"/>
        <v>5.8406729532380214E-3</v>
      </c>
      <c r="N87" s="21">
        <f t="shared" si="23"/>
        <v>6.9479316876587737E-3</v>
      </c>
      <c r="O87" s="21">
        <f t="shared" si="24"/>
        <v>1.6789111403682255</v>
      </c>
      <c r="P87">
        <f t="shared" si="20"/>
        <v>8.6322998891543365E-3</v>
      </c>
      <c r="Q87">
        <f t="shared" si="16"/>
        <v>0.99417635061787302</v>
      </c>
      <c r="R87">
        <f t="shared" si="17"/>
        <v>-0.30823653783820543</v>
      </c>
      <c r="T87" s="21">
        <f>(M87-M86)/(H87-H86)</f>
        <v>9.6462970306697704E-3</v>
      </c>
      <c r="W87" s="25"/>
      <c r="X87" s="25"/>
      <c r="Y87">
        <v>1</v>
      </c>
      <c r="Z87">
        <f t="shared" si="18"/>
        <v>1</v>
      </c>
      <c r="AC87">
        <v>8.3000000000000007</v>
      </c>
      <c r="AD87">
        <f t="shared" si="25"/>
        <v>-4.5994683331593187</v>
      </c>
      <c r="AE87">
        <f t="shared" si="26"/>
        <v>2.016353209199518E-2</v>
      </c>
    </row>
    <row r="88" spans="7:31" ht="15" x14ac:dyDescent="0.25">
      <c r="G88" s="21"/>
      <c r="H88" s="21">
        <f t="shared" si="27"/>
        <v>0.29990627541746001</v>
      </c>
      <c r="I88">
        <f t="shared" si="21"/>
        <v>1.3183539721689668</v>
      </c>
      <c r="J88">
        <f t="shared" si="22"/>
        <v>0.99392545853175174</v>
      </c>
      <c r="K88">
        <f t="shared" si="15"/>
        <v>187.4507149923439</v>
      </c>
      <c r="L88">
        <f>0.5*Z88*K88/J88/$B$7</f>
        <v>94.298175674688011</v>
      </c>
      <c r="M88">
        <f t="shared" si="19"/>
        <v>6.0930665543086487E-3</v>
      </c>
      <c r="N88" s="21">
        <f t="shared" si="23"/>
        <v>7.0958205469646733E-3</v>
      </c>
      <c r="O88" s="21">
        <f t="shared" si="24"/>
        <v>1.7148550157750444</v>
      </c>
      <c r="P88">
        <f t="shared" si="20"/>
        <v>9.0041931102436724E-3</v>
      </c>
      <c r="Q88">
        <f t="shared" si="16"/>
        <v>0.99392545853175174</v>
      </c>
      <c r="R88">
        <f t="shared" si="17"/>
        <v>-0.30846187364533562</v>
      </c>
      <c r="T88" s="21">
        <f>(M88-M87)/(H88-H87)</f>
        <v>9.2573241687335071E-3</v>
      </c>
      <c r="W88" s="25"/>
      <c r="X88" s="25"/>
      <c r="Y88">
        <v>1</v>
      </c>
      <c r="Z88">
        <f t="shared" si="18"/>
        <v>1</v>
      </c>
      <c r="AC88">
        <v>8.4</v>
      </c>
      <c r="AD88">
        <f t="shared" si="25"/>
        <v>-4.6669318070528041</v>
      </c>
      <c r="AE88">
        <f t="shared" si="26"/>
        <v>1.9907723837036324E-2</v>
      </c>
    </row>
    <row r="89" spans="7:31" ht="15" x14ac:dyDescent="0.25">
      <c r="G89" s="21"/>
      <c r="H89" s="21">
        <f t="shared" si="27"/>
        <v>0.32989690295920604</v>
      </c>
      <c r="I89">
        <f t="shared" si="21"/>
        <v>1.2380703751651196</v>
      </c>
      <c r="J89">
        <f t="shared" si="22"/>
        <v>0.99366080468712759</v>
      </c>
      <c r="K89">
        <f t="shared" si="15"/>
        <v>183.45115630163187</v>
      </c>
      <c r="L89">
        <f>0.5*Z89*K89/J89/$B$7</f>
        <v>92.310754050218804</v>
      </c>
      <c r="M89">
        <f t="shared" si="19"/>
        <v>6.3593733316151448E-3</v>
      </c>
      <c r="N89" s="21">
        <f t="shared" si="23"/>
        <v>7.248534775481227E-3</v>
      </c>
      <c r="O89" s="21">
        <f t="shared" si="24"/>
        <v>1.7519855232670913</v>
      </c>
      <c r="P89">
        <f t="shared" si="20"/>
        <v>9.3964851600749095E-3</v>
      </c>
      <c r="Q89">
        <f t="shared" si="16"/>
        <v>0.99366080468712759</v>
      </c>
      <c r="R89">
        <f t="shared" si="17"/>
        <v>-0.30869992675680635</v>
      </c>
      <c r="T89" s="21">
        <f>(M89-M88)/(H89-H88)</f>
        <v>8.8796667204047424E-3</v>
      </c>
      <c r="W89" s="25"/>
      <c r="X89" s="25"/>
      <c r="Y89">
        <v>1</v>
      </c>
      <c r="Z89">
        <f t="shared" si="18"/>
        <v>1</v>
      </c>
      <c r="AC89">
        <v>8.5</v>
      </c>
      <c r="AD89">
        <f t="shared" si="25"/>
        <v>-4.7343952809462895</v>
      </c>
      <c r="AE89">
        <f t="shared" si="26"/>
        <v>1.9658324982400222E-2</v>
      </c>
    </row>
    <row r="90" spans="7:31" ht="15" x14ac:dyDescent="0.25">
      <c r="G90" s="21"/>
      <c r="H90" s="21">
        <f t="shared" si="27"/>
        <v>0.36288659325512668</v>
      </c>
      <c r="I90">
        <f t="shared" si="21"/>
        <v>1.1618889794845129</v>
      </c>
      <c r="J90">
        <f t="shared" si="22"/>
        <v>0.99338176497808373</v>
      </c>
      <c r="K90">
        <f t="shared" si="15"/>
        <v>179.49718888710748</v>
      </c>
      <c r="L90">
        <f>0.5*Z90*K90/J90/$B$7</f>
        <v>90.346529005929355</v>
      </c>
      <c r="M90">
        <f t="shared" si="19"/>
        <v>6.6402326500193207E-3</v>
      </c>
      <c r="N90" s="21">
        <f t="shared" si="23"/>
        <v>7.406121890916423E-3</v>
      </c>
      <c r="O90" s="21">
        <f t="shared" si="24"/>
        <v>1.7903158808585287</v>
      </c>
      <c r="P90">
        <f t="shared" si="20"/>
        <v>9.8101011406045036E-3</v>
      </c>
      <c r="Q90">
        <f t="shared" si="16"/>
        <v>0.99338176497808373</v>
      </c>
      <c r="R90">
        <f t="shared" si="17"/>
        <v>-0.30895131804617737</v>
      </c>
      <c r="T90" s="21">
        <f>(M90-M89)/(H90-H89)</f>
        <v>8.5135481989931181E-3</v>
      </c>
      <c r="W90" s="25"/>
      <c r="X90" s="25"/>
      <c r="Y90">
        <v>1</v>
      </c>
      <c r="Z90">
        <f t="shared" si="18"/>
        <v>1</v>
      </c>
      <c r="AC90">
        <v>8.6</v>
      </c>
      <c r="AD90">
        <f t="shared" si="25"/>
        <v>-4.8018587548397749</v>
      </c>
      <c r="AE90">
        <f t="shared" si="26"/>
        <v>1.9415097622539956E-2</v>
      </c>
    </row>
    <row r="91" spans="7:31" ht="15" x14ac:dyDescent="0.25">
      <c r="G91" s="21"/>
      <c r="H91" s="21">
        <f t="shared" si="27"/>
        <v>0.39917525258063935</v>
      </c>
      <c r="I91">
        <f t="shared" si="21"/>
        <v>1.0897148753831059</v>
      </c>
      <c r="J91">
        <f t="shared" si="22"/>
        <v>0.99308768480865528</v>
      </c>
      <c r="K91">
        <f t="shared" si="15"/>
        <v>175.59244055666829</v>
      </c>
      <c r="L91">
        <f>0.5*Z91*K91/J91/$B$7</f>
        <v>88.407319536190215</v>
      </c>
      <c r="M91">
        <f t="shared" si="19"/>
        <v>6.9363159062792168E-3</v>
      </c>
      <c r="N91" s="21">
        <f t="shared" si="23"/>
        <v>7.5686324609362896E-3</v>
      </c>
      <c r="O91" s="21">
        <f t="shared" si="24"/>
        <v>1.8298601727332497</v>
      </c>
      <c r="P91">
        <f t="shared" si="20"/>
        <v>1.0246011348686541E-2</v>
      </c>
      <c r="Q91">
        <f t="shared" si="16"/>
        <v>0.99308768480865528</v>
      </c>
      <c r="R91">
        <f t="shared" si="17"/>
        <v>-0.30921670304716681</v>
      </c>
      <c r="T91" s="21">
        <f>(M91-M90)/(H91-H90)</f>
        <v>8.1591125647272195E-3</v>
      </c>
      <c r="W91" s="25"/>
      <c r="X91" s="25"/>
      <c r="Y91">
        <v>1</v>
      </c>
      <c r="Z91">
        <f t="shared" si="18"/>
        <v>1</v>
      </c>
      <c r="AC91">
        <v>8.6999999999999993</v>
      </c>
      <c r="AD91">
        <f t="shared" si="25"/>
        <v>-4.8693222287332603</v>
      </c>
      <c r="AE91">
        <f t="shared" si="26"/>
        <v>1.9177815482184904E-2</v>
      </c>
    </row>
    <row r="92" spans="7:31" ht="15" x14ac:dyDescent="0.25">
      <c r="G92" s="21"/>
      <c r="H92" s="21">
        <f t="shared" si="27"/>
        <v>0.43909277783870332</v>
      </c>
      <c r="I92">
        <f t="shared" si="21"/>
        <v>1.0214376310083688</v>
      </c>
      <c r="J92">
        <f t="shared" si="22"/>
        <v>0.99277787726470557</v>
      </c>
      <c r="K92">
        <f t="shared" si="15"/>
        <v>171.74007925819549</v>
      </c>
      <c r="L92">
        <f>0.5*Z92*K92/J92/$B$7</f>
        <v>86.494715077340629</v>
      </c>
      <c r="M92">
        <f t="shared" si="19"/>
        <v>7.2483285141615138E-3</v>
      </c>
      <c r="N92" s="21">
        <f t="shared" si="23"/>
        <v>7.7361204180428017E-3</v>
      </c>
      <c r="O92" s="21">
        <f t="shared" si="24"/>
        <v>1.8706334351685634</v>
      </c>
      <c r="P92">
        <f t="shared" si="20"/>
        <v>1.0705233985870638E-2</v>
      </c>
      <c r="Q92">
        <f t="shared" si="16"/>
        <v>0.99277787726470557</v>
      </c>
      <c r="R92">
        <f t="shared" si="17"/>
        <v>-0.30949677440536111</v>
      </c>
      <c r="T92" s="21">
        <f>(M92-M91)/(H92-H91)</f>
        <v>7.8164316516406672E-3</v>
      </c>
      <c r="W92" s="25"/>
      <c r="X92" s="25"/>
      <c r="Y92">
        <v>1</v>
      </c>
      <c r="Z92">
        <f t="shared" si="18"/>
        <v>1</v>
      </c>
      <c r="AC92">
        <v>8.8000000000000007</v>
      </c>
      <c r="AD92">
        <f t="shared" si="25"/>
        <v>-4.9367857026267474</v>
      </c>
      <c r="AE92">
        <f t="shared" si="26"/>
        <v>1.8946263214222988E-2</v>
      </c>
    </row>
    <row r="93" spans="7:31" ht="15" x14ac:dyDescent="0.25">
      <c r="G93" s="21"/>
      <c r="H93" s="21">
        <f t="shared" si="27"/>
        <v>0.4830020556225737</v>
      </c>
      <c r="I93">
        <f t="shared" si="21"/>
        <v>0.95693437717340668</v>
      </c>
      <c r="J93">
        <f t="shared" si="22"/>
        <v>0.99245162122436792</v>
      </c>
      <c r="K93">
        <f t="shared" si="15"/>
        <v>167.9428395978596</v>
      </c>
      <c r="L93">
        <f>0.5*Z93*K93/J93/$B$7</f>
        <v>84.61008879741253</v>
      </c>
      <c r="M93">
        <f t="shared" si="19"/>
        <v>7.5770119671558916E-3</v>
      </c>
      <c r="N93" s="21">
        <f t="shared" si="23"/>
        <v>7.9086433301815851E-3</v>
      </c>
      <c r="O93" s="21">
        <f t="shared" si="24"/>
        <v>1.9126517325568055</v>
      </c>
      <c r="P93">
        <f t="shared" si="20"/>
        <v>1.1188837959263396E-2</v>
      </c>
      <c r="Q93">
        <f t="shared" si="16"/>
        <v>0.99245162122436792</v>
      </c>
      <c r="R93">
        <f t="shared" si="17"/>
        <v>-0.30979226447718422</v>
      </c>
      <c r="T93" s="21">
        <f>(M93-M92)/(H93-H92)</f>
        <v>7.485512620185166E-3</v>
      </c>
      <c r="W93" s="25"/>
      <c r="X93" s="25"/>
      <c r="Y93">
        <v>1</v>
      </c>
      <c r="Z93">
        <f t="shared" si="18"/>
        <v>1</v>
      </c>
      <c r="AC93">
        <v>8.9</v>
      </c>
      <c r="AD93">
        <f t="shared" si="25"/>
        <v>-5.0042491765202328</v>
      </c>
      <c r="AE93">
        <f t="shared" si="26"/>
        <v>1.8720235747840243E-2</v>
      </c>
    </row>
    <row r="94" spans="7:31" ht="15" x14ac:dyDescent="0.25">
      <c r="G94" s="21"/>
      <c r="H94" s="21">
        <f t="shared" si="27"/>
        <v>0.53130226118483115</v>
      </c>
      <c r="I94">
        <f t="shared" si="21"/>
        <v>0.89607262507583396</v>
      </c>
      <c r="J94">
        <f t="shared" si="22"/>
        <v>0.99210815940240793</v>
      </c>
      <c r="K94">
        <f t="shared" si="15"/>
        <v>164.20305096936912</v>
      </c>
      <c r="L94">
        <f>0.5*Z94*K94/J94/$B$7</f>
        <v>82.754611688848584</v>
      </c>
      <c r="M94">
        <f t="shared" si="19"/>
        <v>7.9231459851300534E-3</v>
      </c>
      <c r="N94" s="21">
        <f t="shared" si="23"/>
        <v>8.0862626310714263E-3</v>
      </c>
      <c r="O94" s="21">
        <f t="shared" si="24"/>
        <v>1.9559322245466799</v>
      </c>
      <c r="P94">
        <f t="shared" si="20"/>
        <v>1.1697945780337456E-2</v>
      </c>
      <c r="Q94">
        <f t="shared" si="16"/>
        <v>0.99210815940240793</v>
      </c>
      <c r="R94">
        <f t="shared" si="17"/>
        <v>-0.31010394809078201</v>
      </c>
      <c r="T94" s="21">
        <f>(M94-M93)/(H94-H93)</f>
        <v>7.1663052764445465E-3</v>
      </c>
      <c r="W94" s="25"/>
      <c r="X94" s="25"/>
      <c r="Y94">
        <v>1</v>
      </c>
      <c r="Z94">
        <f t="shared" si="18"/>
        <v>1</v>
      </c>
      <c r="AC94">
        <v>9</v>
      </c>
      <c r="AD94">
        <f t="shared" si="25"/>
        <v>-5.0717126504137182</v>
      </c>
      <c r="AE94">
        <f t="shared" si="26"/>
        <v>1.8499537682770101E-2</v>
      </c>
    </row>
    <row r="95" spans="7:31" ht="15" x14ac:dyDescent="0.25">
      <c r="G95" s="21"/>
      <c r="H95" s="21">
        <f t="shared" si="27"/>
        <v>0.58443248730331432</v>
      </c>
      <c r="I95">
        <f t="shared" si="21"/>
        <v>0.83871280255239955</v>
      </c>
      <c r="J95">
        <f t="shared" si="22"/>
        <v>0.99174669632306123</v>
      </c>
      <c r="K95">
        <f t="shared" si="15"/>
        <v>160.52266652033958</v>
      </c>
      <c r="L95">
        <f>0.5*Z95*K95/J95/$B$7</f>
        <v>80.929267077714258</v>
      </c>
      <c r="M95">
        <f t="shared" si="19"/>
        <v>8.2875507522463809E-3</v>
      </c>
      <c r="N95" s="21">
        <f t="shared" si="23"/>
        <v>8.2690438145104229E-3</v>
      </c>
      <c r="O95" s="21">
        <f t="shared" si="24"/>
        <v>2.0004932253947558</v>
      </c>
      <c r="P95">
        <f t="shared" si="20"/>
        <v>1.2233736569761273E-2</v>
      </c>
      <c r="Q95">
        <f t="shared" si="16"/>
        <v>0.99174669632306123</v>
      </c>
      <c r="R95">
        <f t="shared" si="17"/>
        <v>-0.31043264548544303</v>
      </c>
      <c r="T95" s="21">
        <f>(M95-M94)/(H95-H94)</f>
        <v>6.8587091329836598E-3</v>
      </c>
      <c r="W95" s="25"/>
      <c r="X95" s="25"/>
      <c r="Y95">
        <v>1</v>
      </c>
      <c r="Z95">
        <f t="shared" si="18"/>
        <v>1</v>
      </c>
      <c r="AC95">
        <v>9.1</v>
      </c>
      <c r="AD95">
        <f t="shared" si="25"/>
        <v>-5.1391761243072036</v>
      </c>
      <c r="AE95">
        <f t="shared" si="26"/>
        <v>1.8283982725891646E-2</v>
      </c>
    </row>
    <row r="96" spans="7:31" ht="15" x14ac:dyDescent="0.25">
      <c r="G96" s="21"/>
      <c r="H96" s="21">
        <f t="shared" si="27"/>
        <v>0.64287573603364578</v>
      </c>
      <c r="I96">
        <f t="shared" si="21"/>
        <v>0.78471050542140897</v>
      </c>
      <c r="J96">
        <f t="shared" si="22"/>
        <v>0.99136639621518585</v>
      </c>
      <c r="K96">
        <f t="shared" si="15"/>
        <v>156.90329231088964</v>
      </c>
      <c r="L96">
        <f>0.5*Z96*K96/J96/$B$7</f>
        <v>79.134865227382704</v>
      </c>
      <c r="M96">
        <f t="shared" si="19"/>
        <v>8.6710892543804367E-3</v>
      </c>
      <c r="N96" s="21">
        <f t="shared" si="23"/>
        <v>8.4570565970015048E-3</v>
      </c>
      <c r="O96" s="21">
        <f t="shared" si="24"/>
        <v>2.0463542566444035</v>
      </c>
      <c r="P96">
        <f t="shared" si="20"/>
        <v>1.2797449177380345E-2</v>
      </c>
      <c r="Q96">
        <f t="shared" si="16"/>
        <v>0.99136639621518585</v>
      </c>
      <c r="R96">
        <f t="shared" si="17"/>
        <v>-0.31077922544823561</v>
      </c>
      <c r="T96" s="21">
        <f>(M96-M95)/(H96-H95)</f>
        <v>6.5625801177442607E-3</v>
      </c>
      <c r="W96" s="25"/>
      <c r="X96" s="25"/>
      <c r="Y96">
        <v>1</v>
      </c>
      <c r="Z96">
        <f t="shared" si="18"/>
        <v>1</v>
      </c>
    </row>
    <row r="97" spans="7:26" ht="15" x14ac:dyDescent="0.25">
      <c r="G97" s="21"/>
      <c r="H97" s="21">
        <f t="shared" si="27"/>
        <v>0.70716330963701046</v>
      </c>
      <c r="I97">
        <f t="shared" si="21"/>
        <v>0.73391846907194713</v>
      </c>
      <c r="J97">
        <f t="shared" si="22"/>
        <v>0.99096638082292987</v>
      </c>
      <c r="K97">
        <f t="shared" si="15"/>
        <v>153.34621614068223</v>
      </c>
      <c r="L97">
        <f>0.5*Z97*K97/J97/$B$7</f>
        <v>77.372057775228797</v>
      </c>
      <c r="M97">
        <f t="shared" si="19"/>
        <v>9.0746697251459056E-3</v>
      </c>
      <c r="N97" s="21">
        <f t="shared" si="23"/>
        <v>8.6503750529906033E-3</v>
      </c>
      <c r="O97" s="21">
        <f t="shared" si="24"/>
        <v>2.0935360942437349</v>
      </c>
      <c r="P97">
        <f t="shared" si="20"/>
        <v>1.3390385427428224E-2</v>
      </c>
      <c r="Q97">
        <f t="shared" si="16"/>
        <v>0.99096638082292987</v>
      </c>
      <c r="R97">
        <f t="shared" si="17"/>
        <v>-0.31114460866871796</v>
      </c>
      <c r="T97" s="21">
        <f>(M97-M96)/(H97-H96)</f>
        <v>6.2777368649101781E-3</v>
      </c>
      <c r="W97" s="25"/>
      <c r="X97" s="25"/>
      <c r="Y97">
        <v>1</v>
      </c>
      <c r="Z97">
        <f t="shared" si="18"/>
        <v>1</v>
      </c>
    </row>
    <row r="98" spans="7:26" ht="15" x14ac:dyDescent="0.25">
      <c r="G98" s="21"/>
      <c r="H98" s="21">
        <f t="shared" si="27"/>
        <v>0.77787964060071157</v>
      </c>
      <c r="I98">
        <f t="shared" si="21"/>
        <v>0.68618827191955289</v>
      </c>
      <c r="J98">
        <f t="shared" si="22"/>
        <v>0.99054572712453426</v>
      </c>
      <c r="K98">
        <f t="shared" si="15"/>
        <v>149.8524356310858</v>
      </c>
      <c r="L98">
        <f>0.5*Z98*K98/J98/$B$7</f>
        <v>75.641351796092252</v>
      </c>
      <c r="M98">
        <f t="shared" si="19"/>
        <v>9.4992482104628625E-3</v>
      </c>
      <c r="N98" s="21">
        <f t="shared" si="23"/>
        <v>8.8490777268588703E-3</v>
      </c>
      <c r="O98" s="21">
        <f t="shared" si="24"/>
        <v>2.1420608111842081</v>
      </c>
      <c r="P98">
        <f t="shared" si="20"/>
        <v>1.4013913499907452E-2</v>
      </c>
      <c r="Q98">
        <f t="shared" si="16"/>
        <v>0.99054572712453426</v>
      </c>
      <c r="R98">
        <f t="shared" si="17"/>
        <v>-0.31152977133492227</v>
      </c>
      <c r="T98" s="21">
        <f>(M98-M97)/(H98-H97)</f>
        <v>6.0039665453640997E-3</v>
      </c>
      <c r="W98" s="25"/>
      <c r="X98" s="25"/>
      <c r="Y98">
        <v>1</v>
      </c>
      <c r="Z98">
        <f t="shared" si="18"/>
        <v>1</v>
      </c>
    </row>
    <row r="99" spans="7:26" ht="15" x14ac:dyDescent="0.25">
      <c r="G99" s="21"/>
      <c r="H99" s="21">
        <f t="shared" si="27"/>
        <v>0.85566760466078284</v>
      </c>
      <c r="I99">
        <f t="shared" si="21"/>
        <v>0.6413717869267942</v>
      </c>
      <c r="J99">
        <f t="shared" si="22"/>
        <v>0.99010346495135104</v>
      </c>
      <c r="K99">
        <f t="shared" si="15"/>
        <v>146.42268524735445</v>
      </c>
      <c r="L99">
        <f>0.5*Z99*K99/J99/$B$7</f>
        <v>73.943123335372306</v>
      </c>
      <c r="M99">
        <f t="shared" si="19"/>
        <v>9.9458312624267041E-3</v>
      </c>
      <c r="N99" s="21">
        <f t="shared" si="23"/>
        <v>9.0532477255860881E-3</v>
      </c>
      <c r="O99" s="21">
        <f t="shared" si="24"/>
        <v>2.1919518166948131</v>
      </c>
      <c r="P99">
        <f t="shared" si="20"/>
        <v>1.4669471459880767E-2</v>
      </c>
      <c r="Q99">
        <f t="shared" si="16"/>
        <v>0.99010346495135104</v>
      </c>
      <c r="R99">
        <f t="shared" si="17"/>
        <v>-0.3119357489963604</v>
      </c>
      <c r="T99" s="21">
        <f>(M99-M98)/(H99-H98)</f>
        <v>5.7410302141211803E-3</v>
      </c>
      <c r="W99" s="25"/>
      <c r="X99" s="25"/>
      <c r="Y99">
        <v>1</v>
      </c>
      <c r="Z99">
        <f t="shared" si="18"/>
        <v>1</v>
      </c>
    </row>
    <row r="100" spans="7:26" ht="15" x14ac:dyDescent="0.25">
      <c r="G100" s="21"/>
      <c r="H100" s="21">
        <f t="shared" si="27"/>
        <v>0.94123436512686121</v>
      </c>
      <c r="I100">
        <f t="shared" si="21"/>
        <v>0.59932240037214501</v>
      </c>
      <c r="J100">
        <f t="shared" si="22"/>
        <v>0.9896385744986389</v>
      </c>
      <c r="K100">
        <f t="shared" si="15"/>
        <v>143.05746203111198</v>
      </c>
      <c r="L100">
        <f>0.5*Z100*K100/J100/$B$7</f>
        <v>72.277630297296341</v>
      </c>
      <c r="M100">
        <f t="shared" si="19"/>
        <v>1.0415478774065467E-2</v>
      </c>
      <c r="N100" s="21">
        <f t="shared" si="23"/>
        <v>9.2629727957315045E-3</v>
      </c>
      <c r="O100" s="21">
        <f t="shared" si="24"/>
        <v>2.2432338929694113</v>
      </c>
      <c r="P100">
        <f t="shared" si="20"/>
        <v>1.5358570947176775E-2</v>
      </c>
      <c r="Q100">
        <f t="shared" si="16"/>
        <v>0.9896385744986389</v>
      </c>
      <c r="R100">
        <f t="shared" si="17"/>
        <v>-0.31236364072261064</v>
      </c>
      <c r="T100" s="21">
        <f>(M100-M99)/(H100-H99)</f>
        <v>5.4886676681530711E-3</v>
      </c>
      <c r="W100" s="25"/>
      <c r="X100" s="25"/>
      <c r="Y100">
        <v>1</v>
      </c>
      <c r="Z100">
        <f t="shared" si="18"/>
        <v>1</v>
      </c>
    </row>
    <row r="101" spans="7:26" ht="15" x14ac:dyDescent="0.25">
      <c r="G101" s="21"/>
      <c r="H101" s="21">
        <f t="shared" si="27"/>
        <v>1.0353578016395475</v>
      </c>
      <c r="I101">
        <f t="shared" si="21"/>
        <v>0.55989601872906292</v>
      </c>
      <c r="J101">
        <f t="shared" si="22"/>
        <v>0.98914998371919727</v>
      </c>
      <c r="K101">
        <f t="shared" si="15"/>
        <v>139.75704988610522</v>
      </c>
      <c r="L101">
        <f>0.5*Z101*K101/J101/$B$7</f>
        <v>70.645024610231332</v>
      </c>
      <c r="M101">
        <f t="shared" si="19"/>
        <v>1.0909306967423234E-2</v>
      </c>
      <c r="N101" s="21">
        <f t="shared" si="23"/>
        <v>9.478345388081677E-3</v>
      </c>
      <c r="O101" s="21">
        <f t="shared" si="24"/>
        <v>2.2959332303419622</v>
      </c>
      <c r="P101">
        <f t="shared" si="20"/>
        <v>1.6082801039764477E-2</v>
      </c>
      <c r="Q101">
        <f t="shared" si="16"/>
        <v>0.98914998371919727</v>
      </c>
      <c r="R101">
        <f t="shared" si="17"/>
        <v>-0.31281461358916307</v>
      </c>
      <c r="T101" s="21">
        <f>(M101-M100)/(H101-H100)</f>
        <v>5.2466018204850324E-3</v>
      </c>
      <c r="W101" s="25"/>
      <c r="X101" s="25"/>
      <c r="Y101">
        <v>1</v>
      </c>
      <c r="Z101">
        <f t="shared" si="18"/>
        <v>1</v>
      </c>
    </row>
    <row r="102" spans="7:26" ht="15" x14ac:dyDescent="0.25">
      <c r="G102" s="21"/>
      <c r="H102" s="21">
        <f t="shared" si="27"/>
        <v>1.1388935818035024</v>
      </c>
      <c r="I102">
        <f t="shared" si="21"/>
        <v>0.52295188515916535</v>
      </c>
      <c r="J102">
        <f t="shared" si="22"/>
        <v>0.98863656559038182</v>
      </c>
      <c r="K102">
        <f t="shared" si="15"/>
        <v>136.52154232080537</v>
      </c>
      <c r="L102">
        <f>0.5*Z102*K102/J102/$B$7</f>
        <v>69.045363621200437</v>
      </c>
      <c r="M102">
        <f t="shared" si="19"/>
        <v>1.1428491548314879E-2</v>
      </c>
      <c r="N102" s="21">
        <f t="shared" si="23"/>
        <v>9.6994627130090258E-3</v>
      </c>
      <c r="O102" s="21">
        <f t="shared" si="24"/>
        <v>2.3500774617601272</v>
      </c>
      <c r="P102">
        <f t="shared" si="20"/>
        <v>1.6843832304810215E-2</v>
      </c>
      <c r="Q102">
        <f t="shared" si="16"/>
        <v>0.98863656559038182</v>
      </c>
      <c r="R102">
        <f t="shared" si="17"/>
        <v>-0.31328990752569796</v>
      </c>
      <c r="T102" s="21">
        <f>(M102-M101)/(H102-H101)</f>
        <v>5.0145426061356324E-3</v>
      </c>
      <c r="W102" s="25"/>
      <c r="X102" s="25"/>
      <c r="Y102">
        <v>1</v>
      </c>
      <c r="Z102">
        <f t="shared" si="18"/>
        <v>1</v>
      </c>
    </row>
    <row r="103" spans="7:26" ht="15" x14ac:dyDescent="0.25">
      <c r="G103" s="21"/>
      <c r="H103" s="21">
        <f t="shared" si="27"/>
        <v>1.2527829399838528</v>
      </c>
      <c r="I103">
        <f t="shared" si="21"/>
        <v>0.48835322697188366</v>
      </c>
      <c r="J103">
        <f t="shared" si="22"/>
        <v>0.98809713524451825</v>
      </c>
      <c r="K103">
        <f t="shared" si="15"/>
        <v>133.35086360094883</v>
      </c>
      <c r="L103">
        <f>0.5*Z103*K103/J103/$B$7</f>
        <v>67.478620696511442</v>
      </c>
      <c r="M103">
        <f t="shared" si="19"/>
        <v>1.1974271042058501E-2</v>
      </c>
      <c r="N103" s="21">
        <f t="shared" si="23"/>
        <v>9.9264267892825286E-3</v>
      </c>
      <c r="O103" s="21">
        <f t="shared" si="24"/>
        <v>2.4056956973452581</v>
      </c>
      <c r="P103">
        <f t="shared" si="20"/>
        <v>1.7643421052219267E-2</v>
      </c>
      <c r="Q103">
        <f t="shared" si="16"/>
        <v>0.98809713524451825</v>
      </c>
      <c r="R103">
        <f t="shared" si="17"/>
        <v>-0.31379084056590645</v>
      </c>
      <c r="T103" s="21">
        <f>(M103-M102)/(H103-H102)</f>
        <v>4.7921904422303322E-3</v>
      </c>
      <c r="W103" s="25"/>
      <c r="X103" s="25"/>
      <c r="Y103">
        <v>1</v>
      </c>
      <c r="Z103">
        <f t="shared" si="18"/>
        <v>1</v>
      </c>
    </row>
    <row r="104" spans="7:26" ht="15" x14ac:dyDescent="0.25">
      <c r="G104" s="21"/>
      <c r="H104" s="21">
        <f t="shared" si="27"/>
        <v>1.3780612339822382</v>
      </c>
      <c r="I104">
        <f t="shared" si="21"/>
        <v>0.45596775466831829</v>
      </c>
      <c r="J104">
        <f t="shared" si="22"/>
        <v>0.98753044695216097</v>
      </c>
      <c r="K104">
        <f t="shared" si="15"/>
        <v>130.24478830467805</v>
      </c>
      <c r="L104">
        <f>0.5*Z104*K104/J104/$B$7</f>
        <v>65.944695025179058</v>
      </c>
      <c r="M104">
        <f t="shared" si="19"/>
        <v>1.2547950325548755E-2</v>
      </c>
      <c r="N104" s="21">
        <f t="shared" si="23"/>
        <v>1.0159344488782798E-2</v>
      </c>
      <c r="O104" s="21">
        <f t="shared" si="24"/>
        <v>2.4628185597683792</v>
      </c>
      <c r="P104">
        <f t="shared" si="20"/>
        <v>1.848341380630129E-2</v>
      </c>
      <c r="Q104">
        <f t="shared" si="16"/>
        <v>0.98753044695216097</v>
      </c>
      <c r="R104">
        <f t="shared" si="17"/>
        <v>-0.31431881454241994</v>
      </c>
      <c r="T104" s="21">
        <f>(M104-M103)/(H104-H103)</f>
        <v>4.5792392694751095E-3</v>
      </c>
      <c r="W104" s="25"/>
      <c r="X104" s="25"/>
      <c r="Y104">
        <v>1</v>
      </c>
      <c r="Z104">
        <f t="shared" si="18"/>
        <v>1</v>
      </c>
    </row>
    <row r="105" spans="7:26" ht="15" x14ac:dyDescent="0.25">
      <c r="G105" s="21"/>
      <c r="H105" s="21">
        <f t="shared" si="27"/>
        <v>1.5158673573804622</v>
      </c>
      <c r="I105">
        <f t="shared" si="21"/>
        <v>0.42566803204619047</v>
      </c>
      <c r="J105">
        <f t="shared" si="22"/>
        <v>0.98693519094703774</v>
      </c>
      <c r="K105">
        <f t="shared" si="15"/>
        <v>127.20295930379447</v>
      </c>
      <c r="L105">
        <f>0.5*Z105*K105/J105/$B$7</f>
        <v>64.443420637242539</v>
      </c>
      <c r="M105">
        <f t="shared" si="19"/>
        <v>1.3150904372184401E-2</v>
      </c>
      <c r="N105" s="21">
        <f t="shared" si="23"/>
        <v>1.0398327579303869E-2</v>
      </c>
      <c r="O105" s="21">
        <f t="shared" si="24"/>
        <v>2.5214782211192155</v>
      </c>
      <c r="P105">
        <f t="shared" si="20"/>
        <v>1.9365752012102944E-2</v>
      </c>
      <c r="Q105">
        <f t="shared" si="16"/>
        <v>0.98693519094703774</v>
      </c>
      <c r="R105">
        <f t="shared" si="17"/>
        <v>-0.31487532127547058</v>
      </c>
      <c r="T105" s="21">
        <f>(M105-M104)/(H105-H104)</f>
        <v>4.375379204981082E-3</v>
      </c>
      <c r="W105" s="25"/>
      <c r="X105" s="25"/>
      <c r="Y105">
        <v>1</v>
      </c>
      <c r="Z105">
        <f t="shared" si="18"/>
        <v>1</v>
      </c>
    </row>
    <row r="106" spans="7:26" ht="15" x14ac:dyDescent="0.25">
      <c r="G106" s="21"/>
      <c r="H106" s="21">
        <f t="shared" si="27"/>
        <v>1.6674540931185085</v>
      </c>
      <c r="I106">
        <f t="shared" si="21"/>
        <v>0.39733173544006506</v>
      </c>
      <c r="J106">
        <f t="shared" si="22"/>
        <v>0.98630999008085296</v>
      </c>
      <c r="K106">
        <f t="shared" si="15"/>
        <v>124.22490421799837</v>
      </c>
      <c r="L106">
        <f>0.5*Z106*K106/J106/$B$7</f>
        <v>62.974574660759046</v>
      </c>
      <c r="M106">
        <f t="shared" si="19"/>
        <v>1.3784582227441869E-2</v>
      </c>
      <c r="N106" s="21">
        <f t="shared" si="23"/>
        <v>1.064349276737829E-2</v>
      </c>
      <c r="O106" s="21">
        <f t="shared" si="24"/>
        <v>2.5817084418997078</v>
      </c>
      <c r="P106">
        <f t="shared" si="20"/>
        <v>2.0292476993938081E-2</v>
      </c>
      <c r="Q106">
        <f t="shared" si="16"/>
        <v>0.98630999008085296</v>
      </c>
      <c r="R106">
        <f t="shared" si="17"/>
        <v>-0.31546194930967031</v>
      </c>
      <c r="T106" s="21">
        <f>(M106-M105)/(H106-H105)</f>
        <v>4.1802988379703162E-3</v>
      </c>
      <c r="W106" s="25"/>
      <c r="X106" s="25"/>
      <c r="Y106">
        <v>1</v>
      </c>
      <c r="Z106">
        <f t="shared" si="18"/>
        <v>1</v>
      </c>
    </row>
    <row r="107" spans="7:26" ht="15" x14ac:dyDescent="0.25">
      <c r="G107" s="21"/>
      <c r="H107" s="21">
        <f t="shared" si="27"/>
        <v>1.8341995024303595</v>
      </c>
      <c r="I107">
        <f t="shared" si="21"/>
        <v>0.37084181862094234</v>
      </c>
      <c r="J107">
        <f t="shared" si="22"/>
        <v>0.98565339629538939</v>
      </c>
      <c r="K107">
        <f t="shared" si="15"/>
        <v>121.3100504060335</v>
      </c>
      <c r="L107">
        <f>0.5*Z107*K107/J107/$B$7</f>
        <v>61.537884849776454</v>
      </c>
      <c r="M107">
        <f t="shared" si="19"/>
        <v>1.4450511234303047E-2</v>
      </c>
      <c r="N107" s="21">
        <f t="shared" si="23"/>
        <v>1.0894961742842605E-2</v>
      </c>
      <c r="O107" s="21">
        <f t="shared" si="24"/>
        <v>2.6435446127356079</v>
      </c>
      <c r="P107">
        <f t="shared" si="20"/>
        <v>2.1265735184733712E-2</v>
      </c>
      <c r="Q107">
        <f t="shared" si="16"/>
        <v>0.98565339629538939</v>
      </c>
      <c r="R107">
        <f t="shared" si="17"/>
        <v>-0.31608039125987542</v>
      </c>
      <c r="T107" s="21">
        <f>(M107-M106)/(H107-H106)</f>
        <v>3.993687200201968E-3</v>
      </c>
      <c r="W107" s="25"/>
      <c r="X107" s="25"/>
      <c r="Y107">
        <v>1</v>
      </c>
      <c r="Z107">
        <f t="shared" si="18"/>
        <v>1</v>
      </c>
    </row>
    <row r="108" spans="7:26" ht="15" x14ac:dyDescent="0.25">
      <c r="G108" s="21"/>
      <c r="H108" s="21">
        <f t="shared" si="27"/>
        <v>2.0176194526733955</v>
      </c>
      <c r="I108">
        <f t="shared" si="21"/>
        <v>0.34608659827000965</v>
      </c>
      <c r="J108">
        <f t="shared" si="22"/>
        <v>0.98496388689853487</v>
      </c>
      <c r="K108">
        <f t="shared" si="15"/>
        <v>118.45773856945303</v>
      </c>
      <c r="L108">
        <f>0.5*Z108*K108/J108/$B$7</f>
        <v>60.13303642149463</v>
      </c>
      <c r="M108">
        <f t="shared" si="19"/>
        <v>1.5150301529326836E-2</v>
      </c>
      <c r="N108" s="21">
        <f t="shared" si="23"/>
        <v>1.115286122666863E-2</v>
      </c>
      <c r="O108" s="21">
        <f t="shared" si="24"/>
        <v>2.7070237993700745</v>
      </c>
      <c r="P108">
        <f t="shared" si="20"/>
        <v>2.22877836460138E-2</v>
      </c>
      <c r="Q108">
        <f t="shared" si="16"/>
        <v>0.98496388689853487</v>
      </c>
      <c r="R108">
        <f t="shared" si="17"/>
        <v>-0.31673245183463655</v>
      </c>
      <c r="T108" s="21">
        <f>(M108-M107)/(H108-H107)</f>
        <v>3.8152354424725839E-3</v>
      </c>
      <c r="W108" s="25"/>
      <c r="X108" s="25"/>
      <c r="Y108">
        <v>1</v>
      </c>
      <c r="Z108">
        <f t="shared" si="18"/>
        <v>1</v>
      </c>
    </row>
    <row r="109" spans="7:26" ht="15" x14ac:dyDescent="0.25">
      <c r="G109" s="21"/>
      <c r="H109" s="21">
        <f t="shared" si="27"/>
        <v>2.2193813979407353</v>
      </c>
      <c r="I109">
        <f t="shared" si="21"/>
        <v>0.32295977333853459</v>
      </c>
      <c r="J109">
        <f t="shared" si="22"/>
        <v>0.98423986062996116</v>
      </c>
      <c r="K109">
        <f t="shared" si="15"/>
        <v>115.66723505224996</v>
      </c>
      <c r="L109">
        <f>0.5*Z109*K109/J109/$B$7</f>
        <v>58.75967824459849</v>
      </c>
      <c r="M109">
        <f t="shared" si="19"/>
        <v>1.588565083191491E-2</v>
      </c>
      <c r="N109" s="21">
        <f t="shared" si="23"/>
        <v>1.1417323023422144E-2</v>
      </c>
      <c r="O109" s="21">
        <f t="shared" si="24"/>
        <v>2.7721847914819566</v>
      </c>
      <c r="P109">
        <f t="shared" si="20"/>
        <v>2.336099589967985E-2</v>
      </c>
      <c r="Q109">
        <f t="shared" si="16"/>
        <v>0.98423986062996116</v>
      </c>
      <c r="R109">
        <f t="shared" si="17"/>
        <v>-0.31742005661436967</v>
      </c>
      <c r="T109" s="21">
        <f>(M109-M108)/(H109-H108)</f>
        <v>3.6446382473846453E-3</v>
      </c>
      <c r="W109" s="25"/>
      <c r="X109" s="25"/>
      <c r="Y109">
        <v>1</v>
      </c>
      <c r="Z109">
        <f t="shared" si="18"/>
        <v>1</v>
      </c>
    </row>
    <row r="110" spans="7:26" ht="15" x14ac:dyDescent="0.25">
      <c r="G110" s="21"/>
      <c r="H110" s="21">
        <f t="shared" si="27"/>
        <v>2.4413195377348091</v>
      </c>
      <c r="I110">
        <f t="shared" si="21"/>
        <v>0.30136039005663501</v>
      </c>
      <c r="J110">
        <f t="shared" si="22"/>
        <v>0.98347963350117495</v>
      </c>
      <c r="K110">
        <f t="shared" si="15"/>
        <v>112.93774292369704</v>
      </c>
      <c r="L110">
        <f>0.5*Z110*K110/J110/$B$7</f>
        <v>57.417428422813451</v>
      </c>
      <c r="M110">
        <f t="shared" si="19"/>
        <v>1.6658349551299405E-2</v>
      </c>
      <c r="N110" s="21">
        <f t="shared" si="23"/>
        <v>1.1688484079574365E-2</v>
      </c>
      <c r="O110" s="21">
        <f t="shared" si="24"/>
        <v>2.8390681558587425</v>
      </c>
      <c r="P110">
        <f t="shared" si="20"/>
        <v>2.4487868094234328E-2</v>
      </c>
      <c r="Q110">
        <f t="shared" si="16"/>
        <v>0.98347963350117495</v>
      </c>
      <c r="R110">
        <f t="shared" si="17"/>
        <v>-0.31814526167131163</v>
      </c>
      <c r="T110" s="21">
        <f>(M110-M109)/(H110-H109)</f>
        <v>3.4815950070656923E-3</v>
      </c>
      <c r="W110" s="25"/>
      <c r="X110" s="25"/>
      <c r="Y110">
        <v>1</v>
      </c>
      <c r="Z110">
        <f t="shared" si="18"/>
        <v>1</v>
      </c>
    </row>
    <row r="111" spans="7:26" ht="15" x14ac:dyDescent="0.25">
      <c r="G111" s="21"/>
      <c r="H111" s="21">
        <f t="shared" si="27"/>
        <v>2.6854514915082901</v>
      </c>
      <c r="I111">
        <f t="shared" si="21"/>
        <v>0.28119276288991002</v>
      </c>
      <c r="J111">
        <f t="shared" si="22"/>
        <v>0.98268143439354816</v>
      </c>
      <c r="K111">
        <f t="shared" si="15"/>
        <v>110.26841193315268</v>
      </c>
      <c r="L111">
        <f>0.5*Z111*K111/J111/$B$7</f>
        <v>56.105879318460772</v>
      </c>
      <c r="M111">
        <f t="shared" si="19"/>
        <v>1.7470286237983929E-2</v>
      </c>
      <c r="N111" s="21">
        <f t="shared" si="23"/>
        <v>1.1966486548782157E-2</v>
      </c>
      <c r="O111" s="21">
        <f t="shared" si="24"/>
        <v>2.9077162944500192</v>
      </c>
      <c r="P111">
        <f t="shared" si="20"/>
        <v>2.5671025529748388E-2</v>
      </c>
      <c r="Q111">
        <f t="shared" si="16"/>
        <v>0.98268143439354816</v>
      </c>
      <c r="R111">
        <f t="shared" si="17"/>
        <v>-0.31891026412974849</v>
      </c>
      <c r="T111" s="21">
        <f>(M111-M110)/(H111-H110)</f>
        <v>3.3258107926252205E-3</v>
      </c>
      <c r="W111" s="25"/>
      <c r="X111" s="25"/>
      <c r="Y111">
        <v>1</v>
      </c>
      <c r="Z111">
        <f t="shared" si="18"/>
        <v>1</v>
      </c>
    </row>
    <row r="112" spans="7:26" ht="15" x14ac:dyDescent="0.25">
      <c r="G112" s="21"/>
      <c r="H112" s="21">
        <f t="shared" si="27"/>
        <v>2.9539966406591192</v>
      </c>
      <c r="I112">
        <f t="shared" si="21"/>
        <v>0.26236636038470168</v>
      </c>
      <c r="J112">
        <f t="shared" si="22"/>
        <v>0.98184340039668794</v>
      </c>
      <c r="K112">
        <f t="shared" si="15"/>
        <v>107.6583474249346</v>
      </c>
      <c r="L112">
        <f>0.5*Z112*K112/J112/$B$7</f>
        <v>54.824602060490548</v>
      </c>
      <c r="M112">
        <f t="shared" si="19"/>
        <v>1.8323453408846439E-2</v>
      </c>
      <c r="N112" s="21">
        <f t="shared" si="23"/>
        <v>1.2251477865168966E-2</v>
      </c>
      <c r="O112" s="21">
        <f t="shared" si="24"/>
        <v>2.9781735078316891</v>
      </c>
      <c r="P112">
        <f t="shared" si="20"/>
        <v>2.6913229567719157E-2</v>
      </c>
      <c r="Q112">
        <f t="shared" si="16"/>
        <v>0.98184340039668794</v>
      </c>
      <c r="R112">
        <f t="shared" si="17"/>
        <v>-0.31971741377819368</v>
      </c>
      <c r="T112" s="21">
        <f>(M112-M111)/(H112-H111)</f>
        <v>3.1769971401841507E-3</v>
      </c>
      <c r="W112" s="25"/>
      <c r="X112" s="25"/>
      <c r="Y112">
        <v>1</v>
      </c>
      <c r="Z112">
        <f t="shared" si="18"/>
        <v>1</v>
      </c>
    </row>
    <row r="113" spans="7:27" ht="15" x14ac:dyDescent="0.25">
      <c r="G113" s="21"/>
      <c r="H113" s="21">
        <f t="shared" si="27"/>
        <v>3.2493963047250314</v>
      </c>
      <c r="I113">
        <f t="shared" si="21"/>
        <v>0.24479566360096425</v>
      </c>
      <c r="J113">
        <f t="shared" si="22"/>
        <v>0.98096357186812333</v>
      </c>
      <c r="K113">
        <f t="shared" si="15"/>
        <v>105.10661829915918</v>
      </c>
      <c r="L113">
        <f>0.5*Z113*K113/J113/$B$7</f>
        <v>53.573150580401609</v>
      </c>
      <c r="M113">
        <f t="shared" si="19"/>
        <v>1.921995377788361E-2</v>
      </c>
      <c r="N113" s="21">
        <f t="shared" si="23"/>
        <v>1.2543610825579431E-2</v>
      </c>
      <c r="O113" s="21">
        <f t="shared" si="24"/>
        <v>3.0504860646242058</v>
      </c>
      <c r="P113">
        <f t="shared" si="20"/>
        <v>2.8217384954015635E-2</v>
      </c>
      <c r="Q113">
        <f t="shared" si="16"/>
        <v>0.98096357186812333</v>
      </c>
      <c r="R113">
        <f t="shared" si="17"/>
        <v>-0.32056922586043157</v>
      </c>
      <c r="T113" s="21">
        <f>(M113-M112)/(H113-H112)</f>
        <v>3.0348726762165009E-3</v>
      </c>
      <c r="W113" s="25"/>
      <c r="X113" s="25"/>
      <c r="Y113">
        <v>1</v>
      </c>
      <c r="Z113">
        <f t="shared" si="18"/>
        <v>1</v>
      </c>
    </row>
    <row r="114" spans="7:27" ht="15" x14ac:dyDescent="0.25">
      <c r="G114" s="21"/>
      <c r="H114" s="21">
        <f t="shared" si="27"/>
        <v>3.574335935197535</v>
      </c>
      <c r="I114">
        <f t="shared" si="21"/>
        <v>0.22840000371030061</v>
      </c>
      <c r="J114">
        <f t="shared" si="22"/>
        <v>0.98003988719373947</v>
      </c>
      <c r="K114">
        <f t="shared" si="15"/>
        <v>102.61226410112175</v>
      </c>
      <c r="L114">
        <f>0.5*Z114*K114/J114/$B$7</f>
        <v>52.351065217836798</v>
      </c>
      <c r="M114">
        <f t="shared" si="19"/>
        <v>2.0162006927690053E-2</v>
      </c>
      <c r="N114" s="21">
        <f t="shared" si="23"/>
        <v>1.2843043681744716E-2</v>
      </c>
      <c r="O114" s="21">
        <f t="shared" si="24"/>
        <v>3.1247022774297495</v>
      </c>
      <c r="P114">
        <f t="shared" si="20"/>
        <v>2.9586547585400743E-2</v>
      </c>
      <c r="Q114">
        <f t="shared" si="16"/>
        <v>0.98003988719373947</v>
      </c>
      <c r="R114">
        <f t="shared" si="17"/>
        <v>-0.32146839519000503</v>
      </c>
      <c r="T114" s="21">
        <f>(M114-M113)/(H114-H113)</f>
        <v>2.8991636029024161E-3</v>
      </c>
      <c r="W114" s="25"/>
      <c r="X114" s="25"/>
      <c r="Y114">
        <v>1</v>
      </c>
      <c r="Z114">
        <f t="shared" si="18"/>
        <v>1</v>
      </c>
    </row>
    <row r="115" spans="7:27" ht="15" x14ac:dyDescent="0.25">
      <c r="G115" s="21"/>
      <c r="H115" s="21">
        <f t="shared" si="27"/>
        <v>3.9317695287172887</v>
      </c>
      <c r="I115">
        <f t="shared" si="21"/>
        <v>0.21310338433472809</v>
      </c>
      <c r="J115">
        <f t="shared" si="22"/>
        <v>0.97907017722667167</v>
      </c>
      <c r="K115">
        <f t="shared" si="15"/>
        <v>100.17430131769912</v>
      </c>
      <c r="L115">
        <f>0.5*Z115*K115/J115/$B$7</f>
        <v>51.157875935642473</v>
      </c>
      <c r="M115">
        <f t="shared" si="19"/>
        <v>2.1151956460257706E-2</v>
      </c>
      <c r="N115" s="21">
        <f t="shared" si="23"/>
        <v>1.3149940243282685E-2</v>
      </c>
      <c r="O115" s="21">
        <f t="shared" si="24"/>
        <v>3.2008725858837326</v>
      </c>
      <c r="P115">
        <f t="shared" si="20"/>
        <v>3.1023932752667318E-2</v>
      </c>
      <c r="Q115">
        <f t="shared" si="16"/>
        <v>0.97907017722667167</v>
      </c>
      <c r="R115">
        <f t="shared" si="17"/>
        <v>-0.32241781175323281</v>
      </c>
      <c r="T115" s="21">
        <f>(M115-M114)/(H115-H114)</f>
        <v>2.7696040621681063E-3</v>
      </c>
      <c r="W115" s="25"/>
      <c r="X115" s="25"/>
      <c r="Y115">
        <v>1</v>
      </c>
      <c r="Z115">
        <f t="shared" si="18"/>
        <v>1</v>
      </c>
    </row>
    <row r="116" spans="7:27" ht="15" x14ac:dyDescent="0.25">
      <c r="G116" s="21"/>
      <c r="H116" s="21">
        <f t="shared" si="27"/>
        <v>4.3249464815890182</v>
      </c>
      <c r="I116">
        <f t="shared" si="21"/>
        <v>0.19883429331467214</v>
      </c>
      <c r="J116">
        <f t="shared" si="22"/>
        <v>0.97805215938045253</v>
      </c>
      <c r="K116">
        <f t="shared" si="15"/>
        <v>97.791728954666468</v>
      </c>
      <c r="L116">
        <f>0.5*Z116*K116/J116/$B$7</f>
        <v>49.993105181942788</v>
      </c>
      <c r="M116">
        <f t="shared" si="19"/>
        <v>2.2192277669608372E-2</v>
      </c>
      <c r="N116" s="21">
        <f t="shared" si="23"/>
        <v>1.3464469992465884E-2</v>
      </c>
      <c r="O116" s="21">
        <f t="shared" si="24"/>
        <v>3.279049647455599</v>
      </c>
      <c r="P116">
        <f t="shared" si="20"/>
        <v>3.2532923896269619E-2</v>
      </c>
      <c r="Q116">
        <f t="shared" si="16"/>
        <v>0.97805215938045253</v>
      </c>
      <c r="R116">
        <f t="shared" si="17"/>
        <v>-0.32342057798971252</v>
      </c>
      <c r="T116" s="21">
        <f>(M116-M115)/(H116-H115)</f>
        <v>2.6459363951835224E-3</v>
      </c>
      <c r="W116" s="25"/>
      <c r="X116" s="25"/>
      <c r="Y116">
        <v>1</v>
      </c>
      <c r="Z116">
        <f t="shared" si="18"/>
        <v>1</v>
      </c>
    </row>
    <row r="117" spans="7:27" ht="15" x14ac:dyDescent="0.25">
      <c r="G117" s="21"/>
      <c r="H117" s="21">
        <f t="shared" si="27"/>
        <v>4.75744112974792</v>
      </c>
      <c r="I117">
        <f t="shared" si="21"/>
        <v>0.18552550781580457</v>
      </c>
      <c r="J117">
        <f t="shared" si="22"/>
        <v>0.97698343135006427</v>
      </c>
      <c r="K117">
        <f t="shared" si="15"/>
        <v>95.463533463958626</v>
      </c>
      <c r="L117">
        <f>0.5*Z117*K117/J117/$B$7</f>
        <v>48.856270434412799</v>
      </c>
      <c r="M117">
        <f t="shared" si="19"/>
        <v>2.3285585783191263E-2</v>
      </c>
      <c r="N117" s="21">
        <f t="shared" si="23"/>
        <v>1.3786808211720687E-2</v>
      </c>
      <c r="O117" s="21">
        <f t="shared" si="24"/>
        <v>3.3592884366828972</v>
      </c>
      <c r="P117">
        <f t="shared" si="20"/>
        <v>3.411708191350378E-2</v>
      </c>
      <c r="Q117">
        <f t="shared" si="16"/>
        <v>0.97698343135006427</v>
      </c>
      <c r="R117">
        <f t="shared" si="17"/>
        <v>-0.32448002796711994</v>
      </c>
      <c r="T117" s="21">
        <f>(M117-M116)/(H117-H116)</f>
        <v>2.5279113122833397E-3</v>
      </c>
      <c r="W117" s="25"/>
      <c r="X117" s="25"/>
      <c r="Y117">
        <v>1</v>
      </c>
      <c r="Z117">
        <f t="shared" si="18"/>
        <v>1</v>
      </c>
    </row>
    <row r="118" spans="7:27" ht="15" x14ac:dyDescent="0.25">
      <c r="G118" s="21"/>
      <c r="H118" s="21">
        <f t="shared" si="27"/>
        <v>5.2331852427227128</v>
      </c>
      <c r="I118">
        <f t="shared" si="21"/>
        <v>0.17311389600555871</v>
      </c>
      <c r="J118">
        <f t="shared" si="22"/>
        <v>0.97586146443216137</v>
      </c>
      <c r="K118">
        <f t="shared" si="15"/>
        <v>93.18869308493727</v>
      </c>
      <c r="L118">
        <f>0.5*Z118*K118/J118/$B$7</f>
        <v>47.746886459525442</v>
      </c>
      <c r="M118">
        <f t="shared" si="19"/>
        <v>2.4434644823951711E-2</v>
      </c>
      <c r="N118" s="21">
        <f t="shared" si="23"/>
        <v>1.4117136124873019E-2</v>
      </c>
      <c r="O118" s="21">
        <f t="shared" si="24"/>
        <v>3.4416463535816724</v>
      </c>
      <c r="P118">
        <f t="shared" si="20"/>
        <v>3.5780155059832279E-2</v>
      </c>
      <c r="Q118">
        <f t="shared" si="16"/>
        <v>0.97586146443216137</v>
      </c>
      <c r="R118">
        <f t="shared" si="17"/>
        <v>-0.32559974869970187</v>
      </c>
      <c r="T118" s="21">
        <f>(M118-M117)/(H118-H117)</f>
        <v>2.4152879865931851E-3</v>
      </c>
      <c r="W118" s="25"/>
      <c r="X118" s="25"/>
      <c r="Y118">
        <v>1</v>
      </c>
      <c r="Z118">
        <f t="shared" si="18"/>
        <v>1</v>
      </c>
    </row>
    <row r="119" spans="7:27" ht="15" x14ac:dyDescent="0.25">
      <c r="G119" s="21"/>
      <c r="H119" s="21">
        <f t="shared" si="27"/>
        <v>5.7565037669949843</v>
      </c>
      <c r="I119">
        <f t="shared" si="21"/>
        <v>0.16154021794259418</v>
      </c>
      <c r="J119">
        <f t="shared" si="22"/>
        <v>0.97468359641305735</v>
      </c>
      <c r="K119">
        <f t="shared" si="15"/>
        <v>90.966181658780528</v>
      </c>
      <c r="L119">
        <f>0.5*Z119*K119/J119/$B$7</f>
        <v>46.664467317161211</v>
      </c>
      <c r="M119">
        <f t="shared" si="19"/>
        <v>2.5642377150591922E-2</v>
      </c>
      <c r="N119" s="21">
        <f t="shared" si="23"/>
        <v>1.4455641053229858E-2</v>
      </c>
      <c r="O119" s="21">
        <f t="shared" si="24"/>
        <v>3.526183342046012</v>
      </c>
      <c r="P119">
        <f t="shared" si="20"/>
        <v>3.7526089490904767E-2</v>
      </c>
      <c r="Q119">
        <f t="shared" si="16"/>
        <v>0.97468359641305735</v>
      </c>
      <c r="R119">
        <f t="shared" si="17"/>
        <v>-0.32678360389808442</v>
      </c>
      <c r="T119" s="21">
        <f>(M119-M118)/(H119-H118)</f>
        <v>2.307834083113506E-3</v>
      </c>
      <c r="W119" s="25"/>
      <c r="X119" s="25"/>
      <c r="Y119">
        <v>1</v>
      </c>
      <c r="Z119">
        <f t="shared" si="18"/>
        <v>1</v>
      </c>
    </row>
    <row r="120" spans="7:27" ht="15" x14ac:dyDescent="0.25">
      <c r="G120" s="21"/>
      <c r="H120" s="21">
        <f t="shared" si="27"/>
        <v>6.332154143694483</v>
      </c>
      <c r="I120">
        <f t="shared" si="21"/>
        <v>0.15074892781720567</v>
      </c>
      <c r="J120">
        <f t="shared" si="22"/>
        <v>0.97344702399008287</v>
      </c>
      <c r="K120">
        <f t="shared" si="15"/>
        <v>88.794971970286184</v>
      </c>
      <c r="L120">
        <f>0.5*Z120*K120/J120/$B$7</f>
        <v>45.608528138656467</v>
      </c>
      <c r="M120">
        <f t="shared" si="19"/>
        <v>2.6911873739883747E-2</v>
      </c>
      <c r="N120" s="21">
        <f t="shared" si="23"/>
        <v>1.480251658768224E-2</v>
      </c>
      <c r="O120" s="21">
        <f t="shared" si="24"/>
        <v>3.6129620191310319</v>
      </c>
      <c r="P120">
        <f t="shared" si="20"/>
        <v>3.9359040496254404E-2</v>
      </c>
      <c r="Q120">
        <f t="shared" si="16"/>
        <v>0.97344702399008287</v>
      </c>
      <c r="R120">
        <f t="shared" si="17"/>
        <v>-0.32803576048298733</v>
      </c>
      <c r="T120" s="21">
        <f>(M120-M119)/(H120-H119)</f>
        <v>2.2053257335998043E-3</v>
      </c>
      <c r="W120" s="25"/>
      <c r="X120" s="25"/>
      <c r="Y120">
        <v>1</v>
      </c>
      <c r="Z120">
        <f t="shared" si="18"/>
        <v>1</v>
      </c>
    </row>
    <row r="121" spans="7:27" ht="15" x14ac:dyDescent="0.25">
      <c r="G121" s="21"/>
      <c r="H121" s="21">
        <f t="shared" si="27"/>
        <v>6.9653695580639319</v>
      </c>
      <c r="I121">
        <f t="shared" si="21"/>
        <v>0.14068797924878235</v>
      </c>
      <c r="J121">
        <f t="shared" si="22"/>
        <v>0.9721487946885784</v>
      </c>
      <c r="K121">
        <f t="shared" si="15"/>
        <v>86.674038666740415</v>
      </c>
      <c r="L121">
        <f>0.5*Z121*K121/J121/$B$7</f>
        <v>44.578586704160799</v>
      </c>
      <c r="M121">
        <f t="shared" si="19"/>
        <v>2.8246405282064228E-2</v>
      </c>
      <c r="N121" s="21">
        <f t="shared" si="23"/>
        <v>1.5157962778135584E-2</v>
      </c>
      <c r="O121" s="21">
        <f t="shared" si="24"/>
        <v>3.7020478162078501</v>
      </c>
      <c r="P121">
        <f t="shared" si="20"/>
        <v>4.1283384480606852E-2</v>
      </c>
      <c r="Q121">
        <f t="shared" si="16"/>
        <v>0.9721487946885784</v>
      </c>
      <c r="R121">
        <f t="shared" si="17"/>
        <v>-0.32936071824848923</v>
      </c>
      <c r="T121" s="21">
        <f>(M121-M120)/(H121-H120)</f>
        <v>2.1075474663063871E-3</v>
      </c>
      <c r="W121" s="25"/>
      <c r="X121" s="25"/>
      <c r="Y121">
        <v>1</v>
      </c>
      <c r="Z121">
        <f t="shared" si="18"/>
        <v>1</v>
      </c>
    </row>
    <row r="122" spans="7:27" ht="15" x14ac:dyDescent="0.25">
      <c r="G122" s="21"/>
      <c r="H122" s="21">
        <f t="shared" si="27"/>
        <v>7.661906513870326</v>
      </c>
      <c r="I122">
        <f t="shared" si="21"/>
        <v>0.13130863497950607</v>
      </c>
      <c r="J122">
        <f t="shared" si="22"/>
        <v>0.97078579823303246</v>
      </c>
      <c r="K122">
        <f t="shared" si="15"/>
        <v>84.602360799097681</v>
      </c>
      <c r="L122">
        <f>0.5*Z122*K122/J122/$B$7</f>
        <v>43.574164843102338</v>
      </c>
      <c r="M122">
        <f t="shared" si="19"/>
        <v>2.9649434168469983E-2</v>
      </c>
      <c r="N122" s="21">
        <f t="shared" si="23"/>
        <v>1.5522186341719413E-2</v>
      </c>
      <c r="O122" s="21">
        <f t="shared" si="24"/>
        <v>3.7935091330875683</v>
      </c>
      <c r="P122">
        <f t="shared" si="20"/>
        <v>4.3303731754300419E-2</v>
      </c>
      <c r="Q122">
        <f t="shared" si="16"/>
        <v>0.97078579823303246</v>
      </c>
      <c r="R122">
        <f t="shared" si="17"/>
        <v>-0.33076334312327699</v>
      </c>
      <c r="T122" s="21">
        <f>(M122-M121)/(H122-H121)</f>
        <v>2.0142920985167854E-3</v>
      </c>
      <c r="W122" s="25"/>
      <c r="X122" s="25"/>
      <c r="Y122">
        <v>1</v>
      </c>
      <c r="Z122">
        <f t="shared" si="18"/>
        <v>1</v>
      </c>
    </row>
    <row r="123" spans="7:27" ht="15" x14ac:dyDescent="0.25">
      <c r="G123" s="21"/>
      <c r="H123" s="21">
        <f t="shared" si="27"/>
        <v>8.4280971652573591</v>
      </c>
      <c r="I123">
        <f t="shared" si="21"/>
        <v>0.12256528199359146</v>
      </c>
      <c r="J123">
        <f t="shared" si="22"/>
        <v>0.96935475732666221</v>
      </c>
      <c r="K123">
        <f t="shared" si="15"/>
        <v>82.578924026576104</v>
      </c>
      <c r="L123">
        <f>0.5*Z123*K123/J123/$B$7</f>
        <v>42.594789679640414</v>
      </c>
      <c r="M123">
        <f t="shared" si="19"/>
        <v>3.1124627459789143E-2</v>
      </c>
      <c r="N123" s="21">
        <f t="shared" si="23"/>
        <v>1.5895400891402109E-2</v>
      </c>
      <c r="O123" s="21">
        <f t="shared" si="24"/>
        <v>3.8874175063356735</v>
      </c>
      <c r="P123">
        <f t="shared" si="20"/>
        <v>4.5424940200562182E-2</v>
      </c>
      <c r="Q123">
        <f t="shared" si="16"/>
        <v>0.96935475732666221</v>
      </c>
      <c r="R123">
        <f t="shared" si="17"/>
        <v>-0.33224890455285705</v>
      </c>
      <c r="T123" s="21">
        <f>(M123-M122)/(H123-H122)</f>
        <v>1.9253605987604005E-3</v>
      </c>
      <c r="W123" s="25"/>
      <c r="X123" s="25"/>
      <c r="Y123">
        <v>1</v>
      </c>
      <c r="Z123">
        <f t="shared" si="18"/>
        <v>1</v>
      </c>
    </row>
    <row r="124" spans="7:27" x14ac:dyDescent="0.2">
      <c r="G124" s="21"/>
      <c r="H124" s="21">
        <f t="shared" si="27"/>
        <v>9.2709068817830964</v>
      </c>
      <c r="I124">
        <f t="shared" si="21"/>
        <v>0.11441525283128964</v>
      </c>
      <c r="J124">
        <f t="shared" si="22"/>
        <v>0.96785221778899233</v>
      </c>
      <c r="K124">
        <f t="shared" si="15"/>
        <v>80.602722521908973</v>
      </c>
      <c r="L124">
        <f>0.5*Z124*K124/J124/$B$7</f>
        <v>41.639994743227263</v>
      </c>
      <c r="M124">
        <f t="shared" si="19"/>
        <v>3.2675870933795273E-2</v>
      </c>
      <c r="N124" s="21">
        <f t="shared" si="23"/>
        <v>1.6277827186841624E-2</v>
      </c>
      <c r="O124" s="21">
        <f t="shared" si="24"/>
        <v>3.9838477931406331</v>
      </c>
      <c r="P124">
        <f t="shared" si="20"/>
        <v>4.7652129894413711E-2</v>
      </c>
      <c r="Q124">
        <f t="shared" si="16"/>
        <v>0.96785221778899233</v>
      </c>
      <c r="R124">
        <f t="shared" si="17"/>
        <v>-0.33382311761450595</v>
      </c>
      <c r="T124" s="21">
        <f>(M124-M123)/(H124-H123)</f>
        <v>1.840561924701967E-3</v>
      </c>
      <c r="Y124">
        <v>1</v>
      </c>
      <c r="Z124">
        <f t="shared" si="18"/>
        <v>1</v>
      </c>
    </row>
    <row r="125" spans="7:27" x14ac:dyDescent="0.2">
      <c r="G125" s="21"/>
      <c r="H125" s="21">
        <v>10</v>
      </c>
      <c r="I125">
        <f t="shared" si="21"/>
        <v>0.10681865364995292</v>
      </c>
      <c r="J125">
        <f t="shared" si="22"/>
        <v>0.96661441437686335</v>
      </c>
      <c r="K125">
        <f t="shared" si="15"/>
        <v>79.076834088487985</v>
      </c>
      <c r="L125">
        <f>0.5*Z125*K125/J125/$B$7</f>
        <v>40.904021765217301</v>
      </c>
      <c r="M125">
        <f t="shared" si="19"/>
        <v>3.3955607229556456E-2</v>
      </c>
      <c r="N125" s="21">
        <f t="shared" si="23"/>
        <v>1.6586078149857762E-2</v>
      </c>
      <c r="O125" s="21">
        <f t="shared" si="24"/>
        <v>4.0617285384140089</v>
      </c>
      <c r="P125">
        <f t="shared" si="20"/>
        <v>4.9486905574781456E-2</v>
      </c>
      <c r="Q125">
        <f t="shared" si="16"/>
        <v>0.96661441437686335</v>
      </c>
      <c r="R125">
        <f t="shared" si="17"/>
        <v>-0.33513121658432682</v>
      </c>
      <c r="T125" s="21">
        <f>(M125-M124)/(H125-H124)</f>
        <v>1.7552439651206037E-3</v>
      </c>
      <c r="W125">
        <v>10</v>
      </c>
      <c r="X125">
        <v>3.639265</v>
      </c>
      <c r="Y125">
        <v>1</v>
      </c>
      <c r="Z125">
        <f>Y125</f>
        <v>1</v>
      </c>
      <c r="AA125" s="21">
        <f>IF(X125&gt;$B$8+$B$9,0,ABS(X125-O125)/X125)</f>
        <v>0.11608485186267253</v>
      </c>
    </row>
    <row r="126" spans="7:27" x14ac:dyDescent="0.2">
      <c r="G126" s="21"/>
      <c r="H126" s="21">
        <v>11</v>
      </c>
      <c r="I126">
        <f t="shared" si="21"/>
        <v>0.10119333375961533</v>
      </c>
      <c r="J126">
        <f t="shared" si="22"/>
        <v>0.96497388633749837</v>
      </c>
      <c r="K126">
        <f t="shared" si="15"/>
        <v>77.181653537164763</v>
      </c>
      <c r="L126">
        <f>0.5*Z126*K126/J126/$B$7</f>
        <v>39.991576264360475</v>
      </c>
      <c r="M126">
        <f t="shared" si="19"/>
        <v>3.5654238799458046E-2</v>
      </c>
      <c r="N126" s="21">
        <f t="shared" si="23"/>
        <v>1.6985769403086458E-2</v>
      </c>
      <c r="O126" s="21">
        <f t="shared" si="24"/>
        <v>4.1629218721736239</v>
      </c>
      <c r="P126">
        <f t="shared" si="20"/>
        <v>5.1918633359738335E-2</v>
      </c>
      <c r="Q126">
        <f t="shared" si="16"/>
        <v>0.96497388633749837</v>
      </c>
      <c r="R126">
        <f t="shared" si="17"/>
        <v>-0.33688079102342477</v>
      </c>
      <c r="T126" s="21">
        <f>(M126-M125)/(H126-H125)</f>
        <v>1.6986315699015903E-3</v>
      </c>
      <c r="W126">
        <v>11</v>
      </c>
      <c r="X126">
        <v>3.7447269999999993</v>
      </c>
      <c r="Y126">
        <v>1</v>
      </c>
      <c r="Z126">
        <f t="shared" ref="Z126:Z189" si="28">Y126</f>
        <v>1</v>
      </c>
      <c r="AA126" s="21">
        <f>IF(X126&gt;$B$8+$B$9,0,ABS(X126-O126)/X126)</f>
        <v>0.11167566345253598</v>
      </c>
    </row>
    <row r="127" spans="7:27" x14ac:dyDescent="0.2">
      <c r="G127" s="21"/>
      <c r="H127" s="21">
        <v>12</v>
      </c>
      <c r="I127">
        <f t="shared" si="21"/>
        <v>9.4491833304114689E-2</v>
      </c>
      <c r="J127">
        <f t="shared" si="22"/>
        <v>0.96340937433430807</v>
      </c>
      <c r="K127">
        <f t="shared" si="15"/>
        <v>75.495492533369983</v>
      </c>
      <c r="L127">
        <f>0.5*Z127*K127/J127/$B$7</f>
        <v>39.181418898656396</v>
      </c>
      <c r="M127">
        <f t="shared" si="19"/>
        <v>3.7276854363865894E-2</v>
      </c>
      <c r="N127" s="21">
        <f t="shared" si="23"/>
        <v>1.7358128614353957E-2</v>
      </c>
      <c r="O127" s="21">
        <f t="shared" si="24"/>
        <v>4.2574137054777381</v>
      </c>
      <c r="P127">
        <f t="shared" si="20"/>
        <v>5.4237683822008345E-2</v>
      </c>
      <c r="Q127">
        <f t="shared" si="16"/>
        <v>0.96340937433430807</v>
      </c>
      <c r="R127">
        <f t="shared" si="17"/>
        <v>-0.33856639923608539</v>
      </c>
      <c r="T127" s="21">
        <f>(M127-M126)/(H127-H126)</f>
        <v>1.6226155644078477E-3</v>
      </c>
      <c r="W127">
        <v>12</v>
      </c>
      <c r="X127">
        <v>3.8453210000000002</v>
      </c>
      <c r="Y127">
        <v>1</v>
      </c>
      <c r="Z127">
        <f t="shared" si="28"/>
        <v>1</v>
      </c>
      <c r="AA127" s="21">
        <f>IF(X127&gt;$B$8+$B$9,0,ABS(X127-O127)/X127)</f>
        <v>0.10716730943339656</v>
      </c>
    </row>
    <row r="128" spans="7:27" x14ac:dyDescent="0.2">
      <c r="G128" s="21"/>
      <c r="H128" s="21">
        <v>13</v>
      </c>
      <c r="I128">
        <f t="shared" si="21"/>
        <v>8.8789608150717542E-2</v>
      </c>
      <c r="J128">
        <f t="shared" si="22"/>
        <v>0.96191077670457303</v>
      </c>
      <c r="K128">
        <f t="shared" si="15"/>
        <v>73.979772338901412</v>
      </c>
      <c r="L128">
        <f>0.5*Z128*K128/J128/$B$7</f>
        <v>38.454591699424562</v>
      </c>
      <c r="M128">
        <f t="shared" si="19"/>
        <v>3.8833580326109264E-2</v>
      </c>
      <c r="N128" s="21">
        <f t="shared" si="23"/>
        <v>1.7707244650868707E-2</v>
      </c>
      <c r="O128" s="21">
        <f t="shared" si="24"/>
        <v>4.3462033136284557</v>
      </c>
      <c r="P128">
        <f t="shared" si="20"/>
        <v>5.6459030490430794E-2</v>
      </c>
      <c r="Q128">
        <f t="shared" si="16"/>
        <v>0.96191077670457303</v>
      </c>
      <c r="R128">
        <f t="shared" si="17"/>
        <v>-0.34019688444825674</v>
      </c>
      <c r="T128" s="21">
        <f>(M128-M127)/(H128-H127)</f>
        <v>1.5567259622433702E-3</v>
      </c>
      <c r="W128">
        <v>13</v>
      </c>
      <c r="X128">
        <v>3.9248239999999992</v>
      </c>
      <c r="Y128">
        <v>1</v>
      </c>
      <c r="Z128">
        <f t="shared" si="28"/>
        <v>1</v>
      </c>
      <c r="AA128" s="21">
        <f>IF(X128&gt;$B$8+$B$9,0,ABS(X128-O128)/X128)</f>
        <v>0.10736260113280406</v>
      </c>
    </row>
    <row r="129" spans="7:27" x14ac:dyDescent="0.2">
      <c r="G129" s="21"/>
      <c r="H129" s="21">
        <v>14</v>
      </c>
      <c r="I129">
        <f t="shared" si="21"/>
        <v>8.3868447304933924E-2</v>
      </c>
      <c r="J129">
        <f t="shared" si="22"/>
        <v>0.9604700649063872</v>
      </c>
      <c r="K129">
        <f t="shared" si="15"/>
        <v>72.605494894498122</v>
      </c>
      <c r="L129">
        <f>0.5*Z129*K129/J129/$B$7</f>
        <v>37.796854658648137</v>
      </c>
      <c r="M129">
        <f t="shared" si="19"/>
        <v>4.033246341600713E-2</v>
      </c>
      <c r="N129" s="21">
        <f t="shared" si="23"/>
        <v>1.8036312253522476E-2</v>
      </c>
      <c r="O129" s="21">
        <f t="shared" si="24"/>
        <v>4.4300717609333899</v>
      </c>
      <c r="P129">
        <f t="shared" si="20"/>
        <v>5.8594573940891827E-2</v>
      </c>
      <c r="Q129">
        <f t="shared" si="16"/>
        <v>0.9604700649063872</v>
      </c>
      <c r="R129">
        <f t="shared" si="17"/>
        <v>-0.34177926447225315</v>
      </c>
      <c r="T129" s="21">
        <f>(M129-M128)/(H129-H128)</f>
        <v>1.4988830898978664E-3</v>
      </c>
      <c r="W129">
        <v>14</v>
      </c>
      <c r="X129">
        <v>4.0091929999999998</v>
      </c>
      <c r="Y129">
        <v>1</v>
      </c>
      <c r="Z129">
        <f t="shared" si="28"/>
        <v>1</v>
      </c>
      <c r="AA129" s="21">
        <f>IF(X129&gt;$B$8+$B$9,0,ABS(X129-O129)/X129)</f>
        <v>0.10497842357137463</v>
      </c>
    </row>
    <row r="130" spans="7:27" x14ac:dyDescent="0.2">
      <c r="G130" s="21"/>
      <c r="H130" s="21">
        <v>15</v>
      </c>
      <c r="I130">
        <f t="shared" si="21"/>
        <v>7.9570766760843431E-2</v>
      </c>
      <c r="J130">
        <f t="shared" si="22"/>
        <v>0.95908072960018464</v>
      </c>
      <c r="K130">
        <f t="shared" si="15"/>
        <v>71.350336152969703</v>
      </c>
      <c r="L130">
        <f>0.5*Z130*K130/J130/$B$7</f>
        <v>37.197252510074811</v>
      </c>
      <c r="M130">
        <f t="shared" si="19"/>
        <v>4.1780026619631885E-2</v>
      </c>
      <c r="N130" s="21">
        <f t="shared" si="23"/>
        <v>1.8347880640404057E-2</v>
      </c>
      <c r="O130" s="21">
        <f t="shared" si="24"/>
        <v>4.5096425276942336</v>
      </c>
      <c r="P130">
        <f t="shared" si="20"/>
        <v>6.0653962860584984E-2</v>
      </c>
      <c r="Q130">
        <f t="shared" si="16"/>
        <v>0.95908072960018464</v>
      </c>
      <c r="R130">
        <f t="shared" si="17"/>
        <v>-0.34331922127317593</v>
      </c>
      <c r="T130" s="21">
        <f>(M130-M129)/(H130-H129)</f>
        <v>1.4475632036247549E-3</v>
      </c>
      <c r="W130">
        <v>15</v>
      </c>
      <c r="X130">
        <v>4.0984309999999997</v>
      </c>
      <c r="Y130">
        <v>1</v>
      </c>
      <c r="Z130">
        <f t="shared" si="28"/>
        <v>1</v>
      </c>
      <c r="AA130" s="21">
        <f>IF(X130&gt;$B$8+$B$9,0,ABS(X130-O130)/X130)</f>
        <v>0.10033389062649435</v>
      </c>
    </row>
    <row r="131" spans="7:27" x14ac:dyDescent="0.2">
      <c r="G131" s="21"/>
      <c r="H131" s="21">
        <v>16</v>
      </c>
      <c r="I131">
        <f t="shared" si="21"/>
        <v>7.5779646068363016E-2</v>
      </c>
      <c r="J131">
        <f t="shared" si="22"/>
        <v>0.95773740431199972</v>
      </c>
      <c r="K131">
        <f t="shared" ref="K131:K194" si="29">IF(O131&lt;$B$8+$B$9,0.5*(($B$8+$B$9)^2+O131^2)/O131-$B$9,$B$8)</f>
        <v>70.196760415280792</v>
      </c>
      <c r="L131">
        <f>0.5*Z131*K131/J131/$B$7</f>
        <v>36.64718538674353</v>
      </c>
      <c r="M131">
        <f t="shared" si="19"/>
        <v>4.318164681962567E-2</v>
      </c>
      <c r="N131" s="21">
        <f t="shared" si="23"/>
        <v>1.8644020213573864E-2</v>
      </c>
      <c r="O131" s="21">
        <f t="shared" si="24"/>
        <v>4.5854221737625966</v>
      </c>
      <c r="P131">
        <f t="shared" si="20"/>
        <v>6.2645151885783859E-2</v>
      </c>
      <c r="Q131">
        <f t="shared" ref="Q131:Q194" si="30">1-B$15*P131</f>
        <v>0.95773740431199972</v>
      </c>
      <c r="R131">
        <f t="shared" ref="R131:R194" si="31">$E$15/(P131+$E$16)</f>
        <v>-0.34482143317337449</v>
      </c>
      <c r="T131" s="21">
        <f>(M131-M130)/(H131-H130)</f>
        <v>1.4016201999937847E-3</v>
      </c>
      <c r="W131">
        <v>16</v>
      </c>
      <c r="X131">
        <v>4.1649529999999988</v>
      </c>
      <c r="Y131">
        <v>1</v>
      </c>
      <c r="Z131">
        <f t="shared" si="28"/>
        <v>1</v>
      </c>
      <c r="AA131" s="21">
        <f>IF(X131&gt;$B$8+$B$9,0,ABS(X131-O131)/X131)</f>
        <v>0.1009541221143667</v>
      </c>
    </row>
    <row r="132" spans="7:27" x14ac:dyDescent="0.2">
      <c r="G132" s="21"/>
      <c r="H132" s="21">
        <v>17</v>
      </c>
      <c r="I132">
        <f t="shared" si="21"/>
        <v>7.2406334168351585E-2</v>
      </c>
      <c r="J132">
        <f t="shared" si="22"/>
        <v>0.95643560150777207</v>
      </c>
      <c r="K132">
        <f t="shared" si="29"/>
        <v>69.130754198567388</v>
      </c>
      <c r="L132">
        <f>0.5*Z132*K132/J132/$B$7</f>
        <v>36.13978509874908</v>
      </c>
      <c r="M132">
        <f t="shared" ref="M132:M195" si="32">-LN(J132)</f>
        <v>4.4541819594993287E-2</v>
      </c>
      <c r="N132" s="21">
        <f t="shared" si="23"/>
        <v>1.8926438019139683E-2</v>
      </c>
      <c r="O132" s="21">
        <f t="shared" si="24"/>
        <v>4.6578285079309483</v>
      </c>
      <c r="P132">
        <f t="shared" ref="P132:P195" si="33">MIN(O132/(K132+$B$9),1)</f>
        <v>6.4574792814567003E-2</v>
      </c>
      <c r="Q132">
        <f t="shared" si="30"/>
        <v>0.95643560150777207</v>
      </c>
      <c r="R132">
        <f t="shared" si="31"/>
        <v>-0.34628980756079714</v>
      </c>
      <c r="T132" s="21">
        <f>(M132-M131)/(H132-H131)</f>
        <v>1.3601727753676171E-3</v>
      </c>
      <c r="W132">
        <v>17</v>
      </c>
      <c r="X132">
        <v>4.2541899999999995</v>
      </c>
      <c r="Y132">
        <v>1</v>
      </c>
      <c r="Z132">
        <f t="shared" si="28"/>
        <v>1</v>
      </c>
      <c r="AA132" s="21">
        <f>IF(X132&gt;$B$8+$B$9,0,ABS(X132-O132)/X132)</f>
        <v>9.4880225831697418E-2</v>
      </c>
    </row>
    <row r="133" spans="7:27" x14ac:dyDescent="0.2">
      <c r="G133" s="21"/>
      <c r="H133" s="21">
        <v>18</v>
      </c>
      <c r="I133">
        <f t="shared" ref="I133:I196" si="34">IF(P132&lt;0.999,MAX(0,MIN(10000000,(L132/$E$8/M132^$E$10)^(1/$E$9)/N132)),0.1)</f>
        <v>6.938213543039648E-2</v>
      </c>
      <c r="J133">
        <f t="shared" ref="J133:J196" si="35">Q133</f>
        <v>0.95517152247323667</v>
      </c>
      <c r="K133">
        <f t="shared" si="29"/>
        <v>68.140950891544165</v>
      </c>
      <c r="L133">
        <f>0.5*Z133*K133/J133/$B$7</f>
        <v>35.669484112709945</v>
      </c>
      <c r="M133">
        <f t="shared" si="32"/>
        <v>4.586434994437965E-2</v>
      </c>
      <c r="N133" s="21">
        <f t="shared" ref="N133:N196" si="36">-$B$15*(O133-2*(K133+$B$9))/(K133+$B$9)^2/J133</f>
        <v>1.9196559932361652E-2</v>
      </c>
      <c r="O133" s="21">
        <f t="shared" ref="O133:O196" si="37">O132+I133*(H133-H132)</f>
        <v>4.727210643361345</v>
      </c>
      <c r="P133">
        <f t="shared" si="33"/>
        <v>6.6448516418737141E-2</v>
      </c>
      <c r="Q133">
        <f t="shared" si="30"/>
        <v>0.95517152247323667</v>
      </c>
      <c r="R133">
        <f t="shared" si="31"/>
        <v>-0.34772764834149944</v>
      </c>
      <c r="T133" s="21">
        <f>(M133-M132)/(H133-H132)</f>
        <v>1.3225303493863624E-3</v>
      </c>
      <c r="W133">
        <v>18</v>
      </c>
      <c r="X133">
        <v>4.3158449999999995</v>
      </c>
      <c r="Y133">
        <v>1</v>
      </c>
      <c r="Z133">
        <f t="shared" si="28"/>
        <v>1</v>
      </c>
      <c r="AA133" s="21">
        <f>IF(X133&gt;$B$8+$B$9,0,ABS(X133-O133)/X133)</f>
        <v>9.5315203247879746E-2</v>
      </c>
    </row>
    <row r="134" spans="7:27" x14ac:dyDescent="0.2">
      <c r="G134" s="21"/>
      <c r="H134" s="21">
        <v>19</v>
      </c>
      <c r="I134">
        <f t="shared" si="34"/>
        <v>6.6652972133881785E-2</v>
      </c>
      <c r="J134">
        <f t="shared" si="35"/>
        <v>0.95394191717803989</v>
      </c>
      <c r="K134">
        <f t="shared" si="29"/>
        <v>67.21801018575924</v>
      </c>
      <c r="L134">
        <f>0.5*Z134*K134/J134/$B$7</f>
        <v>35.23171011533082</v>
      </c>
      <c r="M134">
        <f t="shared" si="32"/>
        <v>4.7152492848497797E-2</v>
      </c>
      <c r="N134" s="21">
        <f t="shared" si="36"/>
        <v>1.9455590547583931E-2</v>
      </c>
      <c r="O134" s="21">
        <f t="shared" si="37"/>
        <v>4.7938636154952272</v>
      </c>
      <c r="P134">
        <f t="shared" si="33"/>
        <v>6.8271140164941041E-2</v>
      </c>
      <c r="Q134">
        <f t="shared" si="30"/>
        <v>0.95394191717803989</v>
      </c>
      <c r="R134">
        <f t="shared" si="31"/>
        <v>-0.34913777924248246</v>
      </c>
      <c r="T134" s="21">
        <f>(M134-M133)/(H134-H133)</f>
        <v>1.2881429041181475E-3</v>
      </c>
      <c r="W134">
        <v>19</v>
      </c>
      <c r="X134">
        <v>4.3807449999999992</v>
      </c>
      <c r="Y134">
        <v>1</v>
      </c>
      <c r="Z134">
        <f t="shared" si="28"/>
        <v>1</v>
      </c>
      <c r="AA134" s="21">
        <f>IF(X134&gt;$B$8+$B$9,0,ABS(X134-O134)/X134)</f>
        <v>9.4303278436710672E-2</v>
      </c>
    </row>
    <row r="135" spans="7:27" x14ac:dyDescent="0.2">
      <c r="G135" s="21"/>
      <c r="H135" s="21">
        <v>20</v>
      </c>
      <c r="I135">
        <f t="shared" si="34"/>
        <v>6.4175640652521321E-2</v>
      </c>
      <c r="J135">
        <f t="shared" si="35"/>
        <v>0.95274397890562046</v>
      </c>
      <c r="K135">
        <f t="shared" si="29"/>
        <v>66.354168408739042</v>
      </c>
      <c r="L135">
        <f>0.5*Z135*K135/J135/$B$7</f>
        <v>34.822664786062184</v>
      </c>
      <c r="M135">
        <f t="shared" si="32"/>
        <v>4.8409058948351527E-2</v>
      </c>
      <c r="N135" s="21">
        <f t="shared" si="36"/>
        <v>1.9704557720244032E-2</v>
      </c>
      <c r="O135" s="21">
        <f t="shared" si="37"/>
        <v>4.8580392561477481</v>
      </c>
      <c r="P135">
        <f t="shared" si="33"/>
        <v>7.0046824403067975E-2</v>
      </c>
      <c r="Q135">
        <f t="shared" si="30"/>
        <v>0.95274397890562046</v>
      </c>
      <c r="R135">
        <f t="shared" si="31"/>
        <v>-0.35052263643582682</v>
      </c>
      <c r="T135" s="21">
        <f>(M135-M134)/(H135-H134)</f>
        <v>1.2565660998537301E-3</v>
      </c>
      <c r="W135">
        <v>20</v>
      </c>
      <c r="X135">
        <v>4.4553799999999999</v>
      </c>
      <c r="Y135">
        <v>1</v>
      </c>
      <c r="Z135">
        <f t="shared" si="28"/>
        <v>1</v>
      </c>
      <c r="AA135" s="21">
        <f>IF(X135&gt;$B$8+$B$9,0,ABS(X135-O135)/X135)</f>
        <v>9.0375962577321847E-2</v>
      </c>
    </row>
    <row r="136" spans="7:27" x14ac:dyDescent="0.2">
      <c r="G136" s="21"/>
      <c r="H136" s="21">
        <v>21</v>
      </c>
      <c r="I136">
        <f t="shared" si="34"/>
        <v>6.1915172365518439E-2</v>
      </c>
      <c r="J136">
        <f t="shared" si="35"/>
        <v>0.95157526363075973</v>
      </c>
      <c r="K136">
        <f t="shared" si="29"/>
        <v>65.542906380380572</v>
      </c>
      <c r="L136">
        <f>0.5*Z136*K136/J136/$B$7</f>
        <v>34.439160456052598</v>
      </c>
      <c r="M136">
        <f t="shared" si="32"/>
        <v>4.9636495394392299E-2</v>
      </c>
      <c r="N136" s="21">
        <f t="shared" si="36"/>
        <v>1.9944346291696821E-2</v>
      </c>
      <c r="O136" s="21">
        <f t="shared" si="37"/>
        <v>4.9199544285132664</v>
      </c>
      <c r="P136">
        <f t="shared" si="33"/>
        <v>7.1779191871582687E-2</v>
      </c>
      <c r="Q136">
        <f t="shared" si="30"/>
        <v>0.95157526363075973</v>
      </c>
      <c r="R136">
        <f t="shared" si="31"/>
        <v>-0.3518843393439241</v>
      </c>
      <c r="T136" s="21">
        <f>(M136-M135)/(H136-H135)</f>
        <v>1.2274364460407722E-3</v>
      </c>
      <c r="W136">
        <v>21</v>
      </c>
      <c r="X136">
        <v>4.5089220000000001</v>
      </c>
      <c r="Y136">
        <v>1</v>
      </c>
      <c r="Z136">
        <f t="shared" si="28"/>
        <v>1</v>
      </c>
      <c r="AA136" s="21">
        <f>IF(X136&gt;$B$8+$B$9,0,ABS(X136-O136)/X136)</f>
        <v>9.1159800172472771E-2</v>
      </c>
    </row>
    <row r="137" spans="7:27" x14ac:dyDescent="0.2">
      <c r="G137" s="21"/>
      <c r="H137" s="21">
        <v>22</v>
      </c>
      <c r="I137">
        <f t="shared" si="34"/>
        <v>5.9842934411688219E-2</v>
      </c>
      <c r="J137">
        <f t="shared" si="35"/>
        <v>0.95043362737553683</v>
      </c>
      <c r="K137">
        <f t="shared" si="29"/>
        <v>64.778699872568225</v>
      </c>
      <c r="L137">
        <f>0.5*Z137*K137/J137/$B$7</f>
        <v>34.078497438818403</v>
      </c>
      <c r="M137">
        <f t="shared" si="32"/>
        <v>5.0836948660116787E-2</v>
      </c>
      <c r="N137" s="21">
        <f t="shared" si="36"/>
        <v>2.0175724030684759E-2</v>
      </c>
      <c r="O137" s="21">
        <f t="shared" si="37"/>
        <v>4.9797973629249546</v>
      </c>
      <c r="P137">
        <f t="shared" si="33"/>
        <v>7.3471420553766126E-2</v>
      </c>
      <c r="Q137">
        <f t="shared" si="30"/>
        <v>0.95043362737553683</v>
      </c>
      <c r="R137">
        <f t="shared" si="31"/>
        <v>-0.35322474560735423</v>
      </c>
      <c r="T137" s="21">
        <f>(M137-M136)/(H137-H136)</f>
        <v>1.2004532657244882E-3</v>
      </c>
      <c r="W137">
        <v>22</v>
      </c>
      <c r="X137">
        <v>4.5673319999999986</v>
      </c>
      <c r="Y137">
        <v>1</v>
      </c>
      <c r="Z137">
        <f t="shared" si="28"/>
        <v>1</v>
      </c>
      <c r="AA137" s="21">
        <f>IF(X137&gt;$B$8+$B$9,0,ABS(X137-O137)/X137)</f>
        <v>9.0307725150034213E-2</v>
      </c>
    </row>
    <row r="138" spans="7:27" x14ac:dyDescent="0.2">
      <c r="G138" s="21"/>
      <c r="H138" s="21">
        <v>23</v>
      </c>
      <c r="I138">
        <f t="shared" si="34"/>
        <v>5.7935237581479698E-2</v>
      </c>
      <c r="J138">
        <f t="shared" si="35"/>
        <v>0.94931717686332862</v>
      </c>
      <c r="K138">
        <f t="shared" si="29"/>
        <v>64.056829265440328</v>
      </c>
      <c r="L138">
        <f>0.5*Z138*K138/J138/$B$7</f>
        <v>33.738370497567892</v>
      </c>
      <c r="M138">
        <f t="shared" si="32"/>
        <v>5.2012314016717194E-2</v>
      </c>
      <c r="N138" s="21">
        <f t="shared" si="36"/>
        <v>2.0399361870747149E-2</v>
      </c>
      <c r="O138" s="21">
        <f t="shared" si="37"/>
        <v>5.037732600506434</v>
      </c>
      <c r="P138">
        <f t="shared" si="33"/>
        <v>7.5126316822480221E-2</v>
      </c>
      <c r="Q138">
        <f t="shared" si="30"/>
        <v>0.94931717686332862</v>
      </c>
      <c r="R138">
        <f t="shared" si="31"/>
        <v>-0.35454549434781796</v>
      </c>
      <c r="T138" s="21">
        <f>(M138-M137)/(H138-H137)</f>
        <v>1.1753653566004066E-3</v>
      </c>
      <c r="W138">
        <v>23</v>
      </c>
      <c r="X138">
        <v>4.6192510000000002</v>
      </c>
      <c r="Y138">
        <v>1</v>
      </c>
      <c r="Z138">
        <f t="shared" si="28"/>
        <v>1</v>
      </c>
      <c r="AA138" s="21">
        <f>IF(X138&gt;$B$8+$B$9,0,ABS(X138-O138)/X138)</f>
        <v>9.0595120400782242E-2</v>
      </c>
    </row>
    <row r="139" spans="7:27" x14ac:dyDescent="0.2">
      <c r="G139" s="21"/>
      <c r="H139" s="21">
        <v>24</v>
      </c>
      <c r="I139">
        <f t="shared" si="34"/>
        <v>5.6172299090274012E-2</v>
      </c>
      <c r="J139">
        <f t="shared" si="35"/>
        <v>0.94822423016814594</v>
      </c>
      <c r="K139">
        <f t="shared" si="29"/>
        <v>63.373232368322277</v>
      </c>
      <c r="L139">
        <f>0.5*Z139*K139/J139/$B$7</f>
        <v>33.416796550898347</v>
      </c>
      <c r="M139">
        <f t="shared" si="32"/>
        <v>5.3164274982623549E-2</v>
      </c>
      <c r="N139" s="21">
        <f t="shared" si="36"/>
        <v>2.0615849898391016E-2</v>
      </c>
      <c r="O139" s="21">
        <f t="shared" si="37"/>
        <v>5.0939048995967084</v>
      </c>
      <c r="P139">
        <f t="shared" si="33"/>
        <v>7.6746373769011417E-2</v>
      </c>
      <c r="Q139">
        <f t="shared" si="30"/>
        <v>0.94822423016814594</v>
      </c>
      <c r="R139">
        <f t="shared" si="31"/>
        <v>-0.35584804063995679</v>
      </c>
      <c r="T139" s="21">
        <f>(M139-M138)/(H139-H138)</f>
        <v>1.1519609659063554E-3</v>
      </c>
      <c r="W139">
        <v>24</v>
      </c>
      <c r="X139">
        <v>4.6776609999999987</v>
      </c>
      <c r="Y139">
        <v>1</v>
      </c>
      <c r="Z139">
        <f t="shared" si="28"/>
        <v>1</v>
      </c>
      <c r="AA139" s="21">
        <f>IF(X139&gt;$B$8+$B$9,0,ABS(X139-O139)/X139)</f>
        <v>8.8985477912296301E-2</v>
      </c>
    </row>
    <row r="140" spans="7:27" x14ac:dyDescent="0.2">
      <c r="G140" s="21"/>
      <c r="H140" s="21">
        <v>25</v>
      </c>
      <c r="I140">
        <f t="shared" si="34"/>
        <v>5.4537458317667424E-2</v>
      </c>
      <c r="J140">
        <f t="shared" si="35"/>
        <v>0.94715328498589246</v>
      </c>
      <c r="K140">
        <f t="shared" si="29"/>
        <v>62.724389209916268</v>
      </c>
      <c r="L140">
        <f>0.5*Z140*K140/J140/$B$7</f>
        <v>33.11205810306118</v>
      </c>
      <c r="M140">
        <f t="shared" si="32"/>
        <v>5.4294335129122712E-2</v>
      </c>
      <c r="N140" s="21">
        <f t="shared" si="36"/>
        <v>2.0825710128899586E-2</v>
      </c>
      <c r="O140" s="21">
        <f t="shared" si="37"/>
        <v>5.1484423579143757</v>
      </c>
      <c r="P140">
        <f t="shared" si="33"/>
        <v>7.8333818234062741E-2</v>
      </c>
      <c r="Q140">
        <f t="shared" si="30"/>
        <v>0.94715328498589246</v>
      </c>
      <c r="R140">
        <f t="shared" si="31"/>
        <v>-0.35713368328449063</v>
      </c>
      <c r="T140" s="21">
        <f>(M140-M139)/(H140-H139)</f>
        <v>1.1300601464991622E-3</v>
      </c>
      <c r="W140">
        <v>25</v>
      </c>
      <c r="X140">
        <v>4.7344479999999987</v>
      </c>
      <c r="Y140">
        <v>1</v>
      </c>
      <c r="Z140">
        <f t="shared" si="28"/>
        <v>1</v>
      </c>
      <c r="AA140" s="21">
        <f>IF(X140&gt;$B$8+$B$9,0,ABS(X140-O140)/X140)</f>
        <v>8.7443004530702861E-2</v>
      </c>
    </row>
    <row r="141" spans="7:27" x14ac:dyDescent="0.2">
      <c r="G141" s="21"/>
      <c r="H141" s="21">
        <v>26</v>
      </c>
      <c r="I141">
        <f t="shared" si="34"/>
        <v>5.3016575887801114E-2</v>
      </c>
      <c r="J141">
        <f t="shared" si="35"/>
        <v>0.94610299279379029</v>
      </c>
      <c r="K141">
        <f t="shared" si="29"/>
        <v>62.107230842341011</v>
      </c>
      <c r="L141">
        <f>0.5*Z141*K141/J141/$B$7</f>
        <v>32.822658481896227</v>
      </c>
      <c r="M141">
        <f t="shared" si="32"/>
        <v>5.5403843981328658E-2</v>
      </c>
      <c r="N141" s="21">
        <f t="shared" si="36"/>
        <v>2.1029406821162257E-2</v>
      </c>
      <c r="O141" s="21">
        <f t="shared" si="37"/>
        <v>5.2014589338021766</v>
      </c>
      <c r="P141">
        <f t="shared" si="33"/>
        <v>7.9890649110813144E-2</v>
      </c>
      <c r="Q141">
        <f t="shared" si="30"/>
        <v>0.94610299279379029</v>
      </c>
      <c r="R141">
        <f t="shared" si="31"/>
        <v>-0.35840358741011147</v>
      </c>
      <c r="T141" s="21">
        <f>(M141-M140)/(H141-H140)</f>
        <v>1.1095088522059468E-3</v>
      </c>
      <c r="W141">
        <v>26</v>
      </c>
      <c r="X141">
        <v>4.7863679999999995</v>
      </c>
      <c r="Y141">
        <v>1</v>
      </c>
      <c r="Z141">
        <f t="shared" si="28"/>
        <v>1</v>
      </c>
      <c r="AA141" s="21">
        <f>IF(X141&gt;$B$8+$B$9,0,ABS(X141-O141)/X141)</f>
        <v>8.6723572822268807E-2</v>
      </c>
    </row>
    <row r="142" spans="7:27" x14ac:dyDescent="0.2">
      <c r="G142" s="21"/>
      <c r="H142" s="21">
        <v>27</v>
      </c>
      <c r="I142">
        <f t="shared" si="34"/>
        <v>5.1597567642518043E-2</v>
      </c>
      <c r="J142">
        <f t="shared" si="35"/>
        <v>0.94507213761258613</v>
      </c>
      <c r="K142">
        <f t="shared" si="29"/>
        <v>61.519066415995113</v>
      </c>
      <c r="L142">
        <f>0.5*Z142*K142/J142/$B$7</f>
        <v>32.547286057656294</v>
      </c>
      <c r="M142">
        <f t="shared" si="32"/>
        <v>5.649401830387122E-2</v>
      </c>
      <c r="N142" s="21">
        <f t="shared" si="36"/>
        <v>2.1227354884276604E-2</v>
      </c>
      <c r="O142" s="21">
        <f t="shared" si="37"/>
        <v>5.2530565014446946</v>
      </c>
      <c r="P142">
        <f t="shared" si="33"/>
        <v>8.1418668825350426E-2</v>
      </c>
      <c r="Q142">
        <f t="shared" si="30"/>
        <v>0.94507213761258613</v>
      </c>
      <c r="R142">
        <f t="shared" si="31"/>
        <v>-0.35965880303580033</v>
      </c>
      <c r="T142" s="21">
        <f>(M142-M141)/(H142-H141)</f>
        <v>1.0901743225425614E-3</v>
      </c>
      <c r="W142">
        <v>27</v>
      </c>
      <c r="X142">
        <v>4.8382879999999986</v>
      </c>
      <c r="Y142">
        <v>1</v>
      </c>
      <c r="Z142">
        <f t="shared" si="28"/>
        <v>1</v>
      </c>
      <c r="AA142" s="21">
        <f>IF(X142&gt;$B$8+$B$9,0,ABS(X142-O142)/X142)</f>
        <v>8.5726294392705876E-2</v>
      </c>
    </row>
    <row r="143" spans="7:27" x14ac:dyDescent="0.2">
      <c r="G143" s="21"/>
      <c r="H143" s="21">
        <v>28</v>
      </c>
      <c r="I143">
        <f t="shared" si="34"/>
        <v>5.027003922828982E-2</v>
      </c>
      <c r="J143">
        <f t="shared" si="35"/>
        <v>0.94405961840566066</v>
      </c>
      <c r="K143">
        <f t="shared" si="29"/>
        <v>60.9575243193418</v>
      </c>
      <c r="L143">
        <f>0.5*Z143*K143/J143/$B$7</f>
        <v>32.284785373135442</v>
      </c>
      <c r="M143">
        <f t="shared" si="32"/>
        <v>5.7565959740092917E-2</v>
      </c>
      <c r="N143" s="21">
        <f t="shared" si="36"/>
        <v>2.141992678814883E-2</v>
      </c>
      <c r="O143" s="21">
        <f t="shared" si="37"/>
        <v>5.3033265406729848</v>
      </c>
      <c r="P143">
        <f t="shared" si="33"/>
        <v>8.2919509426182911E-2</v>
      </c>
      <c r="Q143">
        <f t="shared" si="30"/>
        <v>0.94405961840566066</v>
      </c>
      <c r="R143">
        <f t="shared" si="31"/>
        <v>-0.36090028044338657</v>
      </c>
      <c r="T143" s="21">
        <f>(M143-M142)/(H143-H142)</f>
        <v>1.0719414362216975E-3</v>
      </c>
      <c r="W143">
        <v>28</v>
      </c>
      <c r="X143">
        <v>4.8950749999999985</v>
      </c>
      <c r="Y143">
        <v>1</v>
      </c>
      <c r="Z143">
        <f t="shared" si="28"/>
        <v>1</v>
      </c>
      <c r="AA143" s="21">
        <f>IF(X143&gt;$B$8+$B$9,0,ABS(X143-O143)/X143)</f>
        <v>8.3400466933190281E-2</v>
      </c>
    </row>
    <row r="144" spans="7:27" x14ac:dyDescent="0.2">
      <c r="G144" s="21"/>
      <c r="H144" s="21">
        <v>29</v>
      </c>
      <c r="I144">
        <f t="shared" si="34"/>
        <v>4.9024996672223833E-2</v>
      </c>
      <c r="J144">
        <f t="shared" si="35"/>
        <v>0.94306443438028176</v>
      </c>
      <c r="K144">
        <f t="shared" si="29"/>
        <v>60.420504262698145</v>
      </c>
      <c r="L144">
        <f>0.5*Z144*K144/J144/$B$7</f>
        <v>32.034133649840385</v>
      </c>
      <c r="M144">
        <f t="shared" si="32"/>
        <v>5.8620669541670979E-2</v>
      </c>
      <c r="N144" s="21">
        <f t="shared" si="36"/>
        <v>2.1607458289385047E-2</v>
      </c>
      <c r="O144" s="21">
        <f t="shared" si="37"/>
        <v>5.3523515373452089</v>
      </c>
      <c r="P144">
        <f t="shared" si="33"/>
        <v>8.4394654371950276E-2</v>
      </c>
      <c r="Q144">
        <f t="shared" si="30"/>
        <v>0.94306443438028176</v>
      </c>
      <c r="R144">
        <f t="shared" si="31"/>
        <v>-0.36212888300642021</v>
      </c>
      <c r="T144" s="21">
        <f>(M144-M143)/(H144-H143)</f>
        <v>1.0547098015780618E-3</v>
      </c>
      <c r="W144">
        <v>29</v>
      </c>
      <c r="X144">
        <v>4.9405049999999999</v>
      </c>
      <c r="Y144">
        <v>1</v>
      </c>
      <c r="Z144">
        <f t="shared" si="28"/>
        <v>1</v>
      </c>
      <c r="AA144" s="21">
        <f>IF(X144&gt;$B$8+$B$9,0,ABS(X144-O144)/X144)</f>
        <v>8.3361222657442696E-2</v>
      </c>
    </row>
    <row r="145" spans="7:27" x14ac:dyDescent="0.2">
      <c r="G145" s="21"/>
      <c r="H145" s="21">
        <v>30</v>
      </c>
      <c r="I145">
        <f t="shared" si="34"/>
        <v>4.7854615010538039E-2</v>
      </c>
      <c r="J145">
        <f t="shared" si="35"/>
        <v>0.94208567262573284</v>
      </c>
      <c r="K145">
        <f t="shared" si="29"/>
        <v>59.906137962118265</v>
      </c>
      <c r="L145">
        <f>0.5*Z145*K145/J145/$B$7</f>
        <v>31.794421517499014</v>
      </c>
      <c r="M145">
        <f t="shared" si="32"/>
        <v>5.9659060955551277E-2</v>
      </c>
      <c r="N145" s="21">
        <f t="shared" si="36"/>
        <v>2.1790253210253959E-2</v>
      </c>
      <c r="O145" s="21">
        <f t="shared" si="37"/>
        <v>5.4002061523557465</v>
      </c>
      <c r="P145">
        <f t="shared" si="33"/>
        <v>8.5845456855223282E-2</v>
      </c>
      <c r="Q145">
        <f t="shared" si="30"/>
        <v>0.94208567262573284</v>
      </c>
      <c r="R145">
        <f t="shared" si="31"/>
        <v>-0.3633453979720952</v>
      </c>
      <c r="T145" s="21">
        <f>(M145-M144)/(H145-H144)</f>
        <v>1.0383914138802977E-3</v>
      </c>
      <c r="W145">
        <v>30</v>
      </c>
      <c r="X145">
        <v>4.9972919999999998</v>
      </c>
      <c r="Y145">
        <v>1</v>
      </c>
      <c r="Z145">
        <f t="shared" si="28"/>
        <v>1</v>
      </c>
      <c r="AA145" s="21">
        <f>IF(X145&gt;$B$8+$B$9,0,ABS(X145-O145)/X145)</f>
        <v>8.0626497782348261E-2</v>
      </c>
    </row>
    <row r="146" spans="7:27" x14ac:dyDescent="0.2">
      <c r="G146" s="21"/>
      <c r="H146" s="21">
        <v>31</v>
      </c>
      <c r="I146">
        <f t="shared" si="34"/>
        <v>4.6752051736905484E-2</v>
      </c>
      <c r="J146">
        <f t="shared" si="35"/>
        <v>0.9411224976489112</v>
      </c>
      <c r="K146">
        <f t="shared" si="29"/>
        <v>59.412756643355998</v>
      </c>
      <c r="L146">
        <f>0.5*Z146*K146/J146/$B$7</f>
        <v>31.564837091759824</v>
      </c>
      <c r="M146">
        <f t="shared" si="32"/>
        <v>6.0681969708825632E-2</v>
      </c>
      <c r="N146" s="21">
        <f t="shared" si="36"/>
        <v>2.1968587454276205E-2</v>
      </c>
      <c r="O146" s="21">
        <f t="shared" si="37"/>
        <v>5.4469582040926516</v>
      </c>
      <c r="P146">
        <f t="shared" si="33"/>
        <v>8.7273155313714129E-2</v>
      </c>
      <c r="Q146">
        <f t="shared" si="30"/>
        <v>0.9411224976489112</v>
      </c>
      <c r="R146">
        <f t="shared" si="31"/>
        <v>-0.36455054558213168</v>
      </c>
      <c r="T146" s="21">
        <f>(M146-M145)/(H146-H145)</f>
        <v>1.0229087532743555E-3</v>
      </c>
      <c r="W146">
        <v>31</v>
      </c>
      <c r="X146">
        <v>5.0378549999999986</v>
      </c>
      <c r="Y146">
        <v>1</v>
      </c>
      <c r="Z146">
        <f t="shared" si="28"/>
        <v>1</v>
      </c>
      <c r="AA146" s="21">
        <f>IF(X146&gt;$B$8+$B$9,0,ABS(X146-O146)/X146)</f>
        <v>8.1205831468482745E-2</v>
      </c>
    </row>
    <row r="147" spans="7:27" x14ac:dyDescent="0.2">
      <c r="G147" s="21"/>
      <c r="H147" s="21">
        <v>32</v>
      </c>
      <c r="I147">
        <f t="shared" si="34"/>
        <v>4.5711295193093214E-2</v>
      </c>
      <c r="J147">
        <f t="shared" si="35"/>
        <v>0.94017414246255193</v>
      </c>
      <c r="K147">
        <f t="shared" si="29"/>
        <v>58.938864000179173</v>
      </c>
      <c r="L147">
        <f>0.5*Z147*K147/J147/$B$7</f>
        <v>31.344652728803784</v>
      </c>
      <c r="M147">
        <f t="shared" si="32"/>
        <v>6.1690162937335313E-2</v>
      </c>
      <c r="N147" s="21">
        <f t="shared" si="36"/>
        <v>2.2142712401522671E-2</v>
      </c>
      <c r="O147" s="21">
        <f t="shared" si="37"/>
        <v>5.4926694992857445</v>
      </c>
      <c r="P147">
        <f t="shared" si="33"/>
        <v>8.8678886640056159E-2</v>
      </c>
      <c r="Q147">
        <f t="shared" si="30"/>
        <v>0.94017414246255193</v>
      </c>
      <c r="R147">
        <f t="shared" si="31"/>
        <v>-0.36574498683530582</v>
      </c>
      <c r="T147" s="21">
        <f>(M147-M146)/(H147-H146)</f>
        <v>1.0081932285096809E-3</v>
      </c>
      <c r="W147">
        <v>32</v>
      </c>
      <c r="X147">
        <v>5.1059989999999988</v>
      </c>
      <c r="Y147">
        <v>1</v>
      </c>
      <c r="Z147">
        <f t="shared" si="28"/>
        <v>1</v>
      </c>
      <c r="AA147" s="21">
        <f>IF(X147&gt;$B$8+$B$9,0,ABS(X147-O147)/X147)</f>
        <v>7.5728667257033505E-2</v>
      </c>
    </row>
    <row r="148" spans="7:27" x14ac:dyDescent="0.2">
      <c r="G148" s="21"/>
      <c r="H148" s="21">
        <v>33</v>
      </c>
      <c r="I148">
        <f t="shared" si="34"/>
        <v>4.4727040448193471E-2</v>
      </c>
      <c r="J148">
        <f t="shared" si="35"/>
        <v>0.93923990095303378</v>
      </c>
      <c r="K148">
        <f t="shared" si="29"/>
        <v>58.483113549149401</v>
      </c>
      <c r="L148">
        <f>0.5*Z148*K148/J148/$B$7</f>
        <v>31.133213937039617</v>
      </c>
      <c r="M148">
        <f t="shared" si="32"/>
        <v>6.268434683176953E-2</v>
      </c>
      <c r="N148" s="21">
        <f t="shared" si="36"/>
        <v>2.2312857796167526E-2</v>
      </c>
      <c r="O148" s="21">
        <f t="shared" si="37"/>
        <v>5.5373965397339378</v>
      </c>
      <c r="P148">
        <f t="shared" si="33"/>
        <v>9.0063697494879816E-2</v>
      </c>
      <c r="Q148">
        <f t="shared" si="30"/>
        <v>0.93923990095303378</v>
      </c>
      <c r="R148">
        <f t="shared" si="31"/>
        <v>-0.36692933013115969</v>
      </c>
      <c r="T148" s="21">
        <f>(M148-M147)/(H148-H147)</f>
        <v>9.9418389443421684E-4</v>
      </c>
      <c r="W148">
        <v>33</v>
      </c>
      <c r="X148">
        <v>5.1157339999999998</v>
      </c>
      <c r="Y148">
        <v>1</v>
      </c>
      <c r="Z148">
        <f t="shared" si="28"/>
        <v>1</v>
      </c>
      <c r="AA148" s="21">
        <f>IF(X148&gt;$B$8+$B$9,0,ABS(X148-O148)/X148)</f>
        <v>8.242464126045998E-2</v>
      </c>
    </row>
    <row r="149" spans="7:27" x14ac:dyDescent="0.2">
      <c r="G149" s="21"/>
      <c r="H149" s="21">
        <v>34</v>
      </c>
      <c r="I149">
        <f t="shared" si="34"/>
        <v>4.3794586984883345E-2</v>
      </c>
      <c r="J149">
        <f t="shared" si="35"/>
        <v>0.93831912130979245</v>
      </c>
      <c r="K149">
        <f t="shared" si="29"/>
        <v>58.044289554151085</v>
      </c>
      <c r="L149">
        <f>0.5*Z149*K149/J149/$B$7</f>
        <v>30.929930039754229</v>
      </c>
      <c r="M149">
        <f t="shared" si="32"/>
        <v>6.3665173219798615E-2</v>
      </c>
      <c r="N149" s="21">
        <f t="shared" si="36"/>
        <v>2.2479234215567453E-2</v>
      </c>
      <c r="O149" s="21">
        <f t="shared" si="37"/>
        <v>5.5811911267188208</v>
      </c>
      <c r="P149">
        <f t="shared" si="33"/>
        <v>9.1428554046285776E-2</v>
      </c>
      <c r="Q149">
        <f t="shared" si="30"/>
        <v>0.93831912130979245</v>
      </c>
      <c r="R149">
        <f t="shared" si="31"/>
        <v>-0.36810413698601019</v>
      </c>
      <c r="T149" s="21">
        <f>(M149-M148)/(H149-H148)</f>
        <v>9.8082638802908517E-4</v>
      </c>
      <c r="W149">
        <v>34</v>
      </c>
      <c r="X149">
        <v>5.1790120000000002</v>
      </c>
      <c r="Y149">
        <v>1</v>
      </c>
      <c r="Z149">
        <f t="shared" si="28"/>
        <v>1</v>
      </c>
      <c r="AA149" s="21">
        <f>IF(X149&gt;$B$8+$B$9,0,ABS(X149-O149)/X149)</f>
        <v>7.7655569579452716E-2</v>
      </c>
    </row>
    <row r="150" spans="7:27" x14ac:dyDescent="0.2">
      <c r="G150" s="21"/>
      <c r="H150" s="21">
        <v>35</v>
      </c>
      <c r="I150">
        <f t="shared" si="34"/>
        <v>4.2909753821197577E-2</v>
      </c>
      <c r="J150">
        <f t="shared" si="35"/>
        <v>0.93741120034098846</v>
      </c>
      <c r="K150">
        <f t="shared" si="29"/>
        <v>57.621290869254274</v>
      </c>
      <c r="L150">
        <f>0.5*Z150*K150/J150/$B$7</f>
        <v>30.734266268791227</v>
      </c>
      <c r="M150">
        <f t="shared" si="32"/>
        <v>6.4633245260038191E-2</v>
      </c>
      <c r="N150" s="21">
        <f t="shared" si="36"/>
        <v>2.2642035192233279E-2</v>
      </c>
      <c r="O150" s="21">
        <f t="shared" si="37"/>
        <v>5.6241008805400181</v>
      </c>
      <c r="P150">
        <f t="shared" si="33"/>
        <v>9.2774350395636876E-2</v>
      </c>
      <c r="Q150">
        <f t="shared" si="30"/>
        <v>0.93741120034098846</v>
      </c>
      <c r="R150">
        <f t="shared" si="31"/>
        <v>-0.36926992697492406</v>
      </c>
      <c r="T150" s="21">
        <f>(M150-M149)/(H150-H149)</f>
        <v>9.6807204023957594E-4</v>
      </c>
      <c r="W150">
        <v>35</v>
      </c>
      <c r="X150">
        <v>5.2244409999999988</v>
      </c>
      <c r="Y150">
        <v>1</v>
      </c>
      <c r="Z150">
        <f t="shared" si="28"/>
        <v>1</v>
      </c>
      <c r="AA150" s="21">
        <f>IF(X150&gt;$B$8+$B$9,0,ABS(X150-O150)/X150)</f>
        <v>7.6498113490040265E-2</v>
      </c>
    </row>
    <row r="151" spans="7:27" x14ac:dyDescent="0.2">
      <c r="G151" s="21"/>
      <c r="H151" s="21">
        <v>36</v>
      </c>
      <c r="I151">
        <f t="shared" si="34"/>
        <v>4.2068808674767116E-2</v>
      </c>
      <c r="J151">
        <f t="shared" si="35"/>
        <v>0.93651557853335543</v>
      </c>
      <c r="K151">
        <f t="shared" si="29"/>
        <v>57.21311718265332</v>
      </c>
      <c r="L151">
        <f>0.5*Z151*K151/J151/$B$7</f>
        <v>30.545737035283917</v>
      </c>
      <c r="M151">
        <f t="shared" si="32"/>
        <v>6.5589122390269747E-2</v>
      </c>
      <c r="N151" s="21">
        <f t="shared" si="36"/>
        <v>2.2801439046164263E-2</v>
      </c>
      <c r="O151" s="21">
        <f t="shared" si="37"/>
        <v>5.6661696892147848</v>
      </c>
      <c r="P151">
        <f t="shared" si="33"/>
        <v>9.410191590026401E-2</v>
      </c>
      <c r="Q151">
        <f t="shared" si="30"/>
        <v>0.93651557853335543</v>
      </c>
      <c r="R151">
        <f t="shared" si="31"/>
        <v>-0.37042718202410113</v>
      </c>
      <c r="T151" s="21">
        <f>(M151-M150)/(H151-H150)</f>
        <v>9.5587713023155552E-4</v>
      </c>
      <c r="W151">
        <v>36</v>
      </c>
      <c r="X151">
        <v>5.2698709999999984</v>
      </c>
      <c r="Y151">
        <v>1</v>
      </c>
      <c r="Z151">
        <f t="shared" si="28"/>
        <v>1</v>
      </c>
      <c r="AA151" s="21">
        <f>IF(X151&gt;$B$8+$B$9,0,ABS(X151-O151)/X151)</f>
        <v>7.5200833040274903E-2</v>
      </c>
    </row>
    <row r="152" spans="7:27" x14ac:dyDescent="0.2">
      <c r="G152" s="21"/>
      <c r="H152" s="21">
        <v>37</v>
      </c>
      <c r="I152">
        <f t="shared" si="34"/>
        <v>4.1268408514339938E-2</v>
      </c>
      <c r="J152">
        <f t="shared" si="35"/>
        <v>0.93563173574034164</v>
      </c>
      <c r="K152">
        <f t="shared" si="29"/>
        <v>56.818857247973675</v>
      </c>
      <c r="L152">
        <f>0.5*Z152*K152/J152/$B$7</f>
        <v>30.363900174364197</v>
      </c>
      <c r="M152">
        <f t="shared" si="32"/>
        <v>6.6533324646084385E-2</v>
      </c>
      <c r="N152" s="21">
        <f t="shared" si="36"/>
        <v>2.295761047414251E-2</v>
      </c>
      <c r="O152" s="21">
        <f t="shared" si="37"/>
        <v>5.707438097729125</v>
      </c>
      <c r="P152">
        <f t="shared" si="33"/>
        <v>9.5412021564862989E-2</v>
      </c>
      <c r="Q152">
        <f t="shared" si="30"/>
        <v>0.93563173574034164</v>
      </c>
      <c r="R152">
        <f t="shared" si="31"/>
        <v>-0.37157635015511703</v>
      </c>
      <c r="T152" s="21">
        <f>(M152-M151)/(H152-H151)</f>
        <v>9.4420225581463846E-4</v>
      </c>
      <c r="W152">
        <v>37</v>
      </c>
      <c r="X152">
        <v>5.307189000000001</v>
      </c>
      <c r="Y152">
        <v>1</v>
      </c>
      <c r="Z152">
        <f t="shared" si="28"/>
        <v>1</v>
      </c>
      <c r="AA152" s="21">
        <f>IF(X152&gt;$B$8+$B$9,0,ABS(X152-O152)/X152)</f>
        <v>7.5416401739060709E-2</v>
      </c>
    </row>
    <row r="153" spans="7:27" x14ac:dyDescent="0.2">
      <c r="G153" s="21"/>
      <c r="H153" s="21">
        <v>38</v>
      </c>
      <c r="I153">
        <f t="shared" si="34"/>
        <v>4.050554940485205E-2</v>
      </c>
      <c r="J153">
        <f t="shared" si="35"/>
        <v>0.93475918740342556</v>
      </c>
      <c r="K153">
        <f t="shared" si="29"/>
        <v>56.43767876980904</v>
      </c>
      <c r="L153">
        <f>0.5*Z153*K153/J153/$B$7</f>
        <v>30.188352000359391</v>
      </c>
      <c r="M153">
        <f t="shared" si="32"/>
        <v>6.7466336445293082E-2</v>
      </c>
      <c r="N153" s="21">
        <f t="shared" si="36"/>
        <v>2.3110701934012188E-2</v>
      </c>
      <c r="O153" s="21">
        <f t="shared" si="37"/>
        <v>5.7479436471339769</v>
      </c>
      <c r="P153">
        <f t="shared" si="33"/>
        <v>9.6705385642576691E-2</v>
      </c>
      <c r="Q153">
        <f t="shared" si="30"/>
        <v>0.93475918740342556</v>
      </c>
      <c r="R153">
        <f t="shared" si="31"/>
        <v>-0.37271784876425706</v>
      </c>
      <c r="T153" s="21">
        <f>(M153-M152)/(H153-H152)</f>
        <v>9.330117992086967E-4</v>
      </c>
      <c r="W153">
        <v>38</v>
      </c>
      <c r="X153">
        <v>5.3412609999999994</v>
      </c>
      <c r="Y153">
        <v>1</v>
      </c>
      <c r="Z153">
        <f t="shared" si="28"/>
        <v>1</v>
      </c>
      <c r="AA153" s="21">
        <f>IF(X153&gt;$B$8+$B$9,0,ABS(X153-O153)/X153)</f>
        <v>7.6139819255036878E-2</v>
      </c>
    </row>
    <row r="154" spans="7:27" x14ac:dyDescent="0.2">
      <c r="G154" s="21"/>
      <c r="H154" s="21">
        <v>39</v>
      </c>
      <c r="I154">
        <f t="shared" si="34"/>
        <v>3.9777523983140689E-2</v>
      </c>
      <c r="J154">
        <f t="shared" si="35"/>
        <v>0.93389748122806815</v>
      </c>
      <c r="K154">
        <f t="shared" si="29"/>
        <v>56.068819673514412</v>
      </c>
      <c r="L154">
        <f>0.5*Z154*K154/J154/$B$7</f>
        <v>30.01872304001952</v>
      </c>
      <c r="M154">
        <f t="shared" si="32"/>
        <v>6.8388609916821955E-2</v>
      </c>
      <c r="N154" s="21">
        <f t="shared" si="36"/>
        <v>2.3260854855160513E-2</v>
      </c>
      <c r="O154" s="21">
        <f t="shared" si="37"/>
        <v>5.7877211711171173</v>
      </c>
      <c r="P154">
        <f t="shared" si="33"/>
        <v>9.7982678562176281E-2</v>
      </c>
      <c r="Q154">
        <f t="shared" si="30"/>
        <v>0.93389748122806815</v>
      </c>
      <c r="R154">
        <f t="shared" si="31"/>
        <v>-0.37385206750562933</v>
      </c>
      <c r="T154" s="21">
        <f>(M154-M153)/(H154-H153)</f>
        <v>9.2227347152887273E-4</v>
      </c>
      <c r="W154">
        <v>39</v>
      </c>
      <c r="X154">
        <v>5.3980479999999993</v>
      </c>
      <c r="Y154">
        <v>1</v>
      </c>
      <c r="Z154">
        <f t="shared" si="28"/>
        <v>1</v>
      </c>
      <c r="AA154" s="21">
        <f>IF(X154&gt;$B$8+$B$9,0,ABS(X154-O154)/X154)</f>
        <v>7.218779290534616E-2</v>
      </c>
    </row>
    <row r="155" spans="7:27" x14ac:dyDescent="0.2">
      <c r="G155" s="21"/>
      <c r="H155" s="21">
        <v>40</v>
      </c>
      <c r="I155">
        <f t="shared" si="34"/>
        <v>3.9081885234614769E-2</v>
      </c>
      <c r="J155">
        <f t="shared" si="35"/>
        <v>0.93304619424909707</v>
      </c>
      <c r="K155">
        <f t="shared" si="29"/>
        <v>55.711580539149118</v>
      </c>
      <c r="L155">
        <f>0.5*Z155*K155/J155/$B$7</f>
        <v>29.854674335810909</v>
      </c>
      <c r="M155">
        <f t="shared" si="32"/>
        <v>6.9300567839443758E-2</v>
      </c>
      <c r="N155" s="21">
        <f t="shared" si="36"/>
        <v>2.3408200700974144E-2</v>
      </c>
      <c r="O155" s="21">
        <f t="shared" si="37"/>
        <v>5.8268030563517321</v>
      </c>
      <c r="P155">
        <f t="shared" si="33"/>
        <v>9.9244527277994099E-2</v>
      </c>
      <c r="Q155">
        <f t="shared" si="30"/>
        <v>0.93304619424909707</v>
      </c>
      <c r="R155">
        <f t="shared" si="31"/>
        <v>-0.37497937083505628</v>
      </c>
      <c r="T155" s="21">
        <f>(M155-M154)/(H155-H154)</f>
        <v>9.1195792262180331E-4</v>
      </c>
      <c r="W155">
        <v>40</v>
      </c>
      <c r="X155">
        <v>5.4353659999999984</v>
      </c>
      <c r="Y155">
        <v>1</v>
      </c>
      <c r="Z155">
        <f t="shared" si="28"/>
        <v>1</v>
      </c>
      <c r="AA155" s="21">
        <f>IF(X155&gt;$B$8+$B$9,0,ABS(X155-O155)/X155)</f>
        <v>7.2016687809382821E-2</v>
      </c>
    </row>
    <row r="156" spans="7:27" x14ac:dyDescent="0.2">
      <c r="G156" s="21"/>
      <c r="H156" s="21">
        <v>41</v>
      </c>
      <c r="I156">
        <f t="shared" si="34"/>
        <v>3.8416415500851023E-2</v>
      </c>
      <c r="J156">
        <f t="shared" si="35"/>
        <v>0.93220493023110129</v>
      </c>
      <c r="K156">
        <f t="shared" si="29"/>
        <v>55.365318019100954</v>
      </c>
      <c r="L156">
        <f>0.5*Z156*K156/J156/$B$7</f>
        <v>29.695894230775757</v>
      </c>
      <c r="M156">
        <f t="shared" si="32"/>
        <v>7.0202606244886959E-2</v>
      </c>
      <c r="N156" s="21">
        <f t="shared" si="36"/>
        <v>2.3552861904665288E-2</v>
      </c>
      <c r="O156" s="21">
        <f t="shared" si="37"/>
        <v>5.8652194718525834</v>
      </c>
      <c r="P156">
        <f t="shared" si="33"/>
        <v>0.10049151912327625</v>
      </c>
      <c r="Q156">
        <f t="shared" si="30"/>
        <v>0.93220493023110129</v>
      </c>
      <c r="R156">
        <f t="shared" si="31"/>
        <v>-0.37610010026229873</v>
      </c>
      <c r="T156" s="21">
        <f>(M156-M155)/(H156-H155)</f>
        <v>9.0203840544320069E-4</v>
      </c>
      <c r="W156">
        <v>41</v>
      </c>
      <c r="X156">
        <v>5.4597030000000011</v>
      </c>
      <c r="Y156">
        <v>1</v>
      </c>
      <c r="Z156">
        <f t="shared" si="28"/>
        <v>1</v>
      </c>
      <c r="AA156" s="21">
        <f>IF(X156&gt;$B$8+$B$9,0,ABS(X156-O156)/X156)</f>
        <v>7.4274456294157798E-2</v>
      </c>
    </row>
    <row r="157" spans="7:27" x14ac:dyDescent="0.2">
      <c r="G157" s="21"/>
      <c r="H157" s="21">
        <v>42</v>
      </c>
      <c r="I157">
        <f t="shared" si="34"/>
        <v>3.7779099851843946E-2</v>
      </c>
      <c r="J157">
        <f t="shared" si="35"/>
        <v>0.93137331735818929</v>
      </c>
      <c r="K157">
        <f t="shared" si="29"/>
        <v>55.029439090625651</v>
      </c>
      <c r="L157">
        <f>0.5*Z157*K157/J157/$B$7</f>
        <v>29.542095562021736</v>
      </c>
      <c r="M157">
        <f t="shared" si="32"/>
        <v>7.1095096731067287E-2</v>
      </c>
      <c r="N157" s="21">
        <f t="shared" si="36"/>
        <v>2.369495269631618E-2</v>
      </c>
      <c r="O157" s="21">
        <f t="shared" si="37"/>
        <v>5.9029985717044271</v>
      </c>
      <c r="P157">
        <f t="shared" si="33"/>
        <v>0.10172420523461556</v>
      </c>
      <c r="Q157">
        <f t="shared" si="30"/>
        <v>0.93137331735818929</v>
      </c>
      <c r="R157">
        <f t="shared" si="31"/>
        <v>-0.37721457635147693</v>
      </c>
      <c r="T157" s="21">
        <f>(M157-M156)/(H157-H156)</f>
        <v>8.9249048618032789E-4</v>
      </c>
      <c r="W157">
        <v>42</v>
      </c>
      <c r="X157">
        <v>5.5132449999999977</v>
      </c>
      <c r="Y157">
        <v>1</v>
      </c>
      <c r="Z157">
        <f t="shared" si="28"/>
        <v>1</v>
      </c>
      <c r="AA157" s="21">
        <f>IF(X157&gt;$B$8+$B$9,0,ABS(X157-O157)/X157)</f>
        <v>7.0694041658665552E-2</v>
      </c>
    </row>
    <row r="158" spans="7:27" x14ac:dyDescent="0.2">
      <c r="G158" s="21"/>
      <c r="H158" s="21">
        <v>43</v>
      </c>
      <c r="I158">
        <f t="shared" si="34"/>
        <v>3.7168103117594511E-2</v>
      </c>
      <c r="J158">
        <f t="shared" si="35"/>
        <v>0.93055100617464626</v>
      </c>
      <c r="K158">
        <f t="shared" si="29"/>
        <v>54.703396020045687</v>
      </c>
      <c r="L158">
        <f>0.5*Z158*K158/J158/$B$7</f>
        <v>29.393013202426719</v>
      </c>
      <c r="M158">
        <f t="shared" si="32"/>
        <v>7.1978388523987205E-2</v>
      </c>
      <c r="N158" s="21">
        <f t="shared" si="36"/>
        <v>2.3834579836104756E-2</v>
      </c>
      <c r="O158" s="21">
        <f t="shared" si="37"/>
        <v>5.9401666748220219</v>
      </c>
      <c r="P158">
        <f t="shared" si="33"/>
        <v>0.10294310360448207</v>
      </c>
      <c r="Q158">
        <f t="shared" si="30"/>
        <v>0.93055100617464626</v>
      </c>
      <c r="R158">
        <f t="shared" si="31"/>
        <v>-0.37832310050326878</v>
      </c>
      <c r="T158" s="21">
        <f>(M158-M157)/(H158-H157)</f>
        <v>8.8329179291991855E-4</v>
      </c>
      <c r="W158">
        <v>43</v>
      </c>
      <c r="X158">
        <v>5.5489399999999982</v>
      </c>
      <c r="Y158">
        <v>1</v>
      </c>
      <c r="Z158">
        <f t="shared" si="28"/>
        <v>1</v>
      </c>
      <c r="AA158" s="21">
        <f>IF(X158&gt;$B$8+$B$9,0,ABS(X158-O158)/X158)</f>
        <v>7.0504758534427073E-2</v>
      </c>
    </row>
    <row r="159" spans="7:27" x14ac:dyDescent="0.2">
      <c r="G159" s="21"/>
      <c r="H159" s="21">
        <v>44</v>
      </c>
      <c r="I159">
        <f t="shared" si="34"/>
        <v>3.6581750001674053E-2</v>
      </c>
      <c r="J159">
        <f t="shared" si="35"/>
        <v>0.92973766774393052</v>
      </c>
      <c r="K159">
        <f t="shared" si="29"/>
        <v>54.386681935994943</v>
      </c>
      <c r="L159">
        <f>0.5*Z159*K159/J159/$B$7</f>
        <v>29.248401900273546</v>
      </c>
      <c r="M159">
        <f t="shared" si="32"/>
        <v>7.2852810320929745E-2</v>
      </c>
      <c r="N159" s="21">
        <f t="shared" si="36"/>
        <v>2.3971843266311674E-2</v>
      </c>
      <c r="O159" s="21">
        <f t="shared" si="37"/>
        <v>5.9767484248236959</v>
      </c>
      <c r="P159">
        <f t="shared" si="33"/>
        <v>0.10414870181011231</v>
      </c>
      <c r="Q159">
        <f t="shared" si="30"/>
        <v>0.92973766774393052</v>
      </c>
      <c r="R159">
        <f t="shared" si="31"/>
        <v>-0.37942595654729611</v>
      </c>
      <c r="T159" s="21">
        <f>(M159-M158)/(H159-H158)</f>
        <v>8.7442179694253996E-4</v>
      </c>
      <c r="W159">
        <v>44</v>
      </c>
      <c r="X159">
        <v>5.5716549999999998</v>
      </c>
      <c r="Y159">
        <v>1</v>
      </c>
      <c r="Z159">
        <f t="shared" si="28"/>
        <v>1</v>
      </c>
      <c r="AA159" s="21">
        <f>IF(X159&gt;$B$8+$B$9,0,ABS(X159-O159)/X159)</f>
        <v>7.2706121399062962E-2</v>
      </c>
    </row>
    <row r="160" spans="7:27" x14ac:dyDescent="0.2">
      <c r="G160" s="21"/>
      <c r="H160" s="21">
        <v>45</v>
      </c>
      <c r="I160">
        <f t="shared" si="34"/>
        <v>3.6018507801718051E-2</v>
      </c>
      <c r="J160">
        <f t="shared" si="35"/>
        <v>0.92893299199833401</v>
      </c>
      <c r="K160">
        <f t="shared" si="29"/>
        <v>54.078826925889388</v>
      </c>
      <c r="L160">
        <f>0.5*Z160*K160/J160/$B$7</f>
        <v>29.108034374769183</v>
      </c>
      <c r="M160">
        <f t="shared" si="32"/>
        <v>7.3718671942677519E-2</v>
      </c>
      <c r="N160" s="21">
        <f t="shared" si="36"/>
        <v>2.410683669276557E-2</v>
      </c>
      <c r="O160" s="21">
        <f t="shared" si="37"/>
        <v>6.0127669326254143</v>
      </c>
      <c r="P160">
        <f t="shared" si="33"/>
        <v>0.10534145945978067</v>
      </c>
      <c r="Q160">
        <f t="shared" si="30"/>
        <v>0.92893299199833401</v>
      </c>
      <c r="R160">
        <f t="shared" si="31"/>
        <v>-0.3805234121688375</v>
      </c>
      <c r="T160" s="21">
        <f>(M160-M159)/(H160-H159)</f>
        <v>8.6586162174777381E-4</v>
      </c>
      <c r="W160">
        <v>45</v>
      </c>
      <c r="X160">
        <v>5.6154620000000008</v>
      </c>
      <c r="Y160">
        <v>1</v>
      </c>
      <c r="Z160">
        <f t="shared" si="28"/>
        <v>1</v>
      </c>
      <c r="AA160" s="21">
        <f>IF(X160&gt;$B$8+$B$9,0,ABS(X160-O160)/X160)</f>
        <v>7.0751958187129288E-2</v>
      </c>
    </row>
    <row r="161" spans="7:27" x14ac:dyDescent="0.2">
      <c r="G161" s="21"/>
      <c r="H161" s="21">
        <v>46</v>
      </c>
      <c r="I161">
        <f t="shared" si="34"/>
        <v>3.5476971344088698E-2</v>
      </c>
      <c r="J161">
        <f t="shared" si="35"/>
        <v>0.92813668625568702</v>
      </c>
      <c r="K161">
        <f t="shared" si="29"/>
        <v>53.779394583536245</v>
      </c>
      <c r="L161">
        <f>0.5*Z161*K161/J161/$B$7</f>
        <v>28.971699632138488</v>
      </c>
      <c r="M161">
        <f t="shared" si="32"/>
        <v>7.4576265818423096E-2</v>
      </c>
      <c r="N161" s="21">
        <f t="shared" si="36"/>
        <v>2.4239648104776704E-2</v>
      </c>
      <c r="O161" s="21">
        <f t="shared" si="37"/>
        <v>6.0482439039695031</v>
      </c>
      <c r="P161">
        <f t="shared" si="33"/>
        <v>0.1065218103914629</v>
      </c>
      <c r="Q161">
        <f t="shared" si="30"/>
        <v>0.92813668625568702</v>
      </c>
      <c r="R161">
        <f t="shared" si="31"/>
        <v>-0.38161572019045986</v>
      </c>
      <c r="T161" s="21">
        <f>(M161-M160)/(H161-H160)</f>
        <v>8.5759387574557699E-4</v>
      </c>
      <c r="W161">
        <v>46</v>
      </c>
      <c r="X161">
        <v>5.6560249999999996</v>
      </c>
      <c r="Y161">
        <v>1</v>
      </c>
      <c r="Z161">
        <f t="shared" si="28"/>
        <v>1</v>
      </c>
      <c r="AA161" s="21">
        <f>IF(X161&gt;$B$8+$B$9,0,ABS(X161-O161)/X161)</f>
        <v>6.9345327145743429E-2</v>
      </c>
    </row>
    <row r="162" spans="7:27" x14ac:dyDescent="0.2">
      <c r="G162" s="21"/>
      <c r="H162" s="21">
        <v>47</v>
      </c>
      <c r="I162">
        <f t="shared" si="34"/>
        <v>3.4955849806474745E-2</v>
      </c>
      <c r="J162">
        <f t="shared" si="35"/>
        <v>0.92734847388287545</v>
      </c>
      <c r="K162">
        <f t="shared" si="29"/>
        <v>53.487978947078417</v>
      </c>
      <c r="L162">
        <f>0.5*Z162*K162/J162/$B$7</f>
        <v>28.839201472516777</v>
      </c>
      <c r="M162">
        <f t="shared" si="32"/>
        <v>7.5425868323640954E-2</v>
      </c>
      <c r="N162" s="21">
        <f t="shared" si="36"/>
        <v>2.437036024127456E-2</v>
      </c>
      <c r="O162" s="21">
        <f t="shared" si="37"/>
        <v>6.0831997537759781</v>
      </c>
      <c r="P162">
        <f t="shared" si="33"/>
        <v>0.10769016465388348</v>
      </c>
      <c r="Q162">
        <f t="shared" si="30"/>
        <v>0.92734847388287545</v>
      </c>
      <c r="R162">
        <f t="shared" si="31"/>
        <v>-0.38270311972620125</v>
      </c>
      <c r="T162" s="21">
        <f>(M162-M161)/(H162-H161)</f>
        <v>8.4960250521785852E-4</v>
      </c>
      <c r="W162">
        <v>47</v>
      </c>
      <c r="X162">
        <v>5.6982089999999985</v>
      </c>
      <c r="Y162">
        <v>1</v>
      </c>
      <c r="Z162">
        <f t="shared" si="28"/>
        <v>1</v>
      </c>
      <c r="AA162" s="21">
        <f>IF(X162&gt;$B$8+$B$9,0,ABS(X162-O162)/X162)</f>
        <v>6.7563466656975851E-2</v>
      </c>
    </row>
    <row r="163" spans="7:27" x14ac:dyDescent="0.2">
      <c r="G163" s="21"/>
      <c r="H163" s="21">
        <v>48</v>
      </c>
      <c r="I163">
        <f t="shared" si="34"/>
        <v>3.4453955156264988E-2</v>
      </c>
      <c r="J163">
        <f t="shared" si="35"/>
        <v>0.92656809308877097</v>
      </c>
      <c r="K163">
        <f t="shared" si="29"/>
        <v>53.204201775784824</v>
      </c>
      <c r="L163">
        <f>0.5*Z163*K163/J163/$B$7</f>
        <v>28.710357162432278</v>
      </c>
      <c r="M163">
        <f t="shared" si="32"/>
        <v>7.6267740988353622E-2</v>
      </c>
      <c r="N163" s="21">
        <f t="shared" si="36"/>
        <v>2.4499051009752328E-2</v>
      </c>
      <c r="O163" s="21">
        <f t="shared" si="37"/>
        <v>6.1176537089322434</v>
      </c>
      <c r="P163">
        <f t="shared" si="33"/>
        <v>0.10884691029573505</v>
      </c>
      <c r="Q163">
        <f t="shared" si="30"/>
        <v>0.92656809308877097</v>
      </c>
      <c r="R163">
        <f t="shared" si="31"/>
        <v>-0.38378583722346044</v>
      </c>
      <c r="T163" s="21">
        <f>(M163-M162)/(H163-H162)</f>
        <v>8.4187266471266731E-4</v>
      </c>
      <c r="W163">
        <v>48</v>
      </c>
      <c r="X163">
        <v>5.7225469999999987</v>
      </c>
      <c r="Y163">
        <v>1</v>
      </c>
      <c r="Z163">
        <f t="shared" si="28"/>
        <v>1</v>
      </c>
      <c r="AA163" s="21">
        <f>IF(X163&gt;$B$8+$B$9,0,ABS(X163-O163)/X163)</f>
        <v>6.9043855634954979E-2</v>
      </c>
    </row>
    <row r="164" spans="7:27" x14ac:dyDescent="0.2">
      <c r="G164" s="21"/>
      <c r="H164" s="21">
        <v>49</v>
      </c>
      <c r="I164">
        <f t="shared" si="34"/>
        <v>3.397019197668303E-2</v>
      </c>
      <c r="J164">
        <f t="shared" si="35"/>
        <v>0.92579529583156561</v>
      </c>
      <c r="K164">
        <f t="shared" si="29"/>
        <v>52.927710121921272</v>
      </c>
      <c r="L164">
        <f>0.5*Z164*K164/J164/$B$7</f>
        <v>28.584996251455713</v>
      </c>
      <c r="M164">
        <f t="shared" si="32"/>
        <v>7.7102131590827586E-2</v>
      </c>
      <c r="N164" s="21">
        <f t="shared" si="36"/>
        <v>2.4625793863688329E-2</v>
      </c>
      <c r="O164" s="21">
        <f t="shared" si="37"/>
        <v>6.151623900908926</v>
      </c>
      <c r="P164">
        <f t="shared" si="33"/>
        <v>0.10999241498531785</v>
      </c>
      <c r="Q164">
        <f t="shared" si="30"/>
        <v>0.92579529583156561</v>
      </c>
      <c r="R164">
        <f t="shared" si="31"/>
        <v>-0.38486408740566169</v>
      </c>
      <c r="T164" s="21">
        <f>(M164-M163)/(H164-H163)</f>
        <v>8.343906024739639E-4</v>
      </c>
      <c r="W164">
        <v>49</v>
      </c>
      <c r="X164">
        <v>5.763109</v>
      </c>
      <c r="Y164">
        <v>1</v>
      </c>
      <c r="Z164">
        <f t="shared" si="28"/>
        <v>1</v>
      </c>
      <c r="AA164" s="21">
        <f>IF(X164&gt;$B$8+$B$9,0,ABS(X164-O164)/X164)</f>
        <v>6.7414116392545395E-2</v>
      </c>
    </row>
    <row r="165" spans="7:27" x14ac:dyDescent="0.2">
      <c r="G165" s="21"/>
      <c r="H165" s="21">
        <v>50</v>
      </c>
      <c r="I165">
        <f t="shared" si="34"/>
        <v>3.3503548488895911E-2</v>
      </c>
      <c r="J165">
        <f t="shared" si="35"/>
        <v>0.92502984682751865</v>
      </c>
      <c r="K165">
        <f t="shared" si="29"/>
        <v>52.658174160366471</v>
      </c>
      <c r="L165">
        <f>0.5*Z165*K165/J165/$B$7</f>
        <v>28.462959514745869</v>
      </c>
      <c r="M165">
        <f t="shared" si="32"/>
        <v>7.7929275149714455E-2</v>
      </c>
      <c r="N165" s="21">
        <f t="shared" si="36"/>
        <v>2.4750658143330436E-2</v>
      </c>
      <c r="O165" s="21">
        <f t="shared" si="37"/>
        <v>6.1851274493978217</v>
      </c>
      <c r="P165">
        <f t="shared" si="33"/>
        <v>0.11112702747985898</v>
      </c>
      <c r="Q165">
        <f t="shared" si="30"/>
        <v>0.92502984682751865</v>
      </c>
      <c r="R165">
        <f t="shared" si="31"/>
        <v>-0.38593807412700443</v>
      </c>
      <c r="T165" s="21">
        <f>(M165-M164)/(H165-H164)</f>
        <v>8.2714355888686975E-4</v>
      </c>
      <c r="W165">
        <v>50</v>
      </c>
      <c r="X165">
        <v>5.805294</v>
      </c>
      <c r="Y165">
        <v>1</v>
      </c>
      <c r="Z165">
        <f t="shared" si="28"/>
        <v>1</v>
      </c>
      <c r="AA165" s="21">
        <f>IF(X165&gt;$B$8+$B$9,0,ABS(X165-O165)/X165)</f>
        <v>6.5428805052392125E-2</v>
      </c>
    </row>
    <row r="166" spans="7:27" x14ac:dyDescent="0.2">
      <c r="G166" s="21"/>
      <c r="H166" s="21">
        <v>51</v>
      </c>
      <c r="I166">
        <f t="shared" si="34"/>
        <v>3.3053088608161349E-2</v>
      </c>
      <c r="J166">
        <f t="shared" si="35"/>
        <v>0.92427152264983081</v>
      </c>
      <c r="K166">
        <f t="shared" si="29"/>
        <v>52.395285244014048</v>
      </c>
      <c r="L166">
        <f>0.5*Z166*K166/J166/$B$7</f>
        <v>28.344098005854338</v>
      </c>
      <c r="M166">
        <f t="shared" si="32"/>
        <v>7.8749394825942232E-2</v>
      </c>
      <c r="N166" s="21">
        <f t="shared" si="36"/>
        <v>2.4873709384067504E-2</v>
      </c>
      <c r="O166" s="21">
        <f t="shared" si="37"/>
        <v>6.2181805380059831</v>
      </c>
      <c r="P166">
        <f t="shared" si="33"/>
        <v>0.11225107896123547</v>
      </c>
      <c r="Q166">
        <f t="shared" si="30"/>
        <v>0.92427152264983081</v>
      </c>
      <c r="R166">
        <f t="shared" si="31"/>
        <v>-0.38700799114911405</v>
      </c>
      <c r="T166" s="21">
        <f>(M166-M165)/(H166-H165)</f>
        <v>8.2011967622777626E-4</v>
      </c>
      <c r="W166">
        <v>51</v>
      </c>
      <c r="X166">
        <v>5.834499000000001</v>
      </c>
      <c r="Y166">
        <v>1</v>
      </c>
      <c r="Z166">
        <f t="shared" si="28"/>
        <v>1</v>
      </c>
      <c r="AA166" s="21">
        <f>IF(X166&gt;$B$8+$B$9,0,ABS(X166-O166)/X166)</f>
        <v>6.5760837049759047E-2</v>
      </c>
    </row>
    <row r="167" spans="7:27" x14ac:dyDescent="0.2">
      <c r="G167" s="21"/>
      <c r="H167" s="21">
        <v>52</v>
      </c>
      <c r="I167">
        <f t="shared" si="34"/>
        <v>3.261794489678245E-2</v>
      </c>
      <c r="J167">
        <f t="shared" si="35"/>
        <v>0.92352011090782093</v>
      </c>
      <c r="K167">
        <f t="shared" si="29"/>
        <v>52.138754157512835</v>
      </c>
      <c r="L167">
        <f>0.5*Z167*K167/J167/$B$7</f>
        <v>28.228272206362892</v>
      </c>
      <c r="M167">
        <f t="shared" si="32"/>
        <v>7.9562702744197952E-2</v>
      </c>
      <c r="N167" s="21">
        <f t="shared" si="36"/>
        <v>2.4995009596050669E-2</v>
      </c>
      <c r="O167" s="21">
        <f t="shared" si="37"/>
        <v>6.2507984829027654</v>
      </c>
      <c r="P167">
        <f t="shared" si="33"/>
        <v>0.11336488425266812</v>
      </c>
      <c r="Q167">
        <f t="shared" si="30"/>
        <v>0.92352011090782093</v>
      </c>
      <c r="R167">
        <f t="shared" si="31"/>
        <v>-0.38807402284814002</v>
      </c>
      <c r="T167" s="21">
        <f>(M167-M166)/(H167-H166)</f>
        <v>8.1330791825572069E-4</v>
      </c>
      <c r="W167">
        <v>52</v>
      </c>
      <c r="X167">
        <v>5.8620809999999999</v>
      </c>
      <c r="Y167">
        <v>1</v>
      </c>
      <c r="Z167">
        <f t="shared" si="28"/>
        <v>1</v>
      </c>
      <c r="AA167" s="21">
        <f>IF(X167&gt;$B$8+$B$9,0,ABS(X167-O167)/X167)</f>
        <v>6.6310493304811979E-2</v>
      </c>
    </row>
    <row r="168" spans="7:27" x14ac:dyDescent="0.2">
      <c r="G168" s="21"/>
      <c r="H168" s="21">
        <v>53</v>
      </c>
      <c r="I168">
        <f t="shared" si="34"/>
        <v>3.2197312297166499E-2</v>
      </c>
      <c r="J168">
        <f t="shared" si="35"/>
        <v>0.92277540949781778</v>
      </c>
      <c r="K168">
        <f t="shared" si="29"/>
        <v>51.888309545697552</v>
      </c>
      <c r="L168">
        <f>0.5*Z168*K168/J168/$B$7</f>
        <v>28.115351260788152</v>
      </c>
      <c r="M168">
        <f t="shared" si="32"/>
        <v>8.0369400742603764E-2</v>
      </c>
      <c r="N168" s="21">
        <f t="shared" si="36"/>
        <v>2.5114617518250611E-2</v>
      </c>
      <c r="O168" s="21">
        <f t="shared" si="37"/>
        <v>6.2829957951999322</v>
      </c>
      <c r="P168">
        <f t="shared" si="33"/>
        <v>0.11446874292911118</v>
      </c>
      <c r="Q168">
        <f t="shared" si="30"/>
        <v>0.92277540949781778</v>
      </c>
      <c r="R168">
        <f t="shared" si="31"/>
        <v>-0.38913634485976517</v>
      </c>
      <c r="T168" s="21">
        <f>(M168-M167)/(H168-H167)</f>
        <v>8.0669799840581147E-4</v>
      </c>
      <c r="W168">
        <v>53</v>
      </c>
      <c r="X168">
        <v>5.8880409999999976</v>
      </c>
      <c r="Y168">
        <v>1</v>
      </c>
      <c r="Z168">
        <f t="shared" si="28"/>
        <v>1</v>
      </c>
      <c r="AA168" s="21">
        <f>IF(X168&gt;$B$8+$B$9,0,ABS(X168-O168)/X168)</f>
        <v>6.7077453298972398E-2</v>
      </c>
    </row>
    <row r="169" spans="7:27" x14ac:dyDescent="0.2">
      <c r="G169" s="21"/>
      <c r="H169" s="21">
        <v>54</v>
      </c>
      <c r="I169">
        <f t="shared" si="34"/>
        <v>3.1790442545408741E-2</v>
      </c>
      <c r="J169">
        <f t="shared" si="35"/>
        <v>0.92203722591825044</v>
      </c>
      <c r="K169">
        <f t="shared" si="29"/>
        <v>51.643696496274728</v>
      </c>
      <c r="L169">
        <f>0.5*Z169*K169/J169/$B$7</f>
        <v>28.005212286761594</v>
      </c>
      <c r="M169">
        <f t="shared" si="32"/>
        <v>8.1169681058114757E-2</v>
      </c>
      <c r="N169" s="21">
        <f t="shared" si="36"/>
        <v>2.5232588849729468E-2</v>
      </c>
      <c r="O169" s="21">
        <f t="shared" si="37"/>
        <v>6.3147862377453405</v>
      </c>
      <c r="P169">
        <f t="shared" si="33"/>
        <v>0.11556294033248361</v>
      </c>
      <c r="Q169">
        <f t="shared" si="30"/>
        <v>0.92203722591825044</v>
      </c>
      <c r="R169">
        <f t="shared" si="31"/>
        <v>-0.39019512466865935</v>
      </c>
      <c r="T169" s="21">
        <f>(M169-M168)/(H169-H168)</f>
        <v>8.0028031551099277E-4</v>
      </c>
      <c r="W169">
        <v>54</v>
      </c>
      <c r="X169">
        <v>5.9253579999999992</v>
      </c>
      <c r="Y169">
        <v>1</v>
      </c>
      <c r="Z169">
        <f t="shared" si="28"/>
        <v>1</v>
      </c>
      <c r="AA169" s="21">
        <f>IF(X169&gt;$B$8+$B$9,0,ABS(X169-O169)/X169)</f>
        <v>6.5722313781773414E-2</v>
      </c>
    </row>
    <row r="170" spans="7:27" x14ac:dyDescent="0.2">
      <c r="G170" s="21"/>
      <c r="H170" s="21">
        <v>55</v>
      </c>
      <c r="I170">
        <f t="shared" si="34"/>
        <v>3.1396639180159135E-2</v>
      </c>
      <c r="J170">
        <f t="shared" si="35"/>
        <v>0.9213053766423297</v>
      </c>
      <c r="K170">
        <f t="shared" si="29"/>
        <v>51.404675259052468</v>
      </c>
      <c r="L170">
        <f>0.5*Z170*K170/J170/$B$7</f>
        <v>27.897739751826528</v>
      </c>
      <c r="M170">
        <f t="shared" si="32"/>
        <v>8.1963726954257188E-2</v>
      </c>
      <c r="N170" s="21">
        <f t="shared" si="36"/>
        <v>2.5348976460558111E-2</v>
      </c>
      <c r="O170" s="21">
        <f t="shared" si="37"/>
        <v>6.3461828769255</v>
      </c>
      <c r="P170">
        <f t="shared" si="33"/>
        <v>0.11664774850153251</v>
      </c>
      <c r="Q170">
        <f t="shared" si="30"/>
        <v>0.9213053766423297</v>
      </c>
      <c r="R170">
        <f t="shared" si="31"/>
        <v>-0.39125052214811668</v>
      </c>
      <c r="T170" s="21">
        <f>(M170-M169)/(H170-H169)</f>
        <v>7.9404589614243126E-4</v>
      </c>
      <c r="W170">
        <v>55</v>
      </c>
      <c r="X170">
        <v>5.9642979999999994</v>
      </c>
      <c r="Y170">
        <v>1</v>
      </c>
      <c r="Z170">
        <f t="shared" si="28"/>
        <v>1</v>
      </c>
      <c r="AA170" s="21">
        <f>IF(X170&gt;$B$8+$B$9,0,ABS(X170-O170)/X170)</f>
        <v>6.4028470228265022E-2</v>
      </c>
    </row>
    <row r="171" spans="7:27" x14ac:dyDescent="0.2">
      <c r="G171" s="21"/>
      <c r="H171" s="21">
        <v>56</v>
      </c>
      <c r="I171">
        <f t="shared" si="34"/>
        <v>3.101525307357773E-2</v>
      </c>
      <c r="J171">
        <f t="shared" si="35"/>
        <v>0.92057968654250721</v>
      </c>
      <c r="K171">
        <f t="shared" si="29"/>
        <v>51.171020086321484</v>
      </c>
      <c r="L171">
        <f>0.5*Z171*K171/J171/$B$7</f>
        <v>27.792824909328854</v>
      </c>
      <c r="M171">
        <f t="shared" si="32"/>
        <v>8.2751713297028712E-2</v>
      </c>
      <c r="N171" s="21">
        <f t="shared" si="36"/>
        <v>2.5463830584510207E-2</v>
      </c>
      <c r="O171" s="21">
        <f t="shared" si="37"/>
        <v>6.3771981299990781</v>
      </c>
      <c r="P171">
        <f t="shared" si="33"/>
        <v>0.11772342702494834</v>
      </c>
      <c r="Q171">
        <f t="shared" si="30"/>
        <v>0.92057968654250721</v>
      </c>
      <c r="R171">
        <f t="shared" si="31"/>
        <v>-0.3923026900549238</v>
      </c>
      <c r="T171" s="21">
        <f>(M171-M170)/(H171-H170)</f>
        <v>7.8798634277152391E-4</v>
      </c>
      <c r="W171">
        <v>56</v>
      </c>
      <c r="X171">
        <v>5.9918799999999983</v>
      </c>
      <c r="Y171">
        <v>1</v>
      </c>
      <c r="Z171">
        <f t="shared" si="28"/>
        <v>1</v>
      </c>
      <c r="AA171" s="21">
        <f>IF(X171&gt;$B$8+$B$9,0,ABS(X171-O171)/X171)</f>
        <v>6.4306716756523816E-2</v>
      </c>
    </row>
    <row r="172" spans="7:27" x14ac:dyDescent="0.2">
      <c r="G172" s="21"/>
      <c r="H172" s="21">
        <v>57</v>
      </c>
      <c r="I172">
        <f t="shared" si="34"/>
        <v>3.0645678421341561E-2</v>
      </c>
      <c r="J172">
        <f t="shared" si="35"/>
        <v>0.9198599883615769</v>
      </c>
      <c r="K172">
        <f t="shared" si="29"/>
        <v>50.942518180973344</v>
      </c>
      <c r="L172">
        <f>0.5*Z172*K172/J172/$B$7</f>
        <v>27.69036528684676</v>
      </c>
      <c r="M172">
        <f t="shared" si="32"/>
        <v>8.3533807084104544E-2</v>
      </c>
      <c r="N172" s="21">
        <f t="shared" si="36"/>
        <v>2.5577198995406943E-2</v>
      </c>
      <c r="O172" s="21">
        <f t="shared" si="37"/>
        <v>6.4078438084204192</v>
      </c>
      <c r="P172">
        <f t="shared" si="33"/>
        <v>0.11879022382534228</v>
      </c>
      <c r="Q172">
        <f t="shared" si="30"/>
        <v>0.9198599883615769</v>
      </c>
      <c r="R172">
        <f t="shared" si="31"/>
        <v>-0.39335177448391734</v>
      </c>
      <c r="T172" s="21">
        <f>(M172-M171)/(H172-H171)</f>
        <v>7.8209378707583266E-4</v>
      </c>
      <c r="W172">
        <v>57</v>
      </c>
      <c r="X172">
        <v>6.0470450000000007</v>
      </c>
      <c r="Y172">
        <v>1</v>
      </c>
      <c r="Z172">
        <f t="shared" si="28"/>
        <v>1</v>
      </c>
      <c r="AA172" s="21">
        <f>IF(X172&gt;$B$8+$B$9,0,ABS(X172-O172)/X172)</f>
        <v>5.9665308993139377E-2</v>
      </c>
    </row>
    <row r="173" spans="7:27" x14ac:dyDescent="0.2">
      <c r="G173" s="21"/>
      <c r="H173" s="21">
        <v>58</v>
      </c>
      <c r="I173">
        <f t="shared" si="34"/>
        <v>3.0287349137260319E-2</v>
      </c>
      <c r="J173">
        <f t="shared" si="35"/>
        <v>0.91914612222587777</v>
      </c>
      <c r="K173">
        <f t="shared" si="29"/>
        <v>50.718968740636292</v>
      </c>
      <c r="L173">
        <f>0.5*Z173*K173/J173/$B$7</f>
        <v>27.590264221433682</v>
      </c>
      <c r="M173">
        <f t="shared" si="32"/>
        <v>8.4310167931896579E-2</v>
      </c>
      <c r="N173" s="21">
        <f t="shared" si="36"/>
        <v>2.5689127168763894E-2</v>
      </c>
      <c r="O173" s="21">
        <f t="shared" si="37"/>
        <v>6.4381311575576792</v>
      </c>
      <c r="P173">
        <f t="shared" si="33"/>
        <v>0.11984837588081779</v>
      </c>
      <c r="Q173">
        <f t="shared" si="30"/>
        <v>0.91914612222587777</v>
      </c>
      <c r="R173">
        <f t="shared" si="31"/>
        <v>-0.39439791528617035</v>
      </c>
      <c r="T173" s="21">
        <f>(M173-M172)/(H173-H172)</f>
        <v>7.7636084779203474E-4</v>
      </c>
      <c r="W173">
        <v>58</v>
      </c>
      <c r="X173">
        <v>6.0616470000000007</v>
      </c>
      <c r="Y173">
        <v>1</v>
      </c>
      <c r="Z173">
        <f t="shared" si="28"/>
        <v>1</v>
      </c>
      <c r="AA173" s="21">
        <f>IF(X173&gt;$B$8+$B$9,0,ABS(X173-O173)/X173)</f>
        <v>6.2109218428205812E-2</v>
      </c>
    </row>
    <row r="174" spans="7:27" x14ac:dyDescent="0.2">
      <c r="G174" s="21"/>
      <c r="H174" s="21">
        <v>59</v>
      </c>
      <c r="I174">
        <f t="shared" si="34"/>
        <v>2.9939735605348593E-2</v>
      </c>
      <c r="J174">
        <f t="shared" si="35"/>
        <v>0.91843793519656935</v>
      </c>
      <c r="K174">
        <f t="shared" si="29"/>
        <v>50.500182087563481</v>
      </c>
      <c r="L174">
        <f>0.5*Z174*K174/J174/$B$7</f>
        <v>27.492430436660449</v>
      </c>
      <c r="M174">
        <f t="shared" si="32"/>
        <v>8.5080948524500433E-2</v>
      </c>
      <c r="N174" s="21">
        <f t="shared" si="36"/>
        <v>2.5799658430198873E-2</v>
      </c>
      <c r="O174" s="21">
        <f t="shared" si="37"/>
        <v>6.468070893163028</v>
      </c>
      <c r="P174">
        <f t="shared" si="33"/>
        <v>0.12089810989010782</v>
      </c>
      <c r="Q174">
        <f t="shared" si="30"/>
        <v>0.91843793519656935</v>
      </c>
      <c r="R174">
        <f t="shared" si="31"/>
        <v>-0.39544124645430201</v>
      </c>
      <c r="T174" s="21">
        <f>(M174-M173)/(H174-H173)</f>
        <v>7.7078059260385356E-4</v>
      </c>
      <c r="W174">
        <v>59</v>
      </c>
      <c r="X174">
        <v>6.0892300000000006</v>
      </c>
      <c r="Y174">
        <v>1</v>
      </c>
      <c r="Z174">
        <f t="shared" si="28"/>
        <v>1</v>
      </c>
      <c r="AA174" s="21">
        <f>IF(X174&gt;$B$8+$B$9,0,ABS(X174-O174)/X174)</f>
        <v>6.221490946524065E-2</v>
      </c>
    </row>
    <row r="175" spans="7:27" x14ac:dyDescent="0.2">
      <c r="G175" s="21"/>
      <c r="H175" s="21">
        <v>60</v>
      </c>
      <c r="I175">
        <f t="shared" si="34"/>
        <v>2.9602341748411611E-2</v>
      </c>
      <c r="J175">
        <f t="shared" si="35"/>
        <v>0.91773528085539957</v>
      </c>
      <c r="K175">
        <f t="shared" si="29"/>
        <v>50.285978875261385</v>
      </c>
      <c r="L175">
        <f>0.5*Z175*K175/J175/$B$7</f>
        <v>27.39677765705542</v>
      </c>
      <c r="M175">
        <f t="shared" si="32"/>
        <v>8.5846295028115388E-2</v>
      </c>
      <c r="N175" s="21">
        <f t="shared" si="36"/>
        <v>2.5908834091892336E-2</v>
      </c>
      <c r="O175" s="21">
        <f t="shared" si="37"/>
        <v>6.4976732349114394</v>
      </c>
      <c r="P175">
        <f t="shared" si="33"/>
        <v>0.12193964288658414</v>
      </c>
      <c r="Q175">
        <f t="shared" si="30"/>
        <v>0.91773528085539957</v>
      </c>
      <c r="R175">
        <f t="shared" si="31"/>
        <v>-0.39648189647801485</v>
      </c>
      <c r="T175" s="21">
        <f>(M175-M174)/(H175-H174)</f>
        <v>7.6534650361495538E-4</v>
      </c>
      <c r="W175">
        <v>60</v>
      </c>
      <c r="X175">
        <v>6.1184349999999981</v>
      </c>
      <c r="Y175">
        <v>1</v>
      </c>
      <c r="Z175">
        <f t="shared" si="28"/>
        <v>1</v>
      </c>
      <c r="AA175" s="21">
        <f>IF(X175&gt;$B$8+$B$9,0,ABS(X175-O175)/X175)</f>
        <v>6.1982882046052873E-2</v>
      </c>
    </row>
    <row r="176" spans="7:27" x14ac:dyDescent="0.2">
      <c r="G176" s="21"/>
      <c r="H176" s="21">
        <v>61</v>
      </c>
      <c r="I176">
        <f t="shared" si="34"/>
        <v>2.9274702377500086E-2</v>
      </c>
      <c r="J176">
        <f t="shared" si="35"/>
        <v>0.91703801892177617</v>
      </c>
      <c r="K176">
        <f t="shared" si="29"/>
        <v>50.07618936392695</v>
      </c>
      <c r="L176">
        <f>0.5*Z176*K176/J176/$B$7</f>
        <v>27.303224256070063</v>
      </c>
      <c r="M176">
        <f t="shared" si="32"/>
        <v>8.6606347474130665E-2</v>
      </c>
      <c r="N176" s="21">
        <f t="shared" si="36"/>
        <v>2.6016693578246534E-2</v>
      </c>
      <c r="O176" s="21">
        <f t="shared" si="37"/>
        <v>6.5269479372889396</v>
      </c>
      <c r="P176">
        <f t="shared" si="33"/>
        <v>0.12297318280586582</v>
      </c>
      <c r="Q176">
        <f t="shared" si="30"/>
        <v>0.91703801892177617</v>
      </c>
      <c r="R176">
        <f t="shared" si="31"/>
        <v>-0.39751998867262311</v>
      </c>
      <c r="T176" s="21">
        <f>(M176-M175)/(H176-H175)</f>
        <v>7.6005244601527744E-4</v>
      </c>
      <c r="W176">
        <v>61</v>
      </c>
      <c r="X176">
        <v>6.1443949999999994</v>
      </c>
      <c r="Y176">
        <v>1</v>
      </c>
      <c r="Z176">
        <f t="shared" si="28"/>
        <v>1</v>
      </c>
      <c r="AA176" s="21">
        <f>IF(X176&gt;$B$8+$B$9,0,ABS(X176-O176)/X176)</f>
        <v>6.2260472721714713E-2</v>
      </c>
    </row>
    <row r="177" spans="7:27" x14ac:dyDescent="0.2">
      <c r="G177" s="21"/>
      <c r="H177" s="21">
        <v>62</v>
      </c>
      <c r="I177">
        <f t="shared" si="34"/>
        <v>2.8956380791126592E-2</v>
      </c>
      <c r="J177">
        <f t="shared" si="35"/>
        <v>0.91634601489829715</v>
      </c>
      <c r="K177">
        <f t="shared" si="29"/>
        <v>49.870652757698963</v>
      </c>
      <c r="L177">
        <f>0.5*Z177*K177/J177/$B$7</f>
        <v>27.211692934155433</v>
      </c>
      <c r="M177">
        <f t="shared" si="32"/>
        <v>8.7361240113726132E-2</v>
      </c>
      <c r="N177" s="21">
        <f t="shared" si="36"/>
        <v>2.6123274541762116E-2</v>
      </c>
      <c r="O177" s="21">
        <f t="shared" si="37"/>
        <v>6.5559043180800662</v>
      </c>
      <c r="P177">
        <f t="shared" si="33"/>
        <v>0.12399892901124439</v>
      </c>
      <c r="Q177">
        <f t="shared" si="30"/>
        <v>0.91634601489829715</v>
      </c>
      <c r="R177">
        <f t="shared" si="31"/>
        <v>-0.3985556414830374</v>
      </c>
      <c r="T177" s="21">
        <f>(M177-M176)/(H177-H176)</f>
        <v>7.5489263959546693E-4</v>
      </c>
      <c r="W177">
        <v>62</v>
      </c>
      <c r="X177">
        <v>6.175221999999998</v>
      </c>
      <c r="Y177">
        <v>1</v>
      </c>
      <c r="Z177">
        <f t="shared" si="28"/>
        <v>1</v>
      </c>
      <c r="AA177" s="21">
        <f>IF(X177&gt;$B$8+$B$9,0,ABS(X177-O177)/X177)</f>
        <v>6.1646742105800956E-2</v>
      </c>
    </row>
    <row r="178" spans="7:27" x14ac:dyDescent="0.2">
      <c r="G178" s="21"/>
      <c r="H178" s="21">
        <v>63</v>
      </c>
      <c r="I178">
        <f t="shared" si="34"/>
        <v>2.864696659703219E-2</v>
      </c>
      <c r="J178">
        <f t="shared" si="35"/>
        <v>0.91565913974219326</v>
      </c>
      <c r="K178">
        <f t="shared" si="29"/>
        <v>49.669216597540462</v>
      </c>
      <c r="L178">
        <f>0.5*Z178*K178/J178/$B$7</f>
        <v>27.122110423931872</v>
      </c>
      <c r="M178">
        <f t="shared" si="32"/>
        <v>8.8111101746538037E-2</v>
      </c>
      <c r="N178" s="21">
        <f t="shared" si="36"/>
        <v>2.6228612970040324E-2</v>
      </c>
      <c r="O178" s="21">
        <f t="shared" si="37"/>
        <v>6.5845512846770982</v>
      </c>
      <c r="P178">
        <f t="shared" si="33"/>
        <v>0.12501707278069868</v>
      </c>
      <c r="Q178">
        <f t="shared" si="30"/>
        <v>0.91565913974219326</v>
      </c>
      <c r="R178">
        <f t="shared" si="31"/>
        <v>-0.3995889687654105</v>
      </c>
      <c r="T178" s="21">
        <f>(M178-M177)/(H178-H177)</f>
        <v>7.4986163281190454E-4</v>
      </c>
      <c r="W178">
        <v>63</v>
      </c>
      <c r="X178">
        <v>6.2109169999999985</v>
      </c>
      <c r="Y178">
        <v>1</v>
      </c>
      <c r="Z178">
        <f t="shared" si="28"/>
        <v>1</v>
      </c>
      <c r="AA178" s="21">
        <f>IF(X178&gt;$B$8+$B$9,0,ABS(X178-O178)/X178)</f>
        <v>6.0157668292314934E-2</v>
      </c>
    </row>
    <row r="179" spans="7:27" x14ac:dyDescent="0.2">
      <c r="G179" s="21"/>
      <c r="H179" s="21">
        <v>64</v>
      </c>
      <c r="I179">
        <f t="shared" si="34"/>
        <v>2.8346073732644118E-2</v>
      </c>
      <c r="J179">
        <f t="shared" si="35"/>
        <v>0.91497726956040404</v>
      </c>
      <c r="K179">
        <f t="shared" si="29"/>
        <v>49.471736204276255</v>
      </c>
      <c r="L179">
        <f>0.5*Z179*K179/J179/$B$7</f>
        <v>27.034407219779727</v>
      </c>
      <c r="M179">
        <f t="shared" si="32"/>
        <v>8.8856056025670982E-2</v>
      </c>
      <c r="N179" s="21">
        <f t="shared" si="36"/>
        <v>2.6332743284721152E-2</v>
      </c>
      <c r="O179" s="21">
        <f t="shared" si="37"/>
        <v>6.6128973584097421</v>
      </c>
      <c r="P179">
        <f t="shared" si="33"/>
        <v>0.12602779775887835</v>
      </c>
      <c r="Q179">
        <f t="shared" si="30"/>
        <v>0.91497726956040404</v>
      </c>
      <c r="R179">
        <f t="shared" si="31"/>
        <v>-0.4006200800484172</v>
      </c>
      <c r="T179" s="21">
        <f>(M179-M178)/(H179-H178)</f>
        <v>7.4495427913294499E-4</v>
      </c>
      <c r="W179">
        <v>64</v>
      </c>
      <c r="X179">
        <v>6.2320089999999979</v>
      </c>
      <c r="Y179">
        <v>1</v>
      </c>
      <c r="Z179">
        <f t="shared" si="28"/>
        <v>1</v>
      </c>
      <c r="AA179" s="21">
        <f>IF(X179&gt;$B$8+$B$9,0,ABS(X179-O179)/X179)</f>
        <v>6.1118069375340173E-2</v>
      </c>
    </row>
    <row r="180" spans="7:27" x14ac:dyDescent="0.2">
      <c r="G180" s="21"/>
      <c r="H180" s="21">
        <v>65</v>
      </c>
      <c r="I180">
        <f t="shared" si="34"/>
        <v>2.8053338663258418E-2</v>
      </c>
      <c r="J180">
        <f t="shared" si="35"/>
        <v>0.91430028532624119</v>
      </c>
      <c r="K180">
        <f t="shared" si="29"/>
        <v>49.278074166925393</v>
      </c>
      <c r="L180">
        <f>0.5*Z180*K180/J180/$B$7</f>
        <v>26.948517329479976</v>
      </c>
      <c r="M180">
        <f t="shared" si="32"/>
        <v>8.9596221741104667E-2</v>
      </c>
      <c r="N180" s="21">
        <f t="shared" si="36"/>
        <v>2.6435698433082175E-2</v>
      </c>
      <c r="O180" s="21">
        <f t="shared" si="37"/>
        <v>6.6409506970730003</v>
      </c>
      <c r="P180">
        <f t="shared" si="33"/>
        <v>0.12703128037708991</v>
      </c>
      <c r="Q180">
        <f t="shared" si="30"/>
        <v>0.91430028532624119</v>
      </c>
      <c r="R180">
        <f t="shared" si="31"/>
        <v>-0.40164908077594064</v>
      </c>
      <c r="T180" s="21">
        <f>(M180-M179)/(H180-H179)</f>
        <v>7.4016571543368548E-4</v>
      </c>
      <c r="W180">
        <v>65</v>
      </c>
      <c r="X180">
        <v>6.2531010000000009</v>
      </c>
      <c r="Y180">
        <v>1</v>
      </c>
      <c r="Z180">
        <f t="shared" si="28"/>
        <v>1</v>
      </c>
      <c r="AA180" s="21">
        <f>IF(X180&gt;$B$8+$B$9,0,ABS(X180-O180)/X180)</f>
        <v>6.2025177119800143E-2</v>
      </c>
    </row>
    <row r="181" spans="7:27" x14ac:dyDescent="0.2">
      <c r="G181" s="21"/>
      <c r="H181" s="21">
        <v>66</v>
      </c>
      <c r="I181">
        <f t="shared" si="34"/>
        <v>2.7768418739485559E-2</v>
      </c>
      <c r="J181">
        <f t="shared" si="35"/>
        <v>0.91362807261579759</v>
      </c>
      <c r="K181">
        <f t="shared" si="29"/>
        <v>49.088099872006765</v>
      </c>
      <c r="L181">
        <f>0.5*Z181*K181/J181/$B$7</f>
        <v>26.864378045796695</v>
      </c>
      <c r="M181">
        <f t="shared" si="32"/>
        <v>9.0331713083339829E-2</v>
      </c>
      <c r="N181" s="21">
        <f t="shared" si="36"/>
        <v>2.6537509972947834E-2</v>
      </c>
      <c r="O181" s="21">
        <f t="shared" si="37"/>
        <v>6.6687191158124861</v>
      </c>
      <c r="P181">
        <f t="shared" si="33"/>
        <v>0.12802769024401281</v>
      </c>
      <c r="Q181">
        <f t="shared" si="30"/>
        <v>0.91362807261579759</v>
      </c>
      <c r="R181">
        <f t="shared" si="31"/>
        <v>-0.40267607253275617</v>
      </c>
      <c r="T181" s="21">
        <f>(M181-M180)/(H181-H180)</f>
        <v>7.3549134223516166E-4</v>
      </c>
      <c r="W181">
        <v>66</v>
      </c>
      <c r="X181">
        <v>6.2839290000000005</v>
      </c>
      <c r="Y181">
        <v>1</v>
      </c>
      <c r="Z181">
        <f t="shared" si="28"/>
        <v>1</v>
      </c>
      <c r="AA181" s="21">
        <f>IF(X181&gt;$B$8+$B$9,0,ABS(X181-O181)/X181)</f>
        <v>6.1234001181821998E-2</v>
      </c>
    </row>
    <row r="182" spans="7:27" x14ac:dyDescent="0.2">
      <c r="G182" s="21"/>
      <c r="H182" s="21">
        <v>67</v>
      </c>
      <c r="I182">
        <f t="shared" si="34"/>
        <v>2.749099069766674E-2</v>
      </c>
      <c r="J182">
        <f t="shared" si="35"/>
        <v>0.91296052136244565</v>
      </c>
      <c r="K182">
        <f t="shared" si="29"/>
        <v>48.901689069967574</v>
      </c>
      <c r="L182">
        <f>0.5*Z182*K182/J182/$B$7</f>
        <v>26.781929736123598</v>
      </c>
      <c r="M182">
        <f t="shared" si="32"/>
        <v>9.1062639888941074E-2</v>
      </c>
      <c r="N182" s="21">
        <f t="shared" si="36"/>
        <v>2.6638208151491864E-2</v>
      </c>
      <c r="O182" s="21">
        <f t="shared" si="37"/>
        <v>6.6962101065101525</v>
      </c>
      <c r="P182">
        <f t="shared" si="33"/>
        <v>0.12901719050960234</v>
      </c>
      <c r="Q182">
        <f t="shared" si="30"/>
        <v>0.91296052136244565</v>
      </c>
      <c r="R182">
        <f t="shared" si="31"/>
        <v>-0.40370115325464606</v>
      </c>
      <c r="T182" s="21">
        <f>(M182-M181)/(H182-H181)</f>
        <v>7.3092680560124523E-4</v>
      </c>
      <c r="W182">
        <v>67</v>
      </c>
      <c r="X182">
        <v>6.3180009999999989</v>
      </c>
      <c r="Y182">
        <v>1</v>
      </c>
      <c r="Z182">
        <f t="shared" si="28"/>
        <v>1</v>
      </c>
      <c r="AA182" s="21">
        <f>IF(X182&gt;$B$8+$B$9,0,ABS(X182-O182)/X182)</f>
        <v>5.9862147301045644E-2</v>
      </c>
    </row>
    <row r="183" spans="7:27" x14ac:dyDescent="0.2">
      <c r="G183" s="21"/>
      <c r="H183" s="21">
        <v>68</v>
      </c>
      <c r="I183">
        <f t="shared" si="34"/>
        <v>2.7220749288855473E-2</v>
      </c>
      <c r="J183">
        <f t="shared" si="35"/>
        <v>0.91229752562792943</v>
      </c>
      <c r="K183">
        <f t="shared" si="29"/>
        <v>48.718723475298006</v>
      </c>
      <c r="L183">
        <f>0.5*Z183*K183/J183/$B$7</f>
        <v>26.701115648518925</v>
      </c>
      <c r="M183">
        <f t="shared" si="32"/>
        <v>9.1789107869474279E-2</v>
      </c>
      <c r="N183" s="21">
        <f t="shared" si="36"/>
        <v>2.6737821978457286E-2</v>
      </c>
      <c r="O183" s="21">
        <f t="shared" si="37"/>
        <v>6.7234308557990081</v>
      </c>
      <c r="P183">
        <f t="shared" si="33"/>
        <v>0.12999993820439643</v>
      </c>
      <c r="Q183">
        <f t="shared" si="30"/>
        <v>0.91229752562792943</v>
      </c>
      <c r="R183">
        <f t="shared" si="31"/>
        <v>-0.4047244174242397</v>
      </c>
      <c r="T183" s="21">
        <f>(M183-M182)/(H183-H182)</f>
        <v>7.2646798053320472E-4</v>
      </c>
      <c r="W183">
        <v>68</v>
      </c>
      <c r="X183">
        <v>6.3504509999999996</v>
      </c>
      <c r="Y183">
        <v>1</v>
      </c>
      <c r="Z183">
        <f t="shared" si="28"/>
        <v>1</v>
      </c>
      <c r="AA183" s="21">
        <f>IF(X183&gt;$B$8+$B$9,0,ABS(X183-O183)/X183)</f>
        <v>5.8732813748032783E-2</v>
      </c>
    </row>
    <row r="184" spans="7:27" x14ac:dyDescent="0.2">
      <c r="G184" s="21"/>
      <c r="H184" s="21">
        <v>69</v>
      </c>
      <c r="I184">
        <f t="shared" si="34"/>
        <v>2.6957406023601881E-2</v>
      </c>
      <c r="J184">
        <f t="shared" si="35"/>
        <v>0.91163898338869875</v>
      </c>
      <c r="K184">
        <f t="shared" si="29"/>
        <v>48.539090397259699</v>
      </c>
      <c r="L184">
        <f>0.5*Z184*K184/J184/$B$7</f>
        <v>26.62188173263095</v>
      </c>
      <c r="M184">
        <f t="shared" si="32"/>
        <v>9.2511218825191505E-2</v>
      </c>
      <c r="N184" s="21">
        <f t="shared" si="36"/>
        <v>2.6836379294265925E-2</v>
      </c>
      <c r="O184" s="21">
        <f t="shared" si="37"/>
        <v>6.7503882618226099</v>
      </c>
      <c r="P184">
        <f t="shared" si="33"/>
        <v>0.13097608455622886</v>
      </c>
      <c r="Q184">
        <f t="shared" si="30"/>
        <v>0.91163898338869875</v>
      </c>
      <c r="R184">
        <f t="shared" si="31"/>
        <v>-0.40574595625374482</v>
      </c>
      <c r="T184" s="21">
        <f>(M184-M183)/(H184-H183)</f>
        <v>7.2211095571722561E-4</v>
      </c>
      <c r="W184">
        <v>69</v>
      </c>
      <c r="X184">
        <v>6.3780329999999985</v>
      </c>
      <c r="Y184">
        <v>1</v>
      </c>
      <c r="Z184">
        <f t="shared" si="28"/>
        <v>1</v>
      </c>
      <c r="AA184" s="21">
        <f>IF(X184&gt;$B$8+$B$9,0,ABS(X184-O184)/X184)</f>
        <v>5.8380892952829104E-2</v>
      </c>
    </row>
    <row r="185" spans="7:27" x14ac:dyDescent="0.2">
      <c r="G185" s="21"/>
      <c r="H185" s="21">
        <v>70</v>
      </c>
      <c r="I185">
        <f t="shared" si="34"/>
        <v>2.6700688021212893E-2</v>
      </c>
      <c r="J185">
        <f t="shared" si="35"/>
        <v>0.91098479633626228</v>
      </c>
      <c r="K185">
        <f t="shared" si="29"/>
        <v>48.362682398475719</v>
      </c>
      <c r="L185">
        <f>0.5*Z185*K185/J185/$B$7</f>
        <v>26.544176474172524</v>
      </c>
      <c r="M185">
        <f t="shared" si="32"/>
        <v>9.3229070844688039E-2</v>
      </c>
      <c r="N185" s="21">
        <f t="shared" si="36"/>
        <v>2.6933906833443447E-2</v>
      </c>
      <c r="O185" s="21">
        <f t="shared" si="37"/>
        <v>6.7770889498438232</v>
      </c>
      <c r="P185">
        <f t="shared" si="33"/>
        <v>0.13194577528616272</v>
      </c>
      <c r="Q185">
        <f t="shared" si="30"/>
        <v>0.91098479633626228</v>
      </c>
      <c r="R185">
        <f t="shared" si="31"/>
        <v>-0.40676585785562808</v>
      </c>
      <c r="T185" s="21">
        <f>(M185-M184)/(H185-H184)</f>
        <v>7.1785201949653432E-4</v>
      </c>
      <c r="W185">
        <v>70</v>
      </c>
      <c r="X185">
        <v>6.4023709999999987</v>
      </c>
      <c r="Y185">
        <v>1</v>
      </c>
      <c r="Z185">
        <f t="shared" si="28"/>
        <v>1</v>
      </c>
      <c r="AA185" s="21">
        <f>IF(X185&gt;$B$8+$B$9,0,ABS(X185-O185)/X185)</f>
        <v>5.8527996869257422E-2</v>
      </c>
    </row>
    <row r="186" spans="7:27" x14ac:dyDescent="0.2">
      <c r="G186" s="21"/>
      <c r="H186" s="21">
        <v>71</v>
      </c>
      <c r="I186">
        <f t="shared" si="34"/>
        <v>2.6450336953415355E-2</v>
      </c>
      <c r="J186">
        <f t="shared" si="35"/>
        <v>0.91033486969045097</v>
      </c>
      <c r="K186">
        <f t="shared" si="29"/>
        <v>48.189396978913337</v>
      </c>
      <c r="L186">
        <f>0.5*Z186*K186/J186/$B$7</f>
        <v>26.46795074174166</v>
      </c>
      <c r="M186">
        <f t="shared" si="32"/>
        <v>9.3942758491641118E-2</v>
      </c>
      <c r="N186" s="21">
        <f t="shared" si="36"/>
        <v>2.7030430283744598E-2</v>
      </c>
      <c r="O186" s="21">
        <f t="shared" si="37"/>
        <v>6.8035392867972382</v>
      </c>
      <c r="P186">
        <f t="shared" si="33"/>
        <v>0.13290915088528682</v>
      </c>
      <c r="Q186">
        <f t="shared" si="30"/>
        <v>0.91033486969045097</v>
      </c>
      <c r="R186">
        <f t="shared" si="31"/>
        <v>-0.40778420740220261</v>
      </c>
      <c r="T186" s="21">
        <f>(M186-M185)/(H186-H185)</f>
        <v>7.1368764695307896E-4</v>
      </c>
      <c r="W186">
        <v>71</v>
      </c>
      <c r="X186">
        <v>6.4234629999999981</v>
      </c>
      <c r="Y186">
        <v>1</v>
      </c>
      <c r="Z186">
        <f t="shared" si="28"/>
        <v>1</v>
      </c>
      <c r="AA186" s="21">
        <f>IF(X186&gt;$B$8+$B$9,0,ABS(X186-O186)/X186)</f>
        <v>5.9169997055675445E-2</v>
      </c>
    </row>
    <row r="187" spans="7:27" x14ac:dyDescent="0.2">
      <c r="G187" s="21"/>
      <c r="H187" s="21">
        <v>72</v>
      </c>
      <c r="I187">
        <f t="shared" si="34"/>
        <v>2.620610807344988E-2</v>
      </c>
      <c r="J187">
        <f t="shared" si="35"/>
        <v>0.90968911202458513</v>
      </c>
      <c r="K187">
        <f t="shared" si="29"/>
        <v>48.019136283040908</v>
      </c>
      <c r="L187">
        <f>0.5*Z187*K187/J187/$B$7</f>
        <v>26.393157644907127</v>
      </c>
      <c r="M187">
        <f t="shared" si="32"/>
        <v>9.465237297963823E-2</v>
      </c>
      <c r="N187" s="21">
        <f t="shared" si="36"/>
        <v>2.7125974341326922E-2</v>
      </c>
      <c r="O187" s="21">
        <f t="shared" si="37"/>
        <v>6.8297453948706881</v>
      </c>
      <c r="P187">
        <f t="shared" si="33"/>
        <v>0.13386634687386778</v>
      </c>
      <c r="Q187">
        <f t="shared" si="30"/>
        <v>0.90968911202458513</v>
      </c>
      <c r="R187">
        <f t="shared" si="31"/>
        <v>-0.40880108727499026</v>
      </c>
      <c r="T187" s="21">
        <f>(M187-M186)/(H187-H186)</f>
        <v>7.0961448799711224E-4</v>
      </c>
      <c r="W187">
        <v>72</v>
      </c>
      <c r="X187">
        <v>6.4624029999999983</v>
      </c>
      <c r="Y187">
        <v>1</v>
      </c>
      <c r="Z187">
        <f t="shared" si="28"/>
        <v>1</v>
      </c>
      <c r="AA187" s="21">
        <f>IF(X187&gt;$B$8+$B$9,0,ABS(X187-O187)/X187)</f>
        <v>5.6843003271490472E-2</v>
      </c>
    </row>
    <row r="188" spans="7:27" x14ac:dyDescent="0.2">
      <c r="G188" s="21"/>
      <c r="H188" s="21">
        <v>73</v>
      </c>
      <c r="I188">
        <f t="shared" si="34"/>
        <v>2.5967769322589231E-2</v>
      </c>
      <c r="J188">
        <f t="shared" si="35"/>
        <v>0.90904743510163033</v>
      </c>
      <c r="K188">
        <f t="shared" si="29"/>
        <v>47.851806828162395</v>
      </c>
      <c r="L188">
        <f>0.5*Z188*K188/J188/$B$7</f>
        <v>26.319752402586463</v>
      </c>
      <c r="M188">
        <f t="shared" si="32"/>
        <v>9.5358002336010536E-2</v>
      </c>
      <c r="N188" s="21">
        <f t="shared" si="36"/>
        <v>2.722056276228841E-2</v>
      </c>
      <c r="O188" s="21">
        <f t="shared" si="37"/>
        <v>6.8557131641932774</v>
      </c>
      <c r="P188">
        <f t="shared" si="33"/>
        <v>0.13481749404421348</v>
      </c>
      <c r="Q188">
        <f t="shared" si="30"/>
        <v>0.90904743510163033</v>
      </c>
      <c r="R188">
        <f t="shared" si="31"/>
        <v>-0.40981657720464998</v>
      </c>
      <c r="T188" s="21">
        <f>(M188-M187)/(H188-H187)</f>
        <v>7.0562935637230595E-4</v>
      </c>
      <c r="W188">
        <v>73</v>
      </c>
      <c r="X188">
        <v>6.4770049999999983</v>
      </c>
      <c r="Y188">
        <v>1</v>
      </c>
      <c r="Z188">
        <f t="shared" si="28"/>
        <v>1</v>
      </c>
      <c r="AA188" s="21">
        <f>IF(X188&gt;$B$8+$B$9,0,ABS(X188-O188)/X188)</f>
        <v>5.8469642094344396E-2</v>
      </c>
    </row>
    <row r="189" spans="7:27" x14ac:dyDescent="0.2">
      <c r="G189" s="21"/>
      <c r="H189" s="21">
        <v>74</v>
      </c>
      <c r="I189">
        <f t="shared" si="34"/>
        <v>2.5735100506925807E-2</v>
      </c>
      <c r="J189">
        <f t="shared" si="35"/>
        <v>0.90840975372050881</v>
      </c>
      <c r="K189">
        <f t="shared" si="29"/>
        <v>47.68731925212964</v>
      </c>
      <c r="L189">
        <f>0.5*Z189*K189/J189/$B$7</f>
        <v>26.247692220839824</v>
      </c>
      <c r="M189">
        <f t="shared" si="32"/>
        <v>9.6059731555505665E-2</v>
      </c>
      <c r="N189" s="21">
        <f t="shared" si="36"/>
        <v>2.7314218410855448E-2</v>
      </c>
      <c r="O189" s="21">
        <f t="shared" si="37"/>
        <v>6.8814482647002029</v>
      </c>
      <c r="P189">
        <f t="shared" si="33"/>
        <v>0.13576271868848297</v>
      </c>
      <c r="Q189">
        <f t="shared" si="30"/>
        <v>0.90840975372050881</v>
      </c>
      <c r="R189">
        <f t="shared" si="31"/>
        <v>-0.41083075440218975</v>
      </c>
      <c r="T189" s="21">
        <f>(M189-M188)/(H189-H188)</f>
        <v>7.0172921949512856E-4</v>
      </c>
      <c r="W189">
        <v>74</v>
      </c>
      <c r="X189">
        <v>6.522434999999998</v>
      </c>
      <c r="Y189">
        <v>1</v>
      </c>
      <c r="Z189">
        <f t="shared" si="28"/>
        <v>1</v>
      </c>
      <c r="AA189" s="21">
        <f>IF(X189&gt;$B$8+$B$9,0,ABS(X189-O189)/X189)</f>
        <v>5.5042827517668633E-2</v>
      </c>
    </row>
    <row r="190" spans="7:27" x14ac:dyDescent="0.2">
      <c r="G190" s="21"/>
      <c r="H190" s="21">
        <v>75</v>
      </c>
      <c r="I190">
        <f t="shared" si="34"/>
        <v>2.5507892538021566E-2</v>
      </c>
      <c r="J190">
        <f t="shared" si="35"/>
        <v>0.90777598557180728</v>
      </c>
      <c r="K190">
        <f t="shared" si="29"/>
        <v>47.525588078808056</v>
      </c>
      <c r="L190">
        <f>0.5*Z190*K190/J190/$B$7</f>
        <v>26.176936179288621</v>
      </c>
      <c r="M190">
        <f t="shared" si="32"/>
        <v>9.6757642744559641E-2</v>
      </c>
      <c r="N190" s="21">
        <f t="shared" si="36"/>
        <v>2.7406963304481217E-2</v>
      </c>
      <c r="O190" s="21">
        <f t="shared" si="37"/>
        <v>6.9069561572382243</v>
      </c>
      <c r="P190">
        <f t="shared" si="33"/>
        <v>0.13670214281256843</v>
      </c>
      <c r="Q190">
        <f t="shared" si="30"/>
        <v>0.90777598557180728</v>
      </c>
      <c r="R190">
        <f t="shared" si="31"/>
        <v>-0.41184369368211732</v>
      </c>
      <c r="T190" s="21">
        <f>(M190-M189)/(H190-H189)</f>
        <v>6.9791118905397631E-4</v>
      </c>
      <c r="W190">
        <v>75</v>
      </c>
      <c r="X190">
        <v>6.5305469999999985</v>
      </c>
      <c r="Y190">
        <v>1</v>
      </c>
      <c r="Z190">
        <f t="shared" ref="Z190:Z253" si="38">Y190</f>
        <v>1</v>
      </c>
      <c r="AA190" s="21">
        <f>IF(X190&gt;$B$8+$B$9,0,ABS(X190-O190)/X190)</f>
        <v>5.7638228044025387E-2</v>
      </c>
    </row>
    <row r="191" spans="7:27" x14ac:dyDescent="0.2">
      <c r="G191" s="21"/>
      <c r="H191" s="21">
        <v>76</v>
      </c>
      <c r="I191">
        <f t="shared" si="34"/>
        <v>2.5285946731677066E-2</v>
      </c>
      <c r="J191">
        <f t="shared" si="35"/>
        <v>0.90714605110218804</v>
      </c>
      <c r="K191">
        <f t="shared" si="29"/>
        <v>47.36653149982692</v>
      </c>
      <c r="L191">
        <f>0.5*Z191*K191/J191/$B$7</f>
        <v>26.107445125443853</v>
      </c>
      <c r="M191">
        <f t="shared" si="32"/>
        <v>9.7451815256861571E-2</v>
      </c>
      <c r="N191" s="21">
        <f t="shared" si="36"/>
        <v>2.7498818656091422E-2</v>
      </c>
      <c r="O191" s="21">
        <f t="shared" si="37"/>
        <v>6.9322421039699016</v>
      </c>
      <c r="P191">
        <f t="shared" si="33"/>
        <v>0.13763588433707657</v>
      </c>
      <c r="Q191">
        <f t="shared" si="30"/>
        <v>0.90714605110218804</v>
      </c>
      <c r="R191">
        <f t="shared" si="31"/>
        <v>-0.41285546757812841</v>
      </c>
      <c r="T191" s="21">
        <f>(M191-M190)/(H191-H190)</f>
        <v>6.9417251230192989E-4</v>
      </c>
      <c r="W191">
        <v>76</v>
      </c>
      <c r="X191">
        <v>6.5694869999999987</v>
      </c>
      <c r="Y191">
        <v>1</v>
      </c>
      <c r="Z191">
        <f t="shared" si="38"/>
        <v>1</v>
      </c>
      <c r="AA191" s="21">
        <f>IF(X191&gt;$B$8+$B$9,0,ABS(X191-O191)/X191)</f>
        <v>5.5218178218467119E-2</v>
      </c>
    </row>
    <row r="192" spans="7:27" x14ac:dyDescent="0.2">
      <c r="G192" s="21"/>
      <c r="H192" s="21">
        <v>77</v>
      </c>
      <c r="I192">
        <f t="shared" si="34"/>
        <v>2.5069074159660809E-2</v>
      </c>
      <c r="J192">
        <f t="shared" si="35"/>
        <v>0.90651987338687012</v>
      </c>
      <c r="K192">
        <f t="shared" si="29"/>
        <v>47.210071171285186</v>
      </c>
      <c r="L192">
        <f>0.5*Z192*K192/J192/$B$7</f>
        <v>26.039181576297128</v>
      </c>
      <c r="M192">
        <f t="shared" si="32"/>
        <v>9.8142325820845075E-2</v>
      </c>
      <c r="N192" s="21">
        <f t="shared" si="36"/>
        <v>2.7589804913692884E-2</v>
      </c>
      <c r="O192" s="21">
        <f t="shared" si="37"/>
        <v>6.9573111781295625</v>
      </c>
      <c r="P192">
        <f t="shared" si="33"/>
        <v>0.13856405728634782</v>
      </c>
      <c r="Q192">
        <f t="shared" si="30"/>
        <v>0.90651987338687012</v>
      </c>
      <c r="R192">
        <f t="shared" si="31"/>
        <v>-0.41386614645187597</v>
      </c>
      <c r="T192" s="21">
        <f>(M192-M191)/(H192-H191)</f>
        <v>6.9051056398350408E-4</v>
      </c>
      <c r="W192">
        <v>77</v>
      </c>
      <c r="X192">
        <v>6.5808450000000001</v>
      </c>
      <c r="Y192">
        <v>1</v>
      </c>
      <c r="Z192">
        <f t="shared" si="38"/>
        <v>1</v>
      </c>
      <c r="AA192" s="21">
        <f>IF(X192&gt;$B$8+$B$9,0,ABS(X192-O192)/X192)</f>
        <v>5.7206358473655343E-2</v>
      </c>
    </row>
    <row r="193" spans="7:27" x14ac:dyDescent="0.2">
      <c r="G193" s="21"/>
      <c r="H193" s="21">
        <v>78</v>
      </c>
      <c r="I193">
        <f t="shared" si="34"/>
        <v>2.4857095049760563E-2</v>
      </c>
      <c r="J193">
        <f t="shared" si="35"/>
        <v>0.90589737800959924</v>
      </c>
      <c r="K193">
        <f t="shared" si="29"/>
        <v>47.056132024207336</v>
      </c>
      <c r="L193">
        <f>0.5*Z193*K193/J193/$B$7</f>
        <v>25.972109626587699</v>
      </c>
      <c r="M193">
        <f t="shared" si="32"/>
        <v>9.8829248659688007E-2</v>
      </c>
      <c r="N193" s="21">
        <f t="shared" si="36"/>
        <v>2.7679941797542146E-2</v>
      </c>
      <c r="O193" s="21">
        <f t="shared" si="37"/>
        <v>6.9821682731793233</v>
      </c>
      <c r="P193">
        <f t="shared" si="33"/>
        <v>0.13948677196637407</v>
      </c>
      <c r="Q193">
        <f t="shared" si="30"/>
        <v>0.90589737800959924</v>
      </c>
      <c r="R193">
        <f t="shared" si="31"/>
        <v>-0.41487579859532303</v>
      </c>
      <c r="T193" s="21">
        <f>(M193-M192)/(H193-H192)</f>
        <v>6.8692283884293215E-4</v>
      </c>
      <c r="W193">
        <v>78</v>
      </c>
      <c r="X193">
        <v>6.6132939999999998</v>
      </c>
      <c r="Y193">
        <v>1</v>
      </c>
      <c r="Z193">
        <f t="shared" si="38"/>
        <v>1</v>
      </c>
      <c r="AA193" s="21">
        <f>IF(X193&gt;$B$8+$B$9,0,ABS(X193-O193)/X193)</f>
        <v>5.5777691598063471E-2</v>
      </c>
    </row>
    <row r="194" spans="7:27" x14ac:dyDescent="0.2">
      <c r="G194" s="21"/>
      <c r="H194" s="21">
        <v>79</v>
      </c>
      <c r="I194">
        <f t="shared" si="34"/>
        <v>2.4649838229977863E-2</v>
      </c>
      <c r="J194">
        <f t="shared" si="35"/>
        <v>0.90527849294957896</v>
      </c>
      <c r="K194">
        <f t="shared" si="29"/>
        <v>46.904642087655965</v>
      </c>
      <c r="L194">
        <f>0.5*Z194*K194/J194/$B$7</f>
        <v>25.906194863213436</v>
      </c>
      <c r="M194">
        <f t="shared" si="32"/>
        <v>9.9512655604348549E-2</v>
      </c>
      <c r="N194" s="21">
        <f t="shared" si="36"/>
        <v>2.7769248335053436E-2</v>
      </c>
      <c r="O194" s="21">
        <f t="shared" si="37"/>
        <v>7.0068181114093013</v>
      </c>
      <c r="P194">
        <f t="shared" si="33"/>
        <v>0.14040413513239994</v>
      </c>
      <c r="Q194">
        <f t="shared" si="30"/>
        <v>0.90527849294957896</v>
      </c>
      <c r="R194">
        <f t="shared" si="31"/>
        <v>-0.41588449032713382</v>
      </c>
      <c r="T194" s="21">
        <f>(M194-M193)/(H194-H193)</f>
        <v>6.8340694466054175E-4</v>
      </c>
      <c r="W194">
        <v>79</v>
      </c>
      <c r="X194">
        <v>6.6441219999999994</v>
      </c>
      <c r="Y194">
        <v>1</v>
      </c>
      <c r="Z194">
        <f t="shared" si="38"/>
        <v>1</v>
      </c>
      <c r="AA194" s="21">
        <f>IF(X194&gt;$B$8+$B$9,0,ABS(X194-O194)/X194)</f>
        <v>5.4589020401687678E-2</v>
      </c>
    </row>
    <row r="195" spans="7:27" x14ac:dyDescent="0.2">
      <c r="G195" s="21"/>
      <c r="H195" s="21">
        <v>80</v>
      </c>
      <c r="I195">
        <f t="shared" si="34"/>
        <v>2.4447140613098429E-2</v>
      </c>
      <c r="J195">
        <f t="shared" si="35"/>
        <v>0.90466314847487161</v>
      </c>
      <c r="K195">
        <f t="shared" ref="K195:K258" si="39">IF(O195&lt;$B$8+$B$9,0.5*(($B$8+$B$9)^2+O195^2)/O195-$B$9,$B$8)</f>
        <v>46.755532323506529</v>
      </c>
      <c r="L195">
        <f>0.5*Z195*K195/J195/$B$7</f>
        <v>25.841404285301909</v>
      </c>
      <c r="M195">
        <f t="shared" si="32"/>
        <v>0.10019261620012951</v>
      </c>
      <c r="N195" s="21">
        <f t="shared" si="36"/>
        <v>2.7857742893610916E-2</v>
      </c>
      <c r="O195" s="21">
        <f t="shared" si="37"/>
        <v>7.0312652520223997</v>
      </c>
      <c r="P195">
        <f t="shared" si="33"/>
        <v>0.1413162501469318</v>
      </c>
      <c r="Q195">
        <f t="shared" ref="Q195:Q258" si="40">1-B$15*P195</f>
        <v>0.90466314847487161</v>
      </c>
      <c r="R195">
        <f t="shared" ref="R195:R258" si="41">$E$15/(P195+$E$16)</f>
        <v>-0.41689228608352474</v>
      </c>
      <c r="T195" s="21">
        <f>(M195-M194)/(H195-H194)</f>
        <v>6.7996059578095958E-4</v>
      </c>
      <c r="W195">
        <v>80</v>
      </c>
      <c r="X195">
        <v>6.6830619999999996</v>
      </c>
      <c r="Y195">
        <v>1</v>
      </c>
      <c r="Z195">
        <f t="shared" si="38"/>
        <v>1</v>
      </c>
      <c r="AA195" s="21">
        <f>IF(X195&gt;$B$8+$B$9,0,ABS(X195-O195)/X195)</f>
        <v>5.2102352487886562E-2</v>
      </c>
    </row>
    <row r="196" spans="7:27" x14ac:dyDescent="0.2">
      <c r="G196" s="21"/>
      <c r="H196" s="21">
        <v>81</v>
      </c>
      <c r="I196">
        <f t="shared" si="34"/>
        <v>2.4248846718234057E-2</v>
      </c>
      <c r="J196">
        <f t="shared" si="35"/>
        <v>0.90405127704182564</v>
      </c>
      <c r="K196">
        <f t="shared" si="39"/>
        <v>46.608736471980052</v>
      </c>
      <c r="L196">
        <f>0.5*Z196*K196/J196/$B$7</f>
        <v>25.777706229501689</v>
      </c>
      <c r="M196">
        <f t="shared" ref="M196:M259" si="42">-LN(J196)</f>
        <v>0.10086919780721453</v>
      </c>
      <c r="N196" s="21">
        <f t="shared" si="36"/>
        <v>2.7945443211435265E-2</v>
      </c>
      <c r="O196" s="21">
        <f t="shared" si="37"/>
        <v>7.055514098740634</v>
      </c>
      <c r="P196">
        <f t="shared" ref="P196:P259" si="43">MIN(O196/(K196+$B$9),1)</f>
        <v>0.14222321712881603</v>
      </c>
      <c r="Q196">
        <f t="shared" si="40"/>
        <v>0.90405127704182564</v>
      </c>
      <c r="R196">
        <f t="shared" si="41"/>
        <v>-0.4178992485039581</v>
      </c>
      <c r="T196" s="21">
        <f>(M196-M195)/(H196-H195)</f>
        <v>6.7658160708501669E-4</v>
      </c>
      <c r="W196">
        <v>81</v>
      </c>
      <c r="X196">
        <v>6.6911740000000002</v>
      </c>
      <c r="Y196">
        <v>1</v>
      </c>
      <c r="Z196">
        <f t="shared" si="38"/>
        <v>1</v>
      </c>
      <c r="AA196" s="21">
        <f>IF(X196&gt;$B$8+$B$9,0,ABS(X196-O196)/X196)</f>
        <v>5.4450848048583668E-2</v>
      </c>
    </row>
    <row r="197" spans="7:27" x14ac:dyDescent="0.2">
      <c r="G197" s="21"/>
      <c r="H197" s="21">
        <v>82</v>
      </c>
      <c r="I197">
        <f t="shared" ref="I197:I260" si="44">IF(P196&lt;0.999,MAX(0,MIN(10000000,(L196/$E$8/M196^$E$10)^(1/$E$9)/N196)),0.1)</f>
        <v>2.4054808226259487E-2</v>
      </c>
      <c r="J197">
        <f t="shared" ref="J197:J260" si="45">Q197</f>
        <v>0.90344281320011477</v>
      </c>
      <c r="K197">
        <f t="shared" si="39"/>
        <v>46.464190907109391</v>
      </c>
      <c r="L197">
        <f>0.5*Z197*K197/J197/$B$7</f>
        <v>25.71507030009295</v>
      </c>
      <c r="M197">
        <f t="shared" si="42"/>
        <v>0.10154246569559099</v>
      </c>
      <c r="N197" s="21">
        <f t="shared" ref="N197:N260" si="46">-$B$15*(O197-2*(K197+$B$9))/(K197+$B$9)^2/J197</f>
        <v>2.8032366426643075E-2</v>
      </c>
      <c r="O197" s="21">
        <f t="shared" ref="O197:O260" si="47">O196+I197*(H197-H196)</f>
        <v>7.0795689069668937</v>
      </c>
      <c r="P197">
        <f t="shared" si="43"/>
        <v>0.14312513309399671</v>
      </c>
      <c r="Q197">
        <f t="shared" si="40"/>
        <v>0.90344281320011477</v>
      </c>
      <c r="R197">
        <f t="shared" si="41"/>
        <v>-0.41890543851203549</v>
      </c>
      <c r="T197" s="21">
        <f>(M197-M196)/(H197-H196)</f>
        <v>6.732678883764609E-4</v>
      </c>
      <c r="W197">
        <v>82</v>
      </c>
      <c r="X197">
        <v>6.7284909999999982</v>
      </c>
      <c r="Y197">
        <v>1</v>
      </c>
      <c r="Z197">
        <f t="shared" si="38"/>
        <v>1</v>
      </c>
      <c r="AA197" s="21">
        <f>IF(X197&gt;$B$8+$B$9,0,ABS(X197-O197)/X197)</f>
        <v>5.2177807322161172E-2</v>
      </c>
    </row>
    <row r="198" spans="7:27" x14ac:dyDescent="0.2">
      <c r="G198" s="21"/>
      <c r="H198" s="21">
        <v>83</v>
      </c>
      <c r="I198">
        <f t="shared" si="44"/>
        <v>2.3864883566356361E-2</v>
      </c>
      <c r="J198">
        <f t="shared" si="45"/>
        <v>0.90283769350301379</v>
      </c>
      <c r="K198">
        <f t="shared" si="39"/>
        <v>46.321834501387521</v>
      </c>
      <c r="L198">
        <f>0.5*Z198*K198/J198/$B$7</f>
        <v>25.653467303551881</v>
      </c>
      <c r="M198">
        <f t="shared" si="42"/>
        <v>0.1022124831347352</v>
      </c>
      <c r="N198" s="21">
        <f t="shared" si="46"/>
        <v>2.8118529104625246E-2</v>
      </c>
      <c r="O198" s="21">
        <f t="shared" si="47"/>
        <v>7.1034337905332503</v>
      </c>
      <c r="P198">
        <f t="shared" si="43"/>
        <v>0.14402209208851338</v>
      </c>
      <c r="Q198">
        <f t="shared" si="40"/>
        <v>0.90283769350301379</v>
      </c>
      <c r="R198">
        <f t="shared" si="41"/>
        <v>-0.41991091539191205</v>
      </c>
      <c r="T198" s="21">
        <f>(M198-M197)/(H198-H197)</f>
        <v>6.7001743914421596E-4</v>
      </c>
      <c r="W198">
        <v>83</v>
      </c>
      <c r="X198">
        <v>6.7479610000000001</v>
      </c>
      <c r="Y198">
        <v>1</v>
      </c>
      <c r="Z198">
        <f t="shared" si="38"/>
        <v>1</v>
      </c>
      <c r="AA198" s="21">
        <f>IF(X198&gt;$B$8+$B$9,0,ABS(X198-O198)/X198)</f>
        <v>5.2678548458304691E-2</v>
      </c>
    </row>
    <row r="199" spans="7:27" x14ac:dyDescent="0.2">
      <c r="G199" s="21"/>
      <c r="H199" s="21">
        <v>84</v>
      </c>
      <c r="I199">
        <f t="shared" si="44"/>
        <v>2.3678937531138245E-2</v>
      </c>
      <c r="J199">
        <f t="shared" si="45"/>
        <v>0.90223585642255932</v>
      </c>
      <c r="K199">
        <f t="shared" si="39"/>
        <v>46.181608498911061</v>
      </c>
      <c r="L199">
        <f>0.5*Z199*K199/J199/$B$7</f>
        <v>25.592869187235035</v>
      </c>
      <c r="M199">
        <f t="shared" si="42"/>
        <v>0.10287931147841169</v>
      </c>
      <c r="N199" s="21">
        <f t="shared" si="46"/>
        <v>2.8203947263861138E-2</v>
      </c>
      <c r="O199" s="21">
        <f t="shared" si="47"/>
        <v>7.1271127280643887</v>
      </c>
      <c r="P199">
        <f t="shared" si="43"/>
        <v>0.14491418531425607</v>
      </c>
      <c r="Q199">
        <f t="shared" si="40"/>
        <v>0.90223585642255932</v>
      </c>
      <c r="R199">
        <f t="shared" si="41"/>
        <v>-0.42091573686053646</v>
      </c>
      <c r="T199" s="21">
        <f>(M199-M198)/(H199-H198)</f>
        <v>6.6682834367648436E-4</v>
      </c>
      <c r="W199">
        <v>84</v>
      </c>
      <c r="X199">
        <v>6.7739209999999979</v>
      </c>
      <c r="Y199">
        <v>1</v>
      </c>
      <c r="Z199">
        <f t="shared" si="38"/>
        <v>1</v>
      </c>
      <c r="AA199" s="21">
        <f>IF(X199&gt;$B$8+$B$9,0,ABS(X199-O199)/X199)</f>
        <v>5.2139924286744847E-2</v>
      </c>
    </row>
    <row r="200" spans="7:27" x14ac:dyDescent="0.2">
      <c r="G200" s="21"/>
      <c r="H200" s="21">
        <v>85</v>
      </c>
      <c r="I200">
        <f t="shared" si="44"/>
        <v>2.3496840918062065E-2</v>
      </c>
      <c r="J200">
        <f t="shared" si="45"/>
        <v>0.90163724226927655</v>
      </c>
      <c r="K200">
        <f t="shared" si="39"/>
        <v>46.043456396391647</v>
      </c>
      <c r="L200">
        <f>0.5*Z200*K200/J200/$B$7</f>
        <v>25.533248981878589</v>
      </c>
      <c r="M200">
        <f t="shared" si="42"/>
        <v>0.10354301024490564</v>
      </c>
      <c r="N200" s="21">
        <f t="shared" si="46"/>
        <v>2.8288636400275204E-2</v>
      </c>
      <c r="O200" s="21">
        <f t="shared" si="47"/>
        <v>7.1506095689824507</v>
      </c>
      <c r="P200">
        <f t="shared" si="43"/>
        <v>0.14580150124795352</v>
      </c>
      <c r="Q200">
        <f t="shared" si="40"/>
        <v>0.90163724226927655</v>
      </c>
      <c r="R200">
        <f t="shared" si="41"/>
        <v>-0.4219199591359884</v>
      </c>
      <c r="T200" s="21">
        <f>(M200-M199)/(H200-H199)</f>
        <v>6.6369876649395587E-4</v>
      </c>
      <c r="W200">
        <v>85</v>
      </c>
      <c r="X200">
        <v>6.790146</v>
      </c>
      <c r="Y200">
        <v>1</v>
      </c>
      <c r="Z200">
        <f t="shared" si="38"/>
        <v>1</v>
      </c>
      <c r="AA200" s="21">
        <f>IF(X200&gt;$B$8+$B$9,0,ABS(X200-O200)/X200)</f>
        <v>5.3086276640067931E-2</v>
      </c>
    </row>
    <row r="201" spans="7:27" x14ac:dyDescent="0.2">
      <c r="G201" s="21"/>
      <c r="H201" s="21">
        <v>86</v>
      </c>
      <c r="I201">
        <f t="shared" si="44"/>
        <v>2.3318470195042313E-2</v>
      </c>
      <c r="J201">
        <f t="shared" si="45"/>
        <v>0.90104179311617372</v>
      </c>
      <c r="K201">
        <f t="shared" si="39"/>
        <v>45.907323831460552</v>
      </c>
      <c r="L201">
        <f>0.5*Z201*K201/J201/$B$7</f>
        <v>25.474580747633311</v>
      </c>
      <c r="M201">
        <f t="shared" si="42"/>
        <v>0.10420363719298728</v>
      </c>
      <c r="N201" s="21">
        <f t="shared" si="46"/>
        <v>2.837261151023469E-2</v>
      </c>
      <c r="O201" s="21">
        <f t="shared" si="47"/>
        <v>7.1739280391774933</v>
      </c>
      <c r="P201">
        <f t="shared" si="43"/>
        <v>0.14668412575383505</v>
      </c>
      <c r="Q201">
        <f t="shared" si="40"/>
        <v>0.90104179311617372</v>
      </c>
      <c r="R201">
        <f t="shared" si="41"/>
        <v>-0.42292363700217162</v>
      </c>
      <c r="T201" s="21">
        <f>(M201-M200)/(H201-H200)</f>
        <v>6.6062694808163847E-4</v>
      </c>
      <c r="W201">
        <v>86</v>
      </c>
      <c r="X201">
        <v>6.8209729999999986</v>
      </c>
      <c r="Y201">
        <v>1</v>
      </c>
      <c r="Z201">
        <f t="shared" si="38"/>
        <v>1</v>
      </c>
      <c r="AA201" s="21">
        <f>IF(X201&gt;$B$8+$B$9,0,ABS(X201-O201)/X201)</f>
        <v>5.1745555828691121E-2</v>
      </c>
    </row>
    <row r="202" spans="7:27" x14ac:dyDescent="0.2">
      <c r="G202" s="21"/>
      <c r="H202" s="21">
        <v>87</v>
      </c>
      <c r="I202">
        <f t="shared" si="44"/>
        <v>2.3143707188369906E-2</v>
      </c>
      <c r="J202">
        <f t="shared" si="45"/>
        <v>0.90044945272672994</v>
      </c>
      <c r="K202">
        <f t="shared" si="39"/>
        <v>45.773158477740232</v>
      </c>
      <c r="L202">
        <f>0.5*Z202*K202/J202/$B$7</f>
        <v>25.416839523379419</v>
      </c>
      <c r="M202">
        <f t="shared" si="42"/>
        <v>0.10486124839388238</v>
      </c>
      <c r="N202" s="21">
        <f t="shared" si="46"/>
        <v>2.8455887112279258E-2</v>
      </c>
      <c r="O202" s="21">
        <f t="shared" si="47"/>
        <v>7.1970717463658636</v>
      </c>
      <c r="P202">
        <f t="shared" si="43"/>
        <v>0.14756214219037225</v>
      </c>
      <c r="Q202">
        <f t="shared" si="40"/>
        <v>0.90044945272672994</v>
      </c>
      <c r="R202">
        <f t="shared" si="41"/>
        <v>-0.42392682387009745</v>
      </c>
      <c r="T202" s="21">
        <f>(M202-M201)/(H202-H201)</f>
        <v>6.5761120089509462E-4</v>
      </c>
      <c r="W202">
        <v>87</v>
      </c>
      <c r="X202">
        <v>6.8339530000000011</v>
      </c>
      <c r="Y202">
        <v>1</v>
      </c>
      <c r="Z202">
        <f t="shared" si="38"/>
        <v>1</v>
      </c>
      <c r="AA202" s="21">
        <f>IF(X202&gt;$B$8+$B$9,0,ABS(X202-O202)/X202)</f>
        <v>5.3134510343554084E-2</v>
      </c>
    </row>
    <row r="203" spans="7:27" x14ac:dyDescent="0.2">
      <c r="G203" s="21"/>
      <c r="H203" s="21">
        <v>88</v>
      </c>
      <c r="I203">
        <f t="shared" si="44"/>
        <v>2.2972438791208562E-2</v>
      </c>
      <c r="J203">
        <f t="shared" si="45"/>
        <v>0.89986016648662415</v>
      </c>
      <c r="K203">
        <f t="shared" si="39"/>
        <v>45.640909946200011</v>
      </c>
      <c r="L203">
        <f>0.5*Z203*K203/J203/$B$7</f>
        <v>25.360001279086752</v>
      </c>
      <c r="M203">
        <f t="shared" si="42"/>
        <v>0.10551589829950135</v>
      </c>
      <c r="N203" s="21">
        <f t="shared" si="46"/>
        <v>2.8538477267666118E-2</v>
      </c>
      <c r="O203" s="21">
        <f t="shared" si="47"/>
        <v>7.2200441851570725</v>
      </c>
      <c r="P203">
        <f t="shared" si="43"/>
        <v>0.14843563151147682</v>
      </c>
      <c r="Q203">
        <f t="shared" si="40"/>
        <v>0.89986016648662415</v>
      </c>
      <c r="R203">
        <f t="shared" si="41"/>
        <v>-0.42492957183597613</v>
      </c>
      <c r="T203" s="21">
        <f>(M203-M202)/(H203-H202)</f>
        <v>6.5464990561897585E-4</v>
      </c>
      <c r="W203">
        <v>88</v>
      </c>
      <c r="X203">
        <v>6.8599129999999988</v>
      </c>
      <c r="Y203">
        <v>1</v>
      </c>
      <c r="Z203">
        <f t="shared" si="38"/>
        <v>1</v>
      </c>
      <c r="AA203" s="21">
        <f>IF(X203&gt;$B$8+$B$9,0,ABS(X203-O203)/X203)</f>
        <v>5.249792310151364E-2</v>
      </c>
    </row>
    <row r="204" spans="7:27" x14ac:dyDescent="0.2">
      <c r="G204" s="21"/>
      <c r="H204" s="21">
        <v>89</v>
      </c>
      <c r="I204">
        <f t="shared" si="44"/>
        <v>2.2804556691091743E-2</v>
      </c>
      <c r="J204">
        <f t="shared" si="45"/>
        <v>0.89927388133896902</v>
      </c>
      <c r="K204">
        <f t="shared" si="39"/>
        <v>45.510529692352833</v>
      </c>
      <c r="L204">
        <f>0.5*Z204*K204/J204/$B$7</f>
        <v>25.304042871005091</v>
      </c>
      <c r="M204">
        <f t="shared" si="42"/>
        <v>0.10616763980716343</v>
      </c>
      <c r="N204" s="21">
        <f t="shared" si="46"/>
        <v>2.8620395599808123E-2</v>
      </c>
      <c r="O204" s="21">
        <f t="shared" si="47"/>
        <v>7.2428487418481646</v>
      </c>
      <c r="P204">
        <f t="shared" si="43"/>
        <v>0.149304672362502</v>
      </c>
      <c r="Q204">
        <f t="shared" si="40"/>
        <v>0.89927388133896902</v>
      </c>
      <c r="R204">
        <f t="shared" si="41"/>
        <v>-0.42593193173631727</v>
      </c>
      <c r="T204" s="21">
        <f>(M204-M203)/(H204-H203)</f>
        <v>6.5174150766207639E-4</v>
      </c>
      <c r="W204">
        <v>89</v>
      </c>
      <c r="X204">
        <v>6.8939850000000007</v>
      </c>
      <c r="Y204">
        <v>1</v>
      </c>
      <c r="Z204">
        <f t="shared" si="38"/>
        <v>1</v>
      </c>
      <c r="AA204" s="21">
        <f>IF(X204&gt;$B$8+$B$9,0,ABS(X204-O204)/X204)</f>
        <v>5.060407614002118E-2</v>
      </c>
    </row>
    <row r="205" spans="7:27" x14ac:dyDescent="0.2">
      <c r="G205" s="21"/>
      <c r="H205" s="21">
        <v>90</v>
      </c>
      <c r="I205">
        <f t="shared" si="44"/>
        <v>2.2639957114982207E-2</v>
      </c>
      <c r="J205">
        <f t="shared" si="45"/>
        <v>0.89869054572283269</v>
      </c>
      <c r="K205">
        <f t="shared" si="39"/>
        <v>45.381970928885437</v>
      </c>
      <c r="L205">
        <f>0.5*Z205*K205/J205/$B$7</f>
        <v>25.248941999486551</v>
      </c>
      <c r="M205">
        <f t="shared" si="42"/>
        <v>0.10681652432103275</v>
      </c>
      <c r="N205" s="21">
        <f t="shared" si="46"/>
        <v>2.8701655312676145E-2</v>
      </c>
      <c r="O205" s="21">
        <f t="shared" si="47"/>
        <v>7.2654886989631464</v>
      </c>
      <c r="P205">
        <f t="shared" si="43"/>
        <v>0.1501693411713709</v>
      </c>
      <c r="Q205">
        <f t="shared" si="40"/>
        <v>0.89869054572283269</v>
      </c>
      <c r="R205">
        <f t="shared" si="41"/>
        <v>-0.42693395320022814</v>
      </c>
      <c r="T205" s="21">
        <f>(M205-M204)/(H205-H204)</f>
        <v>6.4888451386932444E-4</v>
      </c>
      <c r="W205">
        <v>90</v>
      </c>
      <c r="X205">
        <v>6.898852999999999</v>
      </c>
      <c r="Y205">
        <v>1</v>
      </c>
      <c r="Z205">
        <f t="shared" si="38"/>
        <v>1</v>
      </c>
      <c r="AA205" s="21">
        <f>IF(X205&gt;$B$8+$B$9,0,ABS(X205-O205)/X205)</f>
        <v>5.3144442846245234E-2</v>
      </c>
    </row>
    <row r="206" spans="7:27" x14ac:dyDescent="0.2">
      <c r="G206" s="21"/>
      <c r="H206" s="21">
        <v>91</v>
      </c>
      <c r="I206">
        <f t="shared" si="44"/>
        <v>2.24785405905783E-2</v>
      </c>
      <c r="J206">
        <f t="shared" si="45"/>
        <v>0.89811010951484604</v>
      </c>
      <c r="K206">
        <f t="shared" si="39"/>
        <v>45.255188543347415</v>
      </c>
      <c r="L206">
        <f>0.5*Z206*K206/J206/$B$7</f>
        <v>25.194677169258238</v>
      </c>
      <c r="M206">
        <f t="shared" si="42"/>
        <v>0.10746260181046928</v>
      </c>
      <c r="N206" s="21">
        <f t="shared" si="46"/>
        <v>2.8782269208232011E-2</v>
      </c>
      <c r="O206" s="21">
        <f t="shared" si="47"/>
        <v>7.2879672395537245</v>
      </c>
      <c r="P206">
        <f t="shared" si="43"/>
        <v>0.15102971223513045</v>
      </c>
      <c r="Q206">
        <f t="shared" si="40"/>
        <v>0.89811010951484604</v>
      </c>
      <c r="R206">
        <f t="shared" si="41"/>
        <v>-0.42793568469908055</v>
      </c>
      <c r="T206" s="21">
        <f>(M206-M205)/(H206-H205)</f>
        <v>6.4607748943652787E-4</v>
      </c>
      <c r="W206">
        <v>91</v>
      </c>
      <c r="X206">
        <v>6.928058</v>
      </c>
      <c r="Y206">
        <v>1</v>
      </c>
      <c r="Z206">
        <f t="shared" si="38"/>
        <v>1</v>
      </c>
      <c r="AA206" s="21">
        <f>IF(X206&gt;$B$8+$B$9,0,ABS(X206-O206)/X206)</f>
        <v>5.1949513060330105E-2</v>
      </c>
    </row>
    <row r="207" spans="7:27" x14ac:dyDescent="0.2">
      <c r="G207" s="21"/>
      <c r="H207" s="21">
        <v>92</v>
      </c>
      <c r="I207">
        <f t="shared" si="44"/>
        <v>2.2320211722664341E-2</v>
      </c>
      <c r="J207">
        <f t="shared" si="45"/>
        <v>0.89753252397371042</v>
      </c>
      <c r="K207">
        <f t="shared" si="39"/>
        <v>45.130139020554076</v>
      </c>
      <c r="L207">
        <f>0.5*Z207*K207/J207/$B$7</f>
        <v>25.141227651977534</v>
      </c>
      <c r="M207">
        <f t="shared" si="42"/>
        <v>0.10810592086547906</v>
      </c>
      <c r="N207" s="21">
        <f t="shared" si="46"/>
        <v>2.8862249702952949E-2</v>
      </c>
      <c r="O207" s="21">
        <f t="shared" si="47"/>
        <v>7.3102874512763885</v>
      </c>
      <c r="P207">
        <f t="shared" si="43"/>
        <v>0.1518858578022082</v>
      </c>
      <c r="Q207">
        <f t="shared" si="40"/>
        <v>0.89753252397371042</v>
      </c>
      <c r="R207">
        <f t="shared" si="41"/>
        <v>-0.42893717359370881</v>
      </c>
      <c r="T207" s="21">
        <f>(M207-M206)/(H207-H206)</f>
        <v>6.4331905500977782E-4</v>
      </c>
      <c r="W207">
        <v>92</v>
      </c>
      <c r="X207">
        <v>6.9605069999999998</v>
      </c>
      <c r="Y207">
        <v>1</v>
      </c>
      <c r="Z207">
        <f t="shared" si="38"/>
        <v>1</v>
      </c>
      <c r="AA207" s="21">
        <f>IF(X207&gt;$B$8+$B$9,0,ABS(X207-O207)/X207)</f>
        <v>5.0252151355697036E-2</v>
      </c>
    </row>
    <row r="208" spans="7:27" x14ac:dyDescent="0.2">
      <c r="G208" s="21"/>
      <c r="H208" s="21">
        <v>93</v>
      </c>
      <c r="I208">
        <f t="shared" si="44"/>
        <v>2.2164878983402816E-2</v>
      </c>
      <c r="J208">
        <f t="shared" si="45"/>
        <v>0.89695774168742726</v>
      </c>
      <c r="K208">
        <f t="shared" si="39"/>
        <v>45.006780369384877</v>
      </c>
      <c r="L208">
        <f>0.5*Z208*K208/J208/$B$7</f>
        <v>25.088573450915643</v>
      </c>
      <c r="M208">
        <f t="shared" si="42"/>
        <v>0.10874652874944316</v>
      </c>
      <c r="N208" s="21">
        <f t="shared" si="46"/>
        <v>2.8941608843504524E-2</v>
      </c>
      <c r="O208" s="21">
        <f t="shared" si="47"/>
        <v>7.332452330259791</v>
      </c>
      <c r="P208">
        <f t="shared" si="43"/>
        <v>0.1527378481506308</v>
      </c>
      <c r="Q208">
        <f t="shared" si="40"/>
        <v>0.89695774168742726</v>
      </c>
      <c r="R208">
        <f t="shared" si="41"/>
        <v>-0.4299384661792866</v>
      </c>
      <c r="T208" s="21">
        <f>(M208-M207)/(H208-H207)</f>
        <v>6.4060788396409774E-4</v>
      </c>
      <c r="W208">
        <v>93</v>
      </c>
      <c r="X208">
        <v>6.9767319999999984</v>
      </c>
      <c r="Y208">
        <v>1</v>
      </c>
      <c r="Z208">
        <f t="shared" si="38"/>
        <v>1</v>
      </c>
      <c r="AA208" s="21">
        <f>IF(X208&gt;$B$8+$B$9,0,ABS(X208-O208)/X208)</f>
        <v>5.098666972728675E-2</v>
      </c>
    </row>
    <row r="209" spans="7:27" x14ac:dyDescent="0.2">
      <c r="G209" s="21"/>
      <c r="H209" s="21">
        <v>94</v>
      </c>
      <c r="I209">
        <f t="shared" si="44"/>
        <v>2.2012454515558402E-2</v>
      </c>
      <c r="J209">
        <f t="shared" si="45"/>
        <v>0.89638571652309351</v>
      </c>
      <c r="K209">
        <f t="shared" si="39"/>
        <v>44.885072053684155</v>
      </c>
      <c r="L209">
        <f>0.5*Z209*K209/J209/$B$7</f>
        <v>25.036695267626893</v>
      </c>
      <c r="M209">
        <f t="shared" si="42"/>
        <v>0.10938447144928086</v>
      </c>
      <c r="N209" s="21">
        <f t="shared" si="46"/>
        <v>2.9020358321614408E-2</v>
      </c>
      <c r="O209" s="21">
        <f t="shared" si="47"/>
        <v>7.3544647847753497</v>
      </c>
      <c r="P209">
        <f t="shared" si="43"/>
        <v>0.15358575166244354</v>
      </c>
      <c r="Q209">
        <f t="shared" si="40"/>
        <v>0.89638571652309351</v>
      </c>
      <c r="R209">
        <f t="shared" si="41"/>
        <v>-0.43093960772802314</v>
      </c>
      <c r="T209" s="21">
        <f>(M209-M208)/(H209-H208)</f>
        <v>6.3794269983770413E-4</v>
      </c>
      <c r="W209">
        <v>94</v>
      </c>
      <c r="X209">
        <v>7.0026919999999997</v>
      </c>
      <c r="Y209">
        <v>1</v>
      </c>
      <c r="Z209">
        <f t="shared" si="38"/>
        <v>1</v>
      </c>
      <c r="AA209" s="21">
        <f>IF(X209&gt;$B$8+$B$9,0,ABS(X209-O209)/X209)</f>
        <v>5.0233936431211032E-2</v>
      </c>
    </row>
    <row r="210" spans="7:27" x14ac:dyDescent="0.2">
      <c r="G210" s="21"/>
      <c r="H210" s="21">
        <v>95</v>
      </c>
      <c r="I210">
        <f t="shared" si="44"/>
        <v>2.1862853947726742E-2</v>
      </c>
      <c r="J210">
        <f t="shared" si="45"/>
        <v>0.89581640357910741</v>
      </c>
      <c r="K210">
        <f t="shared" si="39"/>
        <v>44.76497492699324</v>
      </c>
      <c r="L210">
        <f>0.5*Z210*K210/J210/$B$7</f>
        <v>24.985574470472482</v>
      </c>
      <c r="M210">
        <f t="shared" si="42"/>
        <v>0.1100197937232029</v>
      </c>
      <c r="N210" s="21">
        <f t="shared" si="46"/>
        <v>2.9098509488195964E-2</v>
      </c>
      <c r="O210" s="21">
        <f t="shared" si="47"/>
        <v>7.3763276387230761</v>
      </c>
      <c r="P210">
        <f t="shared" si="43"/>
        <v>0.15442963489455366</v>
      </c>
      <c r="Q210">
        <f t="shared" si="40"/>
        <v>0.89581640357910741</v>
      </c>
      <c r="R210">
        <f t="shared" si="41"/>
        <v>-0.43194064252980585</v>
      </c>
      <c r="T210" s="21">
        <f>(M210-M209)/(H210-H209)</f>
        <v>6.3532227392204543E-4</v>
      </c>
      <c r="W210">
        <v>95</v>
      </c>
      <c r="X210">
        <v>7.014050000000001</v>
      </c>
      <c r="Y210">
        <v>1</v>
      </c>
      <c r="Z210">
        <f t="shared" si="38"/>
        <v>1</v>
      </c>
      <c r="AA210" s="21">
        <f>IF(X210&gt;$B$8+$B$9,0,ABS(X210-O210)/X210)</f>
        <v>5.165027890064585E-2</v>
      </c>
    </row>
    <row r="211" spans="7:27" x14ac:dyDescent="0.2">
      <c r="G211" s="21"/>
      <c r="H211" s="21">
        <v>96</v>
      </c>
      <c r="I211">
        <f t="shared" si="44"/>
        <v>2.1715996220716668E-2</v>
      </c>
      <c r="J211">
        <f t="shared" si="45"/>
        <v>0.89524975913964699</v>
      </c>
      <c r="K211">
        <f t="shared" si="39"/>
        <v>44.646451170863394</v>
      </c>
      <c r="L211">
        <f>0.5*Z211*K211/J211/$B$7</f>
        <v>24.935193064876962</v>
      </c>
      <c r="M211">
        <f t="shared" si="42"/>
        <v>0.11065253914619247</v>
      </c>
      <c r="N211" s="21">
        <f t="shared" si="46"/>
        <v>2.9176073366767048E-2</v>
      </c>
      <c r="O211" s="21">
        <f t="shared" si="47"/>
        <v>7.398043634943793</v>
      </c>
      <c r="P211">
        <f t="shared" si="43"/>
        <v>0.1552695626462065</v>
      </c>
      <c r="Q211">
        <f t="shared" si="40"/>
        <v>0.89524975913964699</v>
      </c>
      <c r="R211">
        <f t="shared" si="41"/>
        <v>-0.4329416139309113</v>
      </c>
      <c r="T211" s="21">
        <f>(M211-M210)/(H211-H210)</f>
        <v>6.3274542298956404E-4</v>
      </c>
      <c r="W211">
        <v>96</v>
      </c>
      <c r="X211">
        <v>7.0237850000000002</v>
      </c>
      <c r="Y211">
        <v>1</v>
      </c>
      <c r="Z211">
        <f t="shared" si="38"/>
        <v>1</v>
      </c>
      <c r="AA211" s="21">
        <f>IF(X211&gt;$B$8+$B$9,0,ABS(X211-O211)/X211)</f>
        <v>5.3284466273354446E-2</v>
      </c>
    </row>
    <row r="212" spans="7:27" x14ac:dyDescent="0.2">
      <c r="G212" s="21"/>
      <c r="H212" s="21">
        <v>97</v>
      </c>
      <c r="I212">
        <f t="shared" si="44"/>
        <v>2.1571803424302781E-2</v>
      </c>
      <c r="J212">
        <f t="shared" si="45"/>
        <v>0.89468574063129025</v>
      </c>
      <c r="K212">
        <f t="shared" si="39"/>
        <v>44.529464236518251</v>
      </c>
      <c r="L212">
        <f>0.5*Z212*K212/J212/$B$7</f>
        <v>24.885533665205315</v>
      </c>
      <c r="M212">
        <f t="shared" si="42"/>
        <v>0.11128275015334477</v>
      </c>
      <c r="N212" s="21">
        <f t="shared" si="46"/>
        <v>2.9253060666205873E-2</v>
      </c>
      <c r="O212" s="21">
        <f t="shared" si="47"/>
        <v>7.4196154383680959</v>
      </c>
      <c r="P212">
        <f t="shared" si="43"/>
        <v>0.15610559802328663</v>
      </c>
      <c r="Q212">
        <f t="shared" si="40"/>
        <v>0.89468574063129025</v>
      </c>
      <c r="R212">
        <f t="shared" si="41"/>
        <v>-0.4339425643708949</v>
      </c>
      <c r="T212" s="21">
        <f>(M212-M211)/(H212-H211)</f>
        <v>6.3021100715229816E-4</v>
      </c>
      <c r="W212">
        <v>97</v>
      </c>
      <c r="X212">
        <v>7.0659689999999991</v>
      </c>
      <c r="Y212">
        <v>1</v>
      </c>
      <c r="Z212">
        <f t="shared" si="38"/>
        <v>1</v>
      </c>
      <c r="AA212" s="21">
        <f>IF(X212&gt;$B$8+$B$9,0,ABS(X212-O212)/X212)</f>
        <v>5.0049248499122609E-2</v>
      </c>
    </row>
    <row r="213" spans="7:27" x14ac:dyDescent="0.2">
      <c r="G213" s="21"/>
      <c r="H213" s="21">
        <v>98</v>
      </c>
      <c r="I213">
        <f t="shared" si="44"/>
        <v>2.1430200643628602E-2</v>
      </c>
      <c r="J213">
        <f t="shared" si="45"/>
        <v>0.89412430658165454</v>
      </c>
      <c r="K213">
        <f t="shared" si="39"/>
        <v>44.413978789651097</v>
      </c>
      <c r="L213">
        <f>0.5*Z213*K213/J213/$B$7</f>
        <v>24.836579468156454</v>
      </c>
      <c r="M213">
        <f t="shared" si="42"/>
        <v>0.11191046808118803</v>
      </c>
      <c r="N213" s="21">
        <f t="shared" si="46"/>
        <v>2.932948179288368E-2</v>
      </c>
      <c r="O213" s="21">
        <f t="shared" si="47"/>
        <v>7.4410456390117243</v>
      </c>
      <c r="P213">
        <f t="shared" si="43"/>
        <v>0.15693780249962608</v>
      </c>
      <c r="Q213">
        <f t="shared" si="40"/>
        <v>0.89412430658165454</v>
      </c>
      <c r="R213">
        <f t="shared" si="41"/>
        <v>-0.43494353541776537</v>
      </c>
      <c r="T213" s="21">
        <f>(M213-M212)/(H213-H212)</f>
        <v>6.2771792784326041E-4</v>
      </c>
      <c r="W213">
        <v>98</v>
      </c>
      <c r="X213">
        <v>7.1032869999999981</v>
      </c>
      <c r="Y213">
        <v>1</v>
      </c>
      <c r="Z213">
        <f t="shared" si="38"/>
        <v>1</v>
      </c>
      <c r="AA213" s="21">
        <f>IF(X213&gt;$B$8+$B$9,0,ABS(X213-O213)/X213)</f>
        <v>4.7549625829806159E-2</v>
      </c>
    </row>
    <row r="214" spans="7:27" x14ac:dyDescent="0.2">
      <c r="G214" s="21"/>
      <c r="H214" s="21">
        <v>99</v>
      </c>
      <c r="I214">
        <f t="shared" si="44"/>
        <v>2.1291115814596206E-2</v>
      </c>
      <c r="J214">
        <f t="shared" si="45"/>
        <v>0.89356541657994193</v>
      </c>
      <c r="K214">
        <f t="shared" si="39"/>
        <v>44.299960658158611</v>
      </c>
      <c r="L214">
        <f>0.5*Z214*K214/J214/$B$7</f>
        <v>24.788314227576958</v>
      </c>
      <c r="M214">
        <f t="shared" si="42"/>
        <v>0.11253573320709888</v>
      </c>
      <c r="N214" s="21">
        <f t="shared" si="46"/>
        <v>2.9405346862210215E-2</v>
      </c>
      <c r="O214" s="21">
        <f t="shared" si="47"/>
        <v>7.4623367548263202</v>
      </c>
      <c r="P214">
        <f t="shared" si="43"/>
        <v>0.15776623597548736</v>
      </c>
      <c r="Q214">
        <f t="shared" si="40"/>
        <v>0.89356541657994193</v>
      </c>
      <c r="R214">
        <f t="shared" si="41"/>
        <v>-0.43594456780153956</v>
      </c>
      <c r="T214" s="21">
        <f>(M214-M213)/(H214-H213)</f>
        <v>6.2526512591085104E-4</v>
      </c>
      <c r="W214">
        <v>99</v>
      </c>
      <c r="X214">
        <v>7.1162659999999995</v>
      </c>
      <c r="Y214">
        <v>1</v>
      </c>
      <c r="Z214">
        <f t="shared" si="38"/>
        <v>1</v>
      </c>
      <c r="AA214" s="21">
        <f>IF(X214&gt;$B$8+$B$9,0,ABS(X214-O214)/X214)</f>
        <v>4.8630947020013117E-2</v>
      </c>
    </row>
    <row r="215" spans="7:27" x14ac:dyDescent="0.2">
      <c r="G215" s="21"/>
      <c r="H215" s="21">
        <v>100</v>
      </c>
      <c r="I215">
        <f t="shared" si="44"/>
        <v>2.115447958763143E-2</v>
      </c>
      <c r="J215">
        <f t="shared" si="45"/>
        <v>0.89300903123928388</v>
      </c>
      <c r="K215">
        <f t="shared" si="39"/>
        <v>44.187376782626686</v>
      </c>
      <c r="L215">
        <f>0.5*Z215*K215/J215/$B$7</f>
        <v>24.740722230605623</v>
      </c>
      <c r="M215">
        <f t="shared" si="42"/>
        <v>0.11315858478691902</v>
      </c>
      <c r="N215" s="21">
        <f t="shared" si="46"/>
        <v>2.9480665709626507E-2</v>
      </c>
      <c r="O215" s="21">
        <f t="shared" si="47"/>
        <v>7.4834912344139513</v>
      </c>
      <c r="P215">
        <f t="shared" si="43"/>
        <v>0.15859095683337926</v>
      </c>
      <c r="Q215">
        <f t="shared" si="40"/>
        <v>0.89300903123928388</v>
      </c>
      <c r="R215">
        <f t="shared" si="41"/>
        <v>-0.4369457014462706</v>
      </c>
      <c r="T215" s="21">
        <f>(M215-M214)/(H215-H214)</f>
        <v>6.2285157982014394E-4</v>
      </c>
      <c r="W215">
        <v>100</v>
      </c>
      <c r="X215">
        <v>7.1357359999999979</v>
      </c>
      <c r="Y215">
        <v>1</v>
      </c>
      <c r="Z215">
        <f t="shared" si="38"/>
        <v>1</v>
      </c>
      <c r="AA215" s="21">
        <f>IF(X215&gt;$B$8+$B$9,0,ABS(X215-O215)/X215)</f>
        <v>4.8734318984608387E-2</v>
      </c>
    </row>
    <row r="216" spans="7:27" x14ac:dyDescent="0.2">
      <c r="G216" s="21"/>
      <c r="H216" s="21">
        <v>101</v>
      </c>
      <c r="I216">
        <f t="shared" si="44"/>
        <v>2.1020225199260032E-2</v>
      </c>
      <c r="J216">
        <f t="shared" si="45"/>
        <v>0.89245511216078632</v>
      </c>
      <c r="K216">
        <f t="shared" si="39"/>
        <v>44.076195169397678</v>
      </c>
      <c r="L216">
        <f>0.5*Z216*K216/J216/$B$7</f>
        <v>24.693788275066115</v>
      </c>
      <c r="M216">
        <f t="shared" si="42"/>
        <v>0.11377906109087198</v>
      </c>
      <c r="N216" s="21">
        <f t="shared" si="46"/>
        <v>2.9555447901076372E-2</v>
      </c>
      <c r="O216" s="21">
        <f t="shared" si="47"/>
        <v>7.5045114596132114</v>
      </c>
      <c r="P216">
        <f t="shared" si="43"/>
        <v>0.15941202199135221</v>
      </c>
      <c r="Q216">
        <f t="shared" si="40"/>
        <v>0.89245511216078632</v>
      </c>
      <c r="R216">
        <f t="shared" si="41"/>
        <v>-0.43794697550063155</v>
      </c>
      <c r="T216" s="21">
        <f>(M216-M215)/(H216-H215)</f>
        <v>6.2047630395295483E-4</v>
      </c>
      <c r="W216">
        <v>101</v>
      </c>
      <c r="X216">
        <v>7.1503389999999989</v>
      </c>
      <c r="Y216">
        <v>1</v>
      </c>
      <c r="Z216">
        <f t="shared" si="38"/>
        <v>1</v>
      </c>
      <c r="AA216" s="21">
        <f>IF(X216&gt;$B$8+$B$9,0,ABS(X216-O216)/X216)</f>
        <v>4.9532261283445803E-2</v>
      </c>
    </row>
    <row r="217" spans="7:27" x14ac:dyDescent="0.2">
      <c r="G217" s="21"/>
      <c r="H217" s="21">
        <v>102</v>
      </c>
      <c r="I217">
        <f t="shared" si="44"/>
        <v>2.0888288350973939E-2</v>
      </c>
      <c r="J217">
        <f t="shared" si="45"/>
        <v>0.8919036218991816</v>
      </c>
      <c r="K217">
        <f t="shared" si="39"/>
        <v>43.966384846060116</v>
      </c>
      <c r="L217">
        <f>0.5*Z217*K217/J217/$B$7</f>
        <v>24.647497648030608</v>
      </c>
      <c r="M217">
        <f t="shared" si="42"/>
        <v>0.11439719943787359</v>
      </c>
      <c r="N217" s="21">
        <f t="shared" si="46"/>
        <v>2.9629702742986451E-2</v>
      </c>
      <c r="O217" s="21">
        <f t="shared" si="47"/>
        <v>7.525399747964185</v>
      </c>
      <c r="P217">
        <f t="shared" si="43"/>
        <v>0.16022948695391168</v>
      </c>
      <c r="Q217">
        <f t="shared" si="40"/>
        <v>0.8919036218991816</v>
      </c>
      <c r="R217">
        <f t="shared" si="41"/>
        <v>-0.43894842836713821</v>
      </c>
      <c r="T217" s="21">
        <f>(M217-M216)/(H217-H216)</f>
        <v>6.1813834700161219E-4</v>
      </c>
      <c r="W217">
        <v>102</v>
      </c>
      <c r="X217">
        <v>7.1698090000000008</v>
      </c>
      <c r="Y217">
        <v>1</v>
      </c>
      <c r="Z217">
        <f t="shared" si="38"/>
        <v>1</v>
      </c>
      <c r="AA217" s="21">
        <f>IF(X217&gt;$B$8+$B$9,0,ABS(X217-O217)/X217)</f>
        <v>4.9595567743043668E-2</v>
      </c>
    </row>
    <row r="218" spans="7:27" x14ac:dyDescent="0.2">
      <c r="G218" s="21"/>
      <c r="H218" s="21">
        <v>103</v>
      </c>
      <c r="I218">
        <f t="shared" si="44"/>
        <v>2.075860709490638E-2</v>
      </c>
      <c r="J218">
        <f t="shared" si="45"/>
        <v>0.89135452393000125</v>
      </c>
      <c r="K218">
        <f t="shared" si="39"/>
        <v>43.857915819213567</v>
      </c>
      <c r="L218">
        <f>0.5*Z218*K218/J218/$B$7</f>
        <v>24.601836105483077</v>
      </c>
      <c r="M218">
        <f t="shared" si="42"/>
        <v>0.11501303622832217</v>
      </c>
      <c r="N218" s="21">
        <f t="shared" si="46"/>
        <v>2.9703439291782437E-2</v>
      </c>
      <c r="O218" s="21">
        <f t="shared" si="47"/>
        <v>7.5461583550590916</v>
      </c>
      <c r="P218">
        <f t="shared" si="43"/>
        <v>0.16104340586067795</v>
      </c>
      <c r="Q218">
        <f t="shared" si="40"/>
        <v>0.89135452393000125</v>
      </c>
      <c r="R218">
        <f t="shared" si="41"/>
        <v>-0.43995009773008037</v>
      </c>
      <c r="T218" s="21">
        <f>(M218-M217)/(H218-H217)</f>
        <v>6.158367904485762E-4</v>
      </c>
      <c r="W218">
        <v>103</v>
      </c>
      <c r="X218">
        <v>7.2055030000000002</v>
      </c>
      <c r="Y218">
        <v>1</v>
      </c>
      <c r="Z218">
        <f t="shared" si="38"/>
        <v>1</v>
      </c>
      <c r="AA218" s="21">
        <f>IF(X218&gt;$B$8+$B$9,0,ABS(X218-O218)/X218)</f>
        <v>4.7277109600688719E-2</v>
      </c>
    </row>
    <row r="219" spans="7:27" x14ac:dyDescent="0.2">
      <c r="G219" s="21"/>
      <c r="H219" s="21">
        <v>104</v>
      </c>
      <c r="I219">
        <f t="shared" si="44"/>
        <v>2.0631121725869971E-2</v>
      </c>
      <c r="J219">
        <f t="shared" si="45"/>
        <v>0.89080778261818705</v>
      </c>
      <c r="K219">
        <f t="shared" si="39"/>
        <v>43.750759034371512</v>
      </c>
      <c r="L219">
        <f>0.5*Z219*K219/J219/$B$7</f>
        <v>24.556789853015751</v>
      </c>
      <c r="M219">
        <f t="shared" si="42"/>
        <v>0.11562660697545099</v>
      </c>
      <c r="N219" s="21">
        <f t="shared" si="46"/>
        <v>2.9776666362967205E-2</v>
      </c>
      <c r="O219" s="21">
        <f t="shared" si="47"/>
        <v>7.5667894767849617</v>
      </c>
      <c r="P219">
        <f t="shared" si="43"/>
        <v>0.16185383153291266</v>
      </c>
      <c r="Q219">
        <f t="shared" si="40"/>
        <v>0.89080778261818705</v>
      </c>
      <c r="R219">
        <f t="shared" si="41"/>
        <v>-0.44095202058223587</v>
      </c>
      <c r="T219" s="21">
        <f>(M219-M218)/(H219-H218)</f>
        <v>6.1357074712882487E-4</v>
      </c>
      <c r="W219">
        <v>104</v>
      </c>
      <c r="X219">
        <v>7.2136159999999983</v>
      </c>
      <c r="Y219">
        <v>1</v>
      </c>
      <c r="Z219">
        <f t="shared" si="38"/>
        <v>1</v>
      </c>
      <c r="AA219" s="21">
        <f>IF(X219&gt;$B$8+$B$9,0,ABS(X219-O219)/X219)</f>
        <v>4.895928432910257E-2</v>
      </c>
    </row>
    <row r="220" spans="7:27" x14ac:dyDescent="0.2">
      <c r="G220" s="21"/>
      <c r="H220" s="21">
        <v>105</v>
      </c>
      <c r="I220">
        <f t="shared" si="44"/>
        <v>2.0505774679346681E-2</v>
      </c>
      <c r="J220">
        <f t="shared" si="45"/>
        <v>0.89026336318806498</v>
      </c>
      <c r="K220">
        <f t="shared" si="39"/>
        <v>43.644886337874347</v>
      </c>
      <c r="L220">
        <f>0.5*Z220*K220/J220/$B$7</f>
        <v>24.512345527496745</v>
      </c>
      <c r="M220">
        <f t="shared" si="42"/>
        <v>0.11623794633531848</v>
      </c>
      <c r="N220" s="21">
        <f t="shared" si="46"/>
        <v>2.9849392539785295E-2</v>
      </c>
      <c r="O220" s="21">
        <f t="shared" si="47"/>
        <v>7.5872952514643082</v>
      </c>
      <c r="P220">
        <f t="shared" si="43"/>
        <v>0.1626608155180268</v>
      </c>
      <c r="Q220">
        <f t="shared" si="40"/>
        <v>0.89026336318806498</v>
      </c>
      <c r="R220">
        <f t="shared" si="41"/>
        <v>-0.44195423325042971</v>
      </c>
      <c r="T220" s="21">
        <f>(M220-M219)/(H220-H219)</f>
        <v>6.1133935986748544E-4</v>
      </c>
      <c r="W220">
        <v>105</v>
      </c>
      <c r="X220">
        <v>7.2476880000000001</v>
      </c>
      <c r="Y220">
        <v>1</v>
      </c>
      <c r="Z220">
        <f t="shared" si="38"/>
        <v>1</v>
      </c>
      <c r="AA220" s="21">
        <f>IF(X220&gt;$B$8+$B$9,0,ABS(X220-O220)/X220)</f>
        <v>4.685732215077526E-2</v>
      </c>
    </row>
    <row r="221" spans="7:27" x14ac:dyDescent="0.2">
      <c r="G221" s="21"/>
      <c r="H221" s="21">
        <v>106</v>
      </c>
      <c r="I221">
        <f t="shared" si="44"/>
        <v>2.0382510435046648E-2</v>
      </c>
      <c r="J221">
        <f t="shared" si="45"/>
        <v>0.88972123169460959</v>
      </c>
      <c r="K221">
        <f t="shared" si="39"/>
        <v>43.540270440693916</v>
      </c>
      <c r="L221">
        <f>0.5*Z221*K221/J221/$B$7</f>
        <v>24.468490179651461</v>
      </c>
      <c r="M221">
        <f t="shared" si="42"/>
        <v>0.11684708813550855</v>
      </c>
      <c r="N221" s="21">
        <f t="shared" si="46"/>
        <v>2.9921626181496058E-2</v>
      </c>
      <c r="O221" s="21">
        <f>O220+I221*(H221-H220)</f>
        <v>7.607677761899355</v>
      </c>
      <c r="P221">
        <f t="shared" si="43"/>
        <v>0.16346440813217425</v>
      </c>
      <c r="Q221">
        <f t="shared" si="40"/>
        <v>0.88972123169460959</v>
      </c>
      <c r="R221">
        <f t="shared" si="41"/>
        <v>-0.44295677142000012</v>
      </c>
      <c r="T221" s="21">
        <f>(M221-M220)/(H221-H220)</f>
        <v>6.0914180019007447E-4</v>
      </c>
      <c r="W221">
        <v>106</v>
      </c>
      <c r="X221">
        <v>7.2558009999999982</v>
      </c>
      <c r="Y221">
        <v>1</v>
      </c>
      <c r="Z221">
        <f t="shared" si="38"/>
        <v>1</v>
      </c>
      <c r="AA221" s="21">
        <f>IF(X221&gt;$B$8+$B$9,0,ABS(X221-O221)/X221)</f>
        <v>4.8495922352247103E-2</v>
      </c>
    </row>
    <row r="222" spans="7:27" x14ac:dyDescent="0.2">
      <c r="G222" s="21"/>
      <c r="H222" s="21">
        <v>107</v>
      </c>
      <c r="I222">
        <f t="shared" si="44"/>
        <v>2.0261275425683147E-2</v>
      </c>
      <c r="J222">
        <f t="shared" si="45"/>
        <v>0.88918135499593265</v>
      </c>
      <c r="K222">
        <f t="shared" si="39"/>
        <v>43.436884884018497</v>
      </c>
      <c r="L222">
        <f>0.5*Z222*K222/J222/$B$7</f>
        <v>24.425211257503925</v>
      </c>
      <c r="M222">
        <f>-LN(J222)</f>
        <v>0.11745406540260725</v>
      </c>
      <c r="N222" s="21">
        <f t="shared" si="46"/>
        <v>2.9993375431276909E-2</v>
      </c>
      <c r="O222" s="21">
        <f>O221+I222*(H222-H221)</f>
        <v>7.6279390373250378</v>
      </c>
      <c r="P222">
        <f t="shared" si="43"/>
        <v>0.16426465850103208</v>
      </c>
      <c r="Q222">
        <f t="shared" si="40"/>
        <v>0.88918135499593265</v>
      </c>
      <c r="R222">
        <f t="shared" si="41"/>
        <v>-0.44395967015823007</v>
      </c>
      <c r="T222" s="21">
        <f>(M222-M221)/(H222-H221)</f>
        <v>6.0697726709869892E-4</v>
      </c>
      <c r="W222">
        <v>107</v>
      </c>
      <c r="X222">
        <v>7.2931179999999998</v>
      </c>
      <c r="Y222">
        <v>1</v>
      </c>
      <c r="Z222">
        <f t="shared" si="38"/>
        <v>1</v>
      </c>
      <c r="AA222" s="21">
        <f>IF(X222&gt;$B$8+$B$9,0,ABS(X222-O222)/X222)</f>
        <v>4.5909175927914235E-2</v>
      </c>
    </row>
    <row r="223" spans="7:27" x14ac:dyDescent="0.2">
      <c r="G223" s="21"/>
      <c r="H223" s="21">
        <v>108</v>
      </c>
      <c r="I223">
        <f t="shared" si="44"/>
        <v>2.0142017950634552E-2</v>
      </c>
      <c r="J223">
        <f t="shared" si="45"/>
        <v>0.88864370072693144</v>
      </c>
      <c r="K223">
        <f t="shared" si="39"/>
        <v>43.334704006515018</v>
      </c>
      <c r="L223">
        <f>0.5*Z223*K223/J223/$B$7</f>
        <v>24.382496590628062</v>
      </c>
      <c r="M223">
        <f t="shared" si="42"/>
        <v>0.11805891038852041</v>
      </c>
      <c r="N223" s="21">
        <f t="shared" si="46"/>
        <v>3.0064648223776424E-2</v>
      </c>
      <c r="O223" s="21">
        <f>O222+I223*(H223-H222)</f>
        <v>7.6480810552756724</v>
      </c>
      <c r="P223">
        <f t="shared" si="43"/>
        <v>0.16506161459886079</v>
      </c>
      <c r="Q223">
        <f t="shared" si="40"/>
        <v>0.88864370072693144</v>
      </c>
      <c r="R223">
        <f t="shared" si="41"/>
        <v>-0.44496296393679635</v>
      </c>
      <c r="T223" s="21">
        <f>(M223-M222)/(H223-H222)</f>
        <v>6.0484498591316382E-4</v>
      </c>
      <c r="W223">
        <v>108</v>
      </c>
      <c r="X223">
        <v>7.3012300000000003</v>
      </c>
      <c r="Y223">
        <v>1</v>
      </c>
      <c r="Z223">
        <f t="shared" si="38"/>
        <v>1</v>
      </c>
      <c r="AA223" s="21">
        <f>IF(X223&gt;$B$8+$B$9,0,ABS(X223-O223)/X223)</f>
        <v>4.7505838779996257E-2</v>
      </c>
    </row>
    <row r="224" spans="7:27" x14ac:dyDescent="0.2">
      <c r="G224" s="21"/>
      <c r="H224" s="21">
        <v>109</v>
      </c>
      <c r="I224">
        <f t="shared" si="44"/>
        <v>2.002468809418901E-2</v>
      </c>
      <c r="J224">
        <f t="shared" si="45"/>
        <v>0.88810823727403942</v>
      </c>
      <c r="K224">
        <f t="shared" si="39"/>
        <v>43.23370291317211</v>
      </c>
      <c r="L224">
        <f>0.5*Z224*K224/J224/$B$7</f>
        <v>24.34033437516225</v>
      </c>
      <c r="M224">
        <f t="shared" si="42"/>
        <v>0.11866165459568942</v>
      </c>
      <c r="N224" s="21">
        <f t="shared" si="46"/>
        <v>3.0135452292335874E-2</v>
      </c>
      <c r="O224" s="21">
        <f t="shared" si="47"/>
        <v>7.6681057433698614</v>
      </c>
      <c r="P224">
        <f t="shared" si="43"/>
        <v>0.16585532328593125</v>
      </c>
      <c r="Q224">
        <f t="shared" si="40"/>
        <v>0.88810823727403942</v>
      </c>
      <c r="R224">
        <f t="shared" si="41"/>
        <v>-0.44596668665328804</v>
      </c>
      <c r="T224" s="21">
        <f>(M224-M223)/(H224-H223)</f>
        <v>6.0274420716900645E-4</v>
      </c>
      <c r="W224">
        <v>109</v>
      </c>
      <c r="X224">
        <v>7.3190780000000011</v>
      </c>
      <c r="Y224">
        <v>1</v>
      </c>
      <c r="Z224">
        <f t="shared" si="38"/>
        <v>1</v>
      </c>
      <c r="AA224" s="21">
        <f>IF(X224&gt;$B$8+$B$9,0,ABS(X224-O224)/X224)</f>
        <v>4.7687392232991677E-2</v>
      </c>
    </row>
    <row r="225" spans="7:27" x14ac:dyDescent="0.2">
      <c r="G225" s="21"/>
      <c r="H225" s="21">
        <v>110</v>
      </c>
      <c r="I225">
        <f t="shared" si="44"/>
        <v>1.9909237648088402E-2</v>
      </c>
      <c r="J225">
        <f t="shared" si="45"/>
        <v>0.88757493375102103</v>
      </c>
      <c r="K225">
        <f t="shared" si="39"/>
        <v>43.13385744563368</v>
      </c>
      <c r="L225">
        <f>0.5*Z225*K225/J225/$B$7</f>
        <v>24.29871315954345</v>
      </c>
      <c r="M225">
        <f t="shared" si="42"/>
        <v>0.11926232880126361</v>
      </c>
      <c r="N225" s="21">
        <f t="shared" si="46"/>
        <v>3.0205795175896836E-2</v>
      </c>
      <c r="O225" s="21">
        <f t="shared" si="47"/>
        <v>7.6880149810179494</v>
      </c>
      <c r="P225">
        <f t="shared" si="43"/>
        <v>0.16664583034440314</v>
      </c>
      <c r="Q225">
        <f t="shared" si="40"/>
        <v>0.88757493375102103</v>
      </c>
      <c r="R225">
        <f t="shared" si="41"/>
        <v>-0.44697087165184268</v>
      </c>
      <c r="T225" s="21">
        <f>(M225-M224)/(H225-H224)</f>
        <v>6.0067420557419204E-4</v>
      </c>
      <c r="W225">
        <v>110</v>
      </c>
      <c r="X225">
        <v>7.3482820000000011</v>
      </c>
      <c r="Y225">
        <v>1</v>
      </c>
      <c r="Z225">
        <f t="shared" si="38"/>
        <v>1</v>
      </c>
      <c r="AA225" s="21">
        <f>IF(X225&gt;$B$8+$B$9,0,ABS(X225-O225)/X225)</f>
        <v>4.623298085429333E-2</v>
      </c>
    </row>
    <row r="226" spans="7:27" x14ac:dyDescent="0.2">
      <c r="G226" s="21"/>
      <c r="H226" s="21">
        <v>111</v>
      </c>
      <c r="I226">
        <f t="shared" si="44"/>
        <v>1.9795620038108561E-2</v>
      </c>
      <c r="J226">
        <f t="shared" si="45"/>
        <v>0.88704375997576124</v>
      </c>
      <c r="K226">
        <f t="shared" si="39"/>
        <v>43.035144153939164</v>
      </c>
      <c r="L226">
        <f>0.5*Z226*K226/J226/$B$7</f>
        <v>24.257621830920222</v>
      </c>
      <c r="M226">
        <f t="shared" si="42"/>
        <v>0.1198609630802783</v>
      </c>
      <c r="N226" s="21">
        <f t="shared" si="46"/>
        <v>3.0275684225610878E-2</v>
      </c>
      <c r="O226" s="21">
        <f t="shared" si="47"/>
        <v>7.7078106010560576</v>
      </c>
      <c r="P226">
        <f t="shared" si="43"/>
        <v>0.16743318051273032</v>
      </c>
      <c r="Q226">
        <f t="shared" si="40"/>
        <v>0.88704375997576124</v>
      </c>
      <c r="R226">
        <f t="shared" si="41"/>
        <v>-0.4479755517429414</v>
      </c>
      <c r="T226" s="21">
        <f>(M226-M225)/(H226-H225)</f>
        <v>5.9863427901468702E-4</v>
      </c>
      <c r="W226">
        <v>111</v>
      </c>
      <c r="X226">
        <v>7.3661299999999983</v>
      </c>
      <c r="Y226">
        <v>1</v>
      </c>
      <c r="Z226">
        <f t="shared" si="38"/>
        <v>1</v>
      </c>
      <c r="AA226" s="21">
        <f>IF(X226&gt;$B$8+$B$9,0,ABS(X226-O226)/X226)</f>
        <v>4.6385361248859232E-2</v>
      </c>
    </row>
    <row r="227" spans="7:27" x14ac:dyDescent="0.2">
      <c r="G227" s="21"/>
      <c r="H227" s="21">
        <v>112</v>
      </c>
      <c r="I227">
        <f t="shared" si="44"/>
        <v>1.968379025443083E-2</v>
      </c>
      <c r="J227">
        <f t="shared" si="45"/>
        <v>0.88651468644799747</v>
      </c>
      <c r="K227">
        <f t="shared" si="39"/>
        <v>42.937540269591445</v>
      </c>
      <c r="L227">
        <f>0.5*Z227*K227/J227/$B$7</f>
        <v>24.217049602206529</v>
      </c>
      <c r="M227">
        <f t="shared" si="42"/>
        <v>0.12045758682789111</v>
      </c>
      <c r="N227" s="21">
        <f t="shared" si="46"/>
        <v>3.0345126611167273E-2</v>
      </c>
      <c r="O227" s="21">
        <f t="shared" si="47"/>
        <v>7.7274943913104881</v>
      </c>
      <c r="P227">
        <f t="shared" si="43"/>
        <v>0.16821741751866798</v>
      </c>
      <c r="Q227">
        <f t="shared" si="40"/>
        <v>0.88651468644799747</v>
      </c>
      <c r="R227">
        <f t="shared" si="41"/>
        <v>-0.44898075922241065</v>
      </c>
      <c r="T227" s="21">
        <f>(M227-M226)/(H227-H226)</f>
        <v>5.9662374761280945E-4</v>
      </c>
      <c r="W227">
        <v>112</v>
      </c>
      <c r="X227">
        <v>7.383976999999998</v>
      </c>
      <c r="Y227">
        <v>1</v>
      </c>
      <c r="Z227">
        <f t="shared" si="38"/>
        <v>1</v>
      </c>
      <c r="AA227" s="21">
        <f>IF(X227&gt;$B$8+$B$9,0,ABS(X227-O227)/X227)</f>
        <v>4.6522001803430614E-2</v>
      </c>
    </row>
    <row r="228" spans="7:27" x14ac:dyDescent="0.2">
      <c r="G228" s="21"/>
      <c r="H228" s="21">
        <v>113</v>
      </c>
      <c r="I228">
        <f t="shared" si="44"/>
        <v>1.9573704785576827E-2</v>
      </c>
      <c r="J228">
        <f t="shared" si="45"/>
        <v>0.88598768432794894</v>
      </c>
      <c r="K228">
        <f t="shared" si="39"/>
        <v>42.841023679878987</v>
      </c>
      <c r="L228">
        <f>0.5*Z228*K228/J228/$B$7</f>
        <v>24.176985999740687</v>
      </c>
      <c r="M228">
        <f t="shared" si="42"/>
        <v>0.12105222878072164</v>
      </c>
      <c r="N228" s="21">
        <f t="shared" si="46"/>
        <v>3.0414129326852706E-2</v>
      </c>
      <c r="O228" s="21">
        <f t="shared" si="47"/>
        <v>7.7470680960960649</v>
      </c>
      <c r="P228">
        <f t="shared" si="43"/>
        <v>0.16899858411094967</v>
      </c>
      <c r="Q228">
        <f t="shared" si="40"/>
        <v>0.88598768432794894</v>
      </c>
      <c r="R228">
        <f t="shared" si="41"/>
        <v>-0.44998652588966492</v>
      </c>
      <c r="T228" s="21">
        <f>(M228-M227)/(H228-H227)</f>
        <v>5.9464195283052967E-4</v>
      </c>
      <c r="W228">
        <v>113</v>
      </c>
      <c r="X228">
        <v>7.4164269999999988</v>
      </c>
      <c r="Y228">
        <v>1</v>
      </c>
      <c r="Z228">
        <f t="shared" si="38"/>
        <v>1</v>
      </c>
      <c r="AA228" s="21">
        <f>IF(X228&gt;$B$8+$B$9,0,ABS(X228-O228)/X228)</f>
        <v>4.4582262603820713E-2</v>
      </c>
    </row>
    <row r="229" spans="7:27" x14ac:dyDescent="0.2">
      <c r="G229" s="21"/>
      <c r="H229" s="21">
        <v>114</v>
      </c>
      <c r="I229">
        <f t="shared" si="44"/>
        <v>1.9465321555694293E-2</v>
      </c>
      <c r="J229">
        <f t="shared" si="45"/>
        <v>0.88546272541580007</v>
      </c>
      <c r="K229">
        <f t="shared" si="39"/>
        <v>42.745572903383241</v>
      </c>
      <c r="L229">
        <f>0.5*Z229*K229/J229/$B$7</f>
        <v>24.137420851516115</v>
      </c>
      <c r="M229">
        <f t="shared" si="42"/>
        <v>0.12164491703733739</v>
      </c>
      <c r="N229" s="21">
        <f t="shared" si="46"/>
        <v>3.0482699197356827E-2</v>
      </c>
      <c r="O229" s="21">
        <f t="shared" si="47"/>
        <v>7.7665334176517593</v>
      </c>
      <c r="P229">
        <f t="shared" si="43"/>
        <v>0.16977672208969896</v>
      </c>
      <c r="Q229">
        <f t="shared" si="40"/>
        <v>0.88546272541580007</v>
      </c>
      <c r="R229">
        <f t="shared" si="41"/>
        <v>-0.45099288306523039</v>
      </c>
      <c r="T229" s="21">
        <f>(M229-M228)/(H229-H228)</f>
        <v>5.9268825661575042E-4</v>
      </c>
      <c r="W229">
        <v>114</v>
      </c>
      <c r="X229">
        <v>7.4229169999999982</v>
      </c>
      <c r="Y229">
        <v>1</v>
      </c>
      <c r="Z229">
        <f t="shared" si="38"/>
        <v>1</v>
      </c>
      <c r="AA229" s="21">
        <f>IF(X229&gt;$B$8+$B$9,0,ABS(X229-O229)/X229)</f>
        <v>4.6291291907448406E-2</v>
      </c>
    </row>
    <row r="230" spans="7:27" x14ac:dyDescent="0.2">
      <c r="G230" s="21"/>
      <c r="H230" s="21">
        <v>115</v>
      </c>
      <c r="I230">
        <f t="shared" si="44"/>
        <v>1.93585998649962E-2</v>
      </c>
      <c r="J230">
        <f t="shared" si="45"/>
        <v>0.88493978213199576</v>
      </c>
      <c r="K230">
        <f t="shared" si="39"/>
        <v>42.651167066606526</v>
      </c>
      <c r="L230">
        <f>0.5*Z230*K230/J230/$B$7</f>
        <v>24.098344275952535</v>
      </c>
      <c r="M230">
        <f t="shared" si="42"/>
        <v>0.12223567907792846</v>
      </c>
      <c r="N230" s="21">
        <f t="shared" si="46"/>
        <v>3.0550842883336485E-2</v>
      </c>
      <c r="O230" s="21">
        <f t="shared" si="47"/>
        <v>7.7858920175167556</v>
      </c>
      <c r="P230">
        <f t="shared" si="43"/>
        <v>0.17055187233563796</v>
      </c>
      <c r="Q230">
        <f t="shared" si="40"/>
        <v>0.88493978213199576</v>
      </c>
      <c r="R230">
        <f t="shared" si="41"/>
        <v>-0.45199986160758515</v>
      </c>
      <c r="T230" s="21">
        <f>(M230-M229)/(H230-H229)</f>
        <v>5.9076204059106685E-4</v>
      </c>
      <c r="W230">
        <v>115</v>
      </c>
      <c r="X230">
        <v>7.455366999999999</v>
      </c>
      <c r="Y230">
        <v>1</v>
      </c>
      <c r="Z230">
        <f t="shared" si="38"/>
        <v>1</v>
      </c>
      <c r="AA230" s="21">
        <f>IF(X230&gt;$B$8+$B$9,0,ABS(X230-O230)/X230)</f>
        <v>4.4333835948888463E-2</v>
      </c>
    </row>
    <row r="231" spans="7:27" x14ac:dyDescent="0.2">
      <c r="G231" s="21"/>
      <c r="H231" s="21">
        <v>116</v>
      </c>
      <c r="I231">
        <f t="shared" si="44"/>
        <v>1.9253500333167754E-2</v>
      </c>
      <c r="J231">
        <f t="shared" si="45"/>
        <v>0.88441882749830925</v>
      </c>
      <c r="K231">
        <f t="shared" si="39"/>
        <v>42.557785881660166</v>
      </c>
      <c r="L231">
        <f>0.5*Z231*K231/J231/$B$7</f>
        <v>24.059746671178551</v>
      </c>
      <c r="M231">
        <f t="shared" si="42"/>
        <v>0.12282454178321033</v>
      </c>
      <c r="N231" s="21">
        <f t="shared" si="46"/>
        <v>3.061856688675052E-2</v>
      </c>
      <c r="O231" s="21">
        <f t="shared" si="47"/>
        <v>7.8051455178499234</v>
      </c>
      <c r="P231">
        <f t="shared" si="43"/>
        <v>0.17132407483814921</v>
      </c>
      <c r="Q231">
        <f t="shared" si="40"/>
        <v>0.88441882749830925</v>
      </c>
      <c r="R231">
        <f t="shared" si="41"/>
        <v>-0.45300749192934775</v>
      </c>
      <c r="T231" s="21">
        <f>(M231-M230)/(H231-H230)</f>
        <v>5.8886270528187012E-4</v>
      </c>
      <c r="W231">
        <v>116</v>
      </c>
      <c r="X231">
        <v>7.4667239999999993</v>
      </c>
      <c r="Y231">
        <v>1</v>
      </c>
      <c r="Z231">
        <f t="shared" si="38"/>
        <v>1</v>
      </c>
      <c r="AA231" s="21">
        <f>IF(X231&gt;$B$8+$B$9,0,ABS(X231-O231)/X231)</f>
        <v>4.532396240304639E-2</v>
      </c>
    </row>
    <row r="232" spans="7:27" x14ac:dyDescent="0.2">
      <c r="G232" s="21"/>
      <c r="H232" s="21">
        <v>117</v>
      </c>
      <c r="I232">
        <f t="shared" si="44"/>
        <v>1.9149984845570137E-2</v>
      </c>
      <c r="J232">
        <f t="shared" si="45"/>
        <v>0.8838998351196472</v>
      </c>
      <c r="K232">
        <f t="shared" si="39"/>
        <v>42.465409624955853</v>
      </c>
      <c r="L232">
        <f>0.5*Z232*K232/J232/$B$7</f>
        <v>24.021618704797934</v>
      </c>
      <c r="M232">
        <f t="shared" si="42"/>
        <v>0.12341153145258989</v>
      </c>
      <c r="N232" s="21">
        <f t="shared" si="46"/>
        <v>3.0685877555976602E-2</v>
      </c>
      <c r="O232" s="21">
        <f t="shared" si="47"/>
        <v>7.8242955026954935</v>
      </c>
      <c r="P232">
        <f t="shared" si="43"/>
        <v>0.17209336872224629</v>
      </c>
      <c r="Q232">
        <f t="shared" si="40"/>
        <v>0.8838998351196472</v>
      </c>
      <c r="R232">
        <f t="shared" si="41"/>
        <v>-0.45401580401284586</v>
      </c>
      <c r="T232" s="21">
        <f>(M232-M231)/(H232-H231)</f>
        <v>5.8698966937956176E-4</v>
      </c>
      <c r="W232">
        <v>117</v>
      </c>
      <c r="X232">
        <v>7.4943069999999992</v>
      </c>
      <c r="Y232">
        <v>1</v>
      </c>
      <c r="Z232">
        <f t="shared" si="38"/>
        <v>1</v>
      </c>
      <c r="AA232" s="21">
        <f>IF(X232&gt;$B$8+$B$9,0,ABS(X232-O232)/X232)</f>
        <v>4.4031890166161373E-2</v>
      </c>
    </row>
    <row r="233" spans="7:27" x14ac:dyDescent="0.2">
      <c r="G233" s="21"/>
      <c r="H233" s="21">
        <v>118</v>
      </c>
      <c r="I233">
        <f t="shared" si="44"/>
        <v>1.9048016502079046E-2</v>
      </c>
      <c r="J233">
        <f t="shared" si="45"/>
        <v>0.88338277916655605</v>
      </c>
      <c r="K233">
        <f t="shared" si="39"/>
        <v>42.374019116847073</v>
      </c>
      <c r="L233">
        <f>0.5*Z233*K233/J233/$B$7</f>
        <v>23.983951304113962</v>
      </c>
      <c r="M233">
        <f t="shared" si="42"/>
        <v>0.12399667382163079</v>
      </c>
      <c r="N233" s="21">
        <f t="shared" si="46"/>
        <v>3.0752781090720802E-2</v>
      </c>
      <c r="O233" s="21">
        <f t="shared" si="47"/>
        <v>7.8433435191975729</v>
      </c>
      <c r="P233">
        <f t="shared" si="43"/>
        <v>0.17285979227450432</v>
      </c>
      <c r="Q233">
        <f t="shared" si="40"/>
        <v>0.88338277916655605</v>
      </c>
      <c r="R233">
        <f t="shared" si="41"/>
        <v>-0.45502482742509542</v>
      </c>
      <c r="T233" s="21">
        <f>(M233-M232)/(H233-H232)</f>
        <v>5.8514236904090577E-4</v>
      </c>
      <c r="W233">
        <v>118</v>
      </c>
      <c r="X233">
        <v>7.5121539999999989</v>
      </c>
      <c r="Y233">
        <v>1</v>
      </c>
      <c r="Z233">
        <f t="shared" si="38"/>
        <v>1</v>
      </c>
      <c r="AA233" s="21">
        <f>IF(X233&gt;$B$8+$B$9,0,ABS(X233-O233)/X233)</f>
        <v>4.4087157850807378E-2</v>
      </c>
    </row>
    <row r="234" spans="7:27" x14ac:dyDescent="0.2">
      <c r="G234" s="21"/>
      <c r="H234" s="21">
        <v>119</v>
      </c>
      <c r="I234">
        <f t="shared" si="44"/>
        <v>1.8947559568408205E-2</v>
      </c>
      <c r="J234">
        <f t="shared" si="45"/>
        <v>0.88286763435839755</v>
      </c>
      <c r="K234">
        <f t="shared" si="39"/>
        <v>42.283595702170622</v>
      </c>
      <c r="L234">
        <f>0.5*Z234*K234/J234/$B$7</f>
        <v>23.946735646787637</v>
      </c>
      <c r="M234">
        <f t="shared" si="42"/>
        <v>0.12457999407885011</v>
      </c>
      <c r="N234" s="21">
        <f t="shared" si="46"/>
        <v>3.0819283546729886E-2</v>
      </c>
      <c r="O234" s="21">
        <f t="shared" si="47"/>
        <v>7.8622910787659812</v>
      </c>
      <c r="P234">
        <f t="shared" si="43"/>
        <v>0.17362338296799851</v>
      </c>
      <c r="Q234">
        <f t="shared" si="40"/>
        <v>0.88286763435839755</v>
      </c>
      <c r="R234">
        <f t="shared" si="41"/>
        <v>-0.45603459133221652</v>
      </c>
      <c r="T234" s="21">
        <f>(M234-M233)/(H234-H233)</f>
        <v>5.8332025721931358E-4</v>
      </c>
      <c r="W234">
        <v>119</v>
      </c>
      <c r="X234">
        <v>7.5300009999999986</v>
      </c>
      <c r="Y234">
        <v>1</v>
      </c>
      <c r="Z234">
        <f t="shared" si="38"/>
        <v>1</v>
      </c>
      <c r="AA234" s="21">
        <f>IF(X234&gt;$B$8+$B$9,0,ABS(X234-O234)/X234)</f>
        <v>4.4128822660977424E-2</v>
      </c>
    </row>
    <row r="235" spans="7:27" x14ac:dyDescent="0.2">
      <c r="G235" s="21"/>
      <c r="H235" s="21">
        <v>120</v>
      </c>
      <c r="I235">
        <f t="shared" si="44"/>
        <v>1.884857942977718E-2</v>
      </c>
      <c r="J235">
        <f t="shared" si="45"/>
        <v>0.88235437594716148</v>
      </c>
      <c r="K235">
        <f t="shared" si="39"/>
        <v>42.19412123164102</v>
      </c>
      <c r="L235">
        <f>0.5*Z235*K235/J235/$B$7</f>
        <v>23.909963151906979</v>
      </c>
      <c r="M235">
        <f t="shared" si="42"/>
        <v>0.12516151688187838</v>
      </c>
      <c r="N235" s="21">
        <f t="shared" si="46"/>
        <v>3.0885390840315982E-2</v>
      </c>
      <c r="O235" s="21">
        <f t="shared" si="47"/>
        <v>7.8811396581957585</v>
      </c>
      <c r="P235">
        <f t="shared" si="43"/>
        <v>0.17438417748629806</v>
      </c>
      <c r="Q235">
        <f t="shared" si="40"/>
        <v>0.88235437594716148</v>
      </c>
      <c r="R235">
        <f t="shared" si="41"/>
        <v>-0.45704512451331508</v>
      </c>
      <c r="T235" s="21">
        <f>(M235-M234)/(H235-H234)</f>
        <v>5.8152280302826986E-4</v>
      </c>
      <c r="W235">
        <v>120</v>
      </c>
      <c r="X235">
        <v>7.542981000000001</v>
      </c>
      <c r="Y235">
        <v>1</v>
      </c>
      <c r="Z235">
        <f t="shared" si="38"/>
        <v>1</v>
      </c>
      <c r="AA235" s="21">
        <f>IF(X235&gt;$B$8+$B$9,0,ABS(X235-O235)/X235)</f>
        <v>4.4830904147280415E-2</v>
      </c>
    </row>
    <row r="236" spans="7:27" x14ac:dyDescent="0.2">
      <c r="G236" s="21"/>
      <c r="H236" s="21">
        <v>121</v>
      </c>
      <c r="I236">
        <f t="shared" si="44"/>
        <v>1.8751042546791597E-2</v>
      </c>
      <c r="J236">
        <f t="shared" si="45"/>
        <v>0.88184297970188796</v>
      </c>
      <c r="K236">
        <f t="shared" si="39"/>
        <v>42.105578044053971</v>
      </c>
      <c r="L236">
        <f>0.5*Z236*K236/J236/$B$7</f>
        <v>23.873625471446175</v>
      </c>
      <c r="M236">
        <f t="shared" si="42"/>
        <v>0.12574126637301072</v>
      </c>
      <c r="N236" s="21">
        <f t="shared" si="46"/>
        <v>3.0951108752702454E-2</v>
      </c>
      <c r="O236" s="21">
        <f t="shared" si="47"/>
        <v>7.8998907007425503</v>
      </c>
      <c r="P236">
        <f t="shared" si="43"/>
        <v>0.17514221174655695</v>
      </c>
      <c r="Q236">
        <f t="shared" si="40"/>
        <v>0.88184297970188796</v>
      </c>
      <c r="R236">
        <f t="shared" si="41"/>
        <v>-0.45805645537385181</v>
      </c>
      <c r="T236" s="21">
        <f>(M236-M235)/(H236-H235)</f>
        <v>5.7974949113234753E-4</v>
      </c>
      <c r="W236">
        <v>121</v>
      </c>
      <c r="X236">
        <v>7.5608289999999982</v>
      </c>
      <c r="Y236">
        <v>1</v>
      </c>
      <c r="Z236">
        <f t="shared" si="38"/>
        <v>1</v>
      </c>
      <c r="AA236" s="21">
        <f>IF(X236&gt;$B$8+$B$9,0,ABS(X236-O236)/X236)</f>
        <v>4.4844513841346252E-2</v>
      </c>
    </row>
    <row r="237" spans="7:27" x14ac:dyDescent="0.2">
      <c r="G237" s="21"/>
      <c r="H237" s="21">
        <v>122</v>
      </c>
      <c r="I237">
        <f t="shared" si="44"/>
        <v>1.8654916413413498E-2</v>
      </c>
      <c r="J237">
        <f t="shared" si="45"/>
        <v>0.88133342189367014</v>
      </c>
      <c r="K237">
        <f t="shared" si="39"/>
        <v>42.017948949257004</v>
      </c>
      <c r="L237">
        <f>0.5*Z237*K237/J237/$B$7</f>
        <v>23.837714482094341</v>
      </c>
      <c r="M237">
        <f t="shared" si="42"/>
        <v>0.12631926619417774</v>
      </c>
      <c r="N237" s="21">
        <f t="shared" si="46"/>
        <v>3.101644293419957E-2</v>
      </c>
      <c r="O237" s="21">
        <f t="shared" si="47"/>
        <v>7.9185456171559636</v>
      </c>
      <c r="P237">
        <f t="shared" si="43"/>
        <v>0.1758975209217446</v>
      </c>
      <c r="Q237">
        <f t="shared" si="40"/>
        <v>0.88133342189367014</v>
      </c>
      <c r="R237">
        <f t="shared" si="41"/>
        <v>-0.45906861195852533</v>
      </c>
      <c r="T237" s="21">
        <f>(M237-M236)/(H237-H236)</f>
        <v>5.7799982116701898E-4</v>
      </c>
      <c r="W237">
        <v>122</v>
      </c>
      <c r="X237">
        <v>7.5770529999999994</v>
      </c>
      <c r="Y237">
        <v>1</v>
      </c>
      <c r="Z237">
        <f t="shared" si="38"/>
        <v>1</v>
      </c>
      <c r="AA237" s="21">
        <f>IF(X237&gt;$B$8+$B$9,0,ABS(X237-O237)/X237)</f>
        <v>4.5069318791351239E-2</v>
      </c>
    </row>
    <row r="238" spans="7:27" x14ac:dyDescent="0.2">
      <c r="G238" s="21"/>
      <c r="H238" s="21">
        <v>123</v>
      </c>
      <c r="I238">
        <f t="shared" si="44"/>
        <v>1.8560169516905419E-2</v>
      </c>
      <c r="J238">
        <f t="shared" si="45"/>
        <v>0.88082567928121103</v>
      </c>
      <c r="K238">
        <f t="shared" si="39"/>
        <v>41.931217211848455</v>
      </c>
      <c r="L238">
        <f>0.5*Z238*K238/J238/$B$7</f>
        <v>23.802222277435192</v>
      </c>
      <c r="M238">
        <f t="shared" si="42"/>
        <v>0.12689553950136323</v>
      </c>
      <c r="N238" s="21">
        <f t="shared" si="46"/>
        <v>3.1081398908217955E-2</v>
      </c>
      <c r="O238" s="21">
        <f t="shared" si="47"/>
        <v>7.9371057866728689</v>
      </c>
      <c r="P238">
        <f t="shared" si="43"/>
        <v>0.17665013946205396</v>
      </c>
      <c r="Q238">
        <f t="shared" si="40"/>
        <v>0.88082567928121103</v>
      </c>
      <c r="R238">
        <f t="shared" si="41"/>
        <v>-0.46008162196368996</v>
      </c>
      <c r="T238" s="21">
        <f>(M238-M237)/(H238-H237)</f>
        <v>5.7627330718548753E-4</v>
      </c>
      <c r="W238">
        <v>123</v>
      </c>
      <c r="X238">
        <v>7.6030130000000007</v>
      </c>
      <c r="Y238">
        <v>1</v>
      </c>
      <c r="Z238">
        <f t="shared" si="38"/>
        <v>1</v>
      </c>
      <c r="AA238" s="21">
        <f>IF(X238&gt;$B$8+$B$9,0,ABS(X238-O238)/X238)</f>
        <v>4.3942156441514467E-2</v>
      </c>
    </row>
    <row r="239" spans="7:27" x14ac:dyDescent="0.2">
      <c r="G239" s="21"/>
      <c r="H239" s="21">
        <v>124</v>
      </c>
      <c r="I239">
        <f t="shared" si="44"/>
        <v>1.8466771299640968E-2</v>
      </c>
      <c r="J239">
        <f t="shared" si="45"/>
        <v>0.8803197290969107</v>
      </c>
      <c r="K239">
        <f t="shared" si="39"/>
        <v>41.845366535567891</v>
      </c>
      <c r="L239">
        <f>0.5*Z239*K239/J239/$B$7</f>
        <v>23.76714116045973</v>
      </c>
      <c r="M239">
        <f t="shared" si="42"/>
        <v>0.12747010897849162</v>
      </c>
      <c r="N239" s="21">
        <f t="shared" si="46"/>
        <v>3.1145982075127393E-2</v>
      </c>
      <c r="O239" s="21">
        <f t="shared" si="47"/>
        <v>7.9555725579725101</v>
      </c>
      <c r="P239">
        <f t="shared" si="43"/>
        <v>0.17740010111552468</v>
      </c>
      <c r="Q239">
        <f t="shared" si="40"/>
        <v>0.8803197290969107</v>
      </c>
      <c r="R239">
        <f t="shared" si="41"/>
        <v>-0.46109551274932942</v>
      </c>
      <c r="T239" s="21">
        <f>(M239-M238)/(H239-H238)</f>
        <v>5.7456947712838935E-4</v>
      </c>
      <c r="W239">
        <v>124</v>
      </c>
      <c r="X239">
        <v>7.6208609999999979</v>
      </c>
      <c r="Y239">
        <v>1</v>
      </c>
      <c r="Z239">
        <f t="shared" si="38"/>
        <v>1</v>
      </c>
      <c r="AA239" s="21">
        <f>IF(X239&gt;$B$8+$B$9,0,ABS(X239-O239)/X239)</f>
        <v>4.3920438644991983E-2</v>
      </c>
    </row>
    <row r="240" spans="7:27" x14ac:dyDescent="0.2">
      <c r="G240" s="21"/>
      <c r="H240" s="21">
        <v>125</v>
      </c>
      <c r="I240">
        <f t="shared" si="44"/>
        <v>1.8374692122680201E-2</v>
      </c>
      <c r="J240">
        <f t="shared" si="45"/>
        <v>0.87981554903345938</v>
      </c>
      <c r="K240">
        <f t="shared" si="39"/>
        <v>41.760381048343348</v>
      </c>
      <c r="L240">
        <f>0.5*Z240*K240/J240/$B$7</f>
        <v>23.732463636395224</v>
      </c>
      <c r="M240">
        <f t="shared" si="42"/>
        <v>0.12804299685081039</v>
      </c>
      <c r="N240" s="21">
        <f t="shared" si="46"/>
        <v>3.1210197715968047E-2</v>
      </c>
      <c r="O240" s="21">
        <f t="shared" si="47"/>
        <v>7.9739472500951907</v>
      </c>
      <c r="P240">
        <f t="shared" si="43"/>
        <v>0.17814743894791574</v>
      </c>
      <c r="Q240">
        <f t="shared" si="40"/>
        <v>0.87981554903345938</v>
      </c>
      <c r="R240">
        <f t="shared" si="41"/>
        <v>-0.46211031135060737</v>
      </c>
      <c r="T240" s="21">
        <f>(M240-M239)/(H240-H239)</f>
        <v>5.7288787231876692E-4</v>
      </c>
      <c r="W240">
        <v>125</v>
      </c>
      <c r="X240">
        <v>7.651688</v>
      </c>
      <c r="Y240">
        <v>1</v>
      </c>
      <c r="Z240">
        <f t="shared" si="38"/>
        <v>1</v>
      </c>
      <c r="AA240" s="21">
        <f>IF(X240&gt;$B$8+$B$9,0,ABS(X240-O240)/X240)</f>
        <v>4.2116099100641666E-2</v>
      </c>
    </row>
    <row r="241" spans="7:27" x14ac:dyDescent="0.2">
      <c r="G241" s="21"/>
      <c r="H241" s="21">
        <v>126</v>
      </c>
      <c r="I241">
        <f t="shared" si="44"/>
        <v>1.8283903231014868E-2</v>
      </c>
      <c r="J241">
        <f t="shared" si="45"/>
        <v>0.87931311723091465</v>
      </c>
      <c r="K241">
        <f t="shared" si="39"/>
        <v>41.67624528796275</v>
      </c>
      <c r="L241">
        <f>0.5*Z241*K241/J241/$B$7</f>
        <v>23.698182405834753</v>
      </c>
      <c r="M241">
        <f t="shared" si="42"/>
        <v>0.12861422489778854</v>
      </c>
      <c r="N241" s="21">
        <f t="shared" si="46"/>
        <v>3.1274050996021041E-2</v>
      </c>
      <c r="O241" s="21">
        <f t="shared" si="47"/>
        <v>7.9922311533262054</v>
      </c>
      <c r="P241">
        <f t="shared" si="43"/>
        <v>0.17889218536186108</v>
      </c>
      <c r="Q241">
        <f t="shared" si="40"/>
        <v>0.87931311723091465</v>
      </c>
      <c r="R241">
        <f t="shared" si="41"/>
        <v>-0.46312604448901257</v>
      </c>
      <c r="T241" s="21">
        <f>(M241-M240)/(H241-H240)</f>
        <v>5.7122804697815055E-4</v>
      </c>
      <c r="W241">
        <v>126</v>
      </c>
      <c r="X241">
        <v>7.6711579999999984</v>
      </c>
      <c r="Y241">
        <v>1</v>
      </c>
      <c r="Z241">
        <f t="shared" si="38"/>
        <v>1</v>
      </c>
      <c r="AA241" s="21">
        <f>IF(X241&gt;$B$8+$B$9,0,ABS(X241-O241)/X241)</f>
        <v>4.1854587446407319E-2</v>
      </c>
    </row>
    <row r="242" spans="7:27" x14ac:dyDescent="0.2">
      <c r="G242" s="21"/>
      <c r="H242" s="21">
        <v>127</v>
      </c>
      <c r="I242">
        <f t="shared" si="44"/>
        <v>1.8194376720394232E-2</v>
      </c>
      <c r="J242">
        <f t="shared" si="45"/>
        <v>0.87881241226424078</v>
      </c>
      <c r="K242">
        <f t="shared" si="39"/>
        <v>41.592944188338663</v>
      </c>
      <c r="L242">
        <f>0.5*Z242*K242/J242/$B$7</f>
        <v>23.664290358152407</v>
      </c>
      <c r="M242">
        <f t="shared" si="42"/>
        <v>0.12918381446555363</v>
      </c>
      <c r="N242" s="21">
        <f t="shared" si="46"/>
        <v>3.1337546968244694E-2</v>
      </c>
      <c r="O242" s="21">
        <f t="shared" si="47"/>
        <v>8.0104255300466001</v>
      </c>
      <c r="P242">
        <f t="shared" si="43"/>
        <v>0.17963437211533964</v>
      </c>
      <c r="Q242">
        <f t="shared" si="40"/>
        <v>0.87881241226424078</v>
      </c>
      <c r="R242">
        <f t="shared" si="41"/>
        <v>-0.46414273858311839</v>
      </c>
      <c r="T242" s="21">
        <f>(M242-M241)/(H242-H241)</f>
        <v>5.6958956776509417E-4</v>
      </c>
      <c r="W242">
        <v>127</v>
      </c>
      <c r="X242">
        <v>7.6825149999999987</v>
      </c>
      <c r="Y242">
        <v>1</v>
      </c>
      <c r="Z242">
        <f t="shared" si="38"/>
        <v>1</v>
      </c>
      <c r="AA242" s="21">
        <f>IF(X242&gt;$B$8+$B$9,0,ABS(X242-O242)/X242)</f>
        <v>4.2682706125090737E-2</v>
      </c>
    </row>
    <row r="243" spans="7:27" x14ac:dyDescent="0.2">
      <c r="G243" s="21"/>
      <c r="H243" s="21">
        <v>128</v>
      </c>
      <c r="I243">
        <f t="shared" si="44"/>
        <v>1.8106085505647726E-2</v>
      </c>
      <c r="J243">
        <f t="shared" si="45"/>
        <v>0.87831341313129097</v>
      </c>
      <c r="K243">
        <f t="shared" si="39"/>
        <v>41.510463066337465</v>
      </c>
      <c r="L243">
        <f>0.5*Z243*K243/J243/$B$7</f>
        <v>23.630780565190143</v>
      </c>
      <c r="M243">
        <f t="shared" si="42"/>
        <v>0.12975178647888616</v>
      </c>
      <c r="N243" s="21">
        <f t="shared" si="46"/>
        <v>3.1400690576582513E-2</v>
      </c>
      <c r="O243" s="21">
        <f t="shared" si="47"/>
        <v>8.0285316155522484</v>
      </c>
      <c r="P243">
        <f t="shared" si="43"/>
        <v>0.18037403033948876</v>
      </c>
      <c r="Q243">
        <f t="shared" si="40"/>
        <v>0.87831341313129097</v>
      </c>
      <c r="R243">
        <f t="shared" si="41"/>
        <v>-0.46516041975897149</v>
      </c>
      <c r="T243" s="21">
        <f>(M243-M242)/(H243-H242)</f>
        <v>5.6797201333252945E-4</v>
      </c>
      <c r="W243">
        <v>128</v>
      </c>
      <c r="X243">
        <v>7.6954950000000011</v>
      </c>
      <c r="Y243">
        <v>1</v>
      </c>
      <c r="Z243">
        <f t="shared" si="38"/>
        <v>1</v>
      </c>
      <c r="AA243" s="21">
        <f>IF(X243&gt;$B$8+$B$9,0,ABS(X243-O243)/X243)</f>
        <v>4.3276828267999293E-2</v>
      </c>
    </row>
    <row r="244" spans="7:27" x14ac:dyDescent="0.2">
      <c r="G244" s="21"/>
      <c r="H244" s="21">
        <v>129</v>
      </c>
      <c r="I244">
        <f t="shared" si="44"/>
        <v>1.801900329042571E-2</v>
      </c>
      <c r="J244">
        <f t="shared" si="45"/>
        <v>0.87781609924121307</v>
      </c>
      <c r="K244">
        <f t="shared" si="39"/>
        <v>41.428787609145402</v>
      </c>
      <c r="L244">
        <f>0.5*Z244*K244/J244/$B$7</f>
        <v>23.597646275203072</v>
      </c>
      <c r="M244">
        <f t="shared" si="42"/>
        <v>0.13031816145279124</v>
      </c>
      <c r="N244" s="21">
        <f t="shared" si="46"/>
        <v>3.1463486659148707E-2</v>
      </c>
      <c r="O244" s="21">
        <f t="shared" si="47"/>
        <v>8.0465506188426748</v>
      </c>
      <c r="P244">
        <f t="shared" si="43"/>
        <v>0.18111119055579045</v>
      </c>
      <c r="Q244">
        <f t="shared" si="40"/>
        <v>0.87781609924121307</v>
      </c>
      <c r="R244">
        <f t="shared" si="41"/>
        <v>-0.46617911386012784</v>
      </c>
      <c r="T244" s="21">
        <f>(M244-M243)/(H244-H243)</f>
        <v>5.6637497390507607E-4</v>
      </c>
      <c r="W244">
        <v>129</v>
      </c>
      <c r="X244">
        <v>7.7198320000000002</v>
      </c>
      <c r="Y244">
        <v>1</v>
      </c>
      <c r="Z244">
        <f t="shared" si="38"/>
        <v>1</v>
      </c>
      <c r="AA244" s="21">
        <f>IF(X244&gt;$B$8+$B$9,0,ABS(X244-O244)/X244)</f>
        <v>4.2321985613504864E-2</v>
      </c>
    </row>
    <row r="245" spans="7:27" x14ac:dyDescent="0.2">
      <c r="G245" s="21"/>
      <c r="H245" s="21">
        <v>130</v>
      </c>
      <c r="I245">
        <f t="shared" si="44"/>
        <v>1.7933104538284242E-2</v>
      </c>
      <c r="J245">
        <f t="shared" si="45"/>
        <v>0.87732045040326112</v>
      </c>
      <c r="K245">
        <f t="shared" si="39"/>
        <v>41.347903862145778</v>
      </c>
      <c r="L245">
        <f>0.5*Z245*K245/J245/$B$7</f>
        <v>23.564880907050654</v>
      </c>
      <c r="M245">
        <f t="shared" si="42"/>
        <v>0.13088295950366449</v>
      </c>
      <c r="N245" s="21">
        <f t="shared" si="46"/>
        <v>3.1525939951296579E-2</v>
      </c>
      <c r="O245" s="21">
        <f t="shared" si="47"/>
        <v>8.0644837233809596</v>
      </c>
      <c r="P245">
        <f t="shared" si="43"/>
        <v>0.18184588269265628</v>
      </c>
      <c r="Q245">
        <f t="shared" si="40"/>
        <v>0.87732045040326112</v>
      </c>
      <c r="R245">
        <f t="shared" si="41"/>
        <v>-0.46719884645735033</v>
      </c>
      <c r="T245" s="21">
        <f>(M245-M244)/(H245-H244)</f>
        <v>5.647980508732553E-4</v>
      </c>
      <c r="W245">
        <v>130</v>
      </c>
      <c r="X245">
        <v>7.737680000000001</v>
      </c>
      <c r="Y245">
        <v>1</v>
      </c>
      <c r="Z245">
        <f t="shared" si="38"/>
        <v>1</v>
      </c>
      <c r="AA245" s="21">
        <f>IF(X245&gt;$B$8+$B$9,0,ABS(X245-O245)/X245)</f>
        <v>4.2235362974555497E-2</v>
      </c>
    </row>
    <row r="246" spans="7:27" x14ac:dyDescent="0.2">
      <c r="G246" s="21"/>
      <c r="H246" s="21">
        <v>131</v>
      </c>
      <c r="I246">
        <f t="shared" si="44"/>
        <v>1.7848364445044528E-2</v>
      </c>
      <c r="J246">
        <f t="shared" si="45"/>
        <v>0.87682644681599398</v>
      </c>
      <c r="K246">
        <f t="shared" si="39"/>
        <v>41.267798217282724</v>
      </c>
      <c r="L246">
        <f>0.5*Z246*K246/J246/$B$7</f>
        <v>23.532478044622074</v>
      </c>
      <c r="M246">
        <f t="shared" si="42"/>
        <v>0.13144620036007176</v>
      </c>
      <c r="N246" s="21">
        <f t="shared" si="46"/>
        <v>3.1588055088575193E-2</v>
      </c>
      <c r="O246" s="21">
        <f t="shared" si="47"/>
        <v>8.0823320878260034</v>
      </c>
      <c r="P246">
        <f t="shared" si="43"/>
        <v>0.18257813610143719</v>
      </c>
      <c r="Q246">
        <f t="shared" si="40"/>
        <v>0.87682644681599398</v>
      </c>
      <c r="R246">
        <f t="shared" si="41"/>
        <v>-0.46821964285798334</v>
      </c>
      <c r="T246" s="21">
        <f>(M246-M245)/(H246-H245)</f>
        <v>5.6324085640727106E-4</v>
      </c>
      <c r="W246">
        <v>131</v>
      </c>
      <c r="X246">
        <v>7.7571499999999993</v>
      </c>
      <c r="Y246">
        <v>1</v>
      </c>
      <c r="Z246">
        <f t="shared" si="38"/>
        <v>1</v>
      </c>
      <c r="AA246" s="21">
        <f>IF(X246&gt;$B$8+$B$9,0,ABS(X246-O246)/X246)</f>
        <v>4.1920304213016908E-2</v>
      </c>
    </row>
    <row r="247" spans="7:27" x14ac:dyDescent="0.2">
      <c r="G247" s="21"/>
      <c r="H247" s="21">
        <v>132</v>
      </c>
      <c r="I247">
        <f t="shared" si="44"/>
        <v>1.7764758912361241E-2</v>
      </c>
      <c r="J247">
        <f t="shared" si="45"/>
        <v>0.8763340690568473</v>
      </c>
      <c r="K247">
        <f t="shared" si="39"/>
        <v>41.188457401888598</v>
      </c>
      <c r="L247">
        <f>0.5*Z247*K247/J247/$B$7</f>
        <v>23.500431431484564</v>
      </c>
      <c r="M247">
        <f t="shared" si="42"/>
        <v>0.13200790337315543</v>
      </c>
      <c r="N247" s="21">
        <f t="shared" si="46"/>
        <v>3.164983660957893E-2</v>
      </c>
      <c r="O247" s="21">
        <f t="shared" si="47"/>
        <v>8.1000968467383654</v>
      </c>
      <c r="P247">
        <f t="shared" si="43"/>
        <v>0.18330797957188183</v>
      </c>
      <c r="Q247">
        <f t="shared" si="40"/>
        <v>0.8763340690568473</v>
      </c>
      <c r="R247">
        <f t="shared" si="41"/>
        <v>-0.46924152811501763</v>
      </c>
      <c r="T247" s="21">
        <f>(M247-M246)/(H247-H246)</f>
        <v>5.6170301308366977E-4</v>
      </c>
      <c r="W247">
        <v>132</v>
      </c>
      <c r="X247">
        <v>7.7652619999999999</v>
      </c>
      <c r="Y247">
        <v>1</v>
      </c>
      <c r="Z247">
        <f t="shared" si="38"/>
        <v>1</v>
      </c>
      <c r="AA247" s="21">
        <f>IF(X247&gt;$B$8+$B$9,0,ABS(X247-O247)/X247)</f>
        <v>4.311958137901406E-2</v>
      </c>
    </row>
    <row r="248" spans="7:27" x14ac:dyDescent="0.2">
      <c r="G248" s="21"/>
      <c r="H248" s="21">
        <v>133</v>
      </c>
      <c r="I248">
        <f t="shared" si="44"/>
        <v>1.7682264522438124E-2</v>
      </c>
      <c r="J248">
        <f t="shared" si="45"/>
        <v>0.87584329807206041</v>
      </c>
      <c r="K248">
        <f t="shared" si="39"/>
        <v>41.109868467953078</v>
      </c>
      <c r="L248">
        <f>0.5*Z248*K248/J248/$B$7</f>
        <v>23.468734965744265</v>
      </c>
      <c r="M248">
        <f t="shared" si="42"/>
        <v>0.13256808752668661</v>
      </c>
      <c r="N248" s="21">
        <f t="shared" si="46"/>
        <v>3.171128895869478E-2</v>
      </c>
      <c r="O248" s="21">
        <f t="shared" si="47"/>
        <v>8.1177791112608038</v>
      </c>
      <c r="P248">
        <f t="shared" si="43"/>
        <v>0.18403544134706665</v>
      </c>
      <c r="Q248">
        <f t="shared" si="40"/>
        <v>0.87584329807206041</v>
      </c>
      <c r="R248">
        <f t="shared" si="41"/>
        <v>-0.47026452703585842</v>
      </c>
      <c r="T248" s="21">
        <f>(M248-M247)/(H248-H247)</f>
        <v>5.6018415353117912E-4</v>
      </c>
      <c r="W248">
        <v>133</v>
      </c>
      <c r="X248">
        <v>7.7928439999999988</v>
      </c>
      <c r="Y248">
        <v>1</v>
      </c>
      <c r="Z248">
        <f t="shared" si="38"/>
        <v>1</v>
      </c>
      <c r="AA248" s="21">
        <f>IF(X248&gt;$B$8+$B$9,0,ABS(X248-O248)/X248)</f>
        <v>4.1696601556608225E-2</v>
      </c>
    </row>
    <row r="249" spans="7:27" x14ac:dyDescent="0.2">
      <c r="G249" s="21"/>
      <c r="H249" s="21">
        <v>134</v>
      </c>
      <c r="I249">
        <f t="shared" si="44"/>
        <v>1.760085851383305E-2</v>
      </c>
      <c r="J249">
        <f t="shared" si="45"/>
        <v>0.87535411516694595</v>
      </c>
      <c r="K249">
        <f t="shared" si="39"/>
        <v>41.032018781813377</v>
      </c>
      <c r="L249">
        <f>0.5*Z249*K249/J249/$B$7</f>
        <v>23.437382695109523</v>
      </c>
      <c r="M249">
        <f t="shared" si="42"/>
        <v>0.1331267714467749</v>
      </c>
      <c r="N249" s="21">
        <f t="shared" si="46"/>
        <v>3.1772416488751745E-2</v>
      </c>
      <c r="O249" s="21">
        <f t="shared" si="47"/>
        <v>8.1353799697746361</v>
      </c>
      <c r="P249">
        <f t="shared" si="43"/>
        <v>0.18476054913781984</v>
      </c>
      <c r="Q249">
        <f t="shared" si="40"/>
        <v>0.87535411516694595</v>
      </c>
      <c r="R249">
        <f t="shared" si="41"/>
        <v>-0.47128866419081034</v>
      </c>
      <c r="T249" s="21">
        <f>(M249-M248)/(H249-H248)</f>
        <v>5.586839200882876E-4</v>
      </c>
      <c r="W249">
        <v>134</v>
      </c>
      <c r="X249">
        <v>7.8090690000000009</v>
      </c>
      <c r="Y249">
        <v>1</v>
      </c>
      <c r="Z249">
        <f t="shared" si="38"/>
        <v>1</v>
      </c>
      <c r="AA249" s="21">
        <f>IF(X249&gt;$B$8+$B$9,0,ABS(X249-O249)/X249)</f>
        <v>4.1786155273392397E-2</v>
      </c>
    </row>
    <row r="250" spans="7:27" x14ac:dyDescent="0.2">
      <c r="G250" s="21"/>
      <c r="H250" s="21">
        <v>135</v>
      </c>
      <c r="I250">
        <f t="shared" si="44"/>
        <v>1.7520518758297521E-2</v>
      </c>
      <c r="J250">
        <f t="shared" si="45"/>
        <v>0.87486650199648652</v>
      </c>
      <c r="K250">
        <f t="shared" si="39"/>
        <v>40.954896014245968</v>
      </c>
      <c r="L250">
        <f>0.5*Z250*K250/J250/$B$7</f>
        <v>23.406368812147321</v>
      </c>
      <c r="M250">
        <f t="shared" si="42"/>
        <v>0.13368397341125141</v>
      </c>
      <c r="N250" s="21">
        <f t="shared" si="46"/>
        <v>3.1833223463576477E-2</v>
      </c>
      <c r="O250" s="21">
        <f t="shared" si="47"/>
        <v>8.1529004885329339</v>
      </c>
      <c r="P250">
        <f t="shared" si="43"/>
        <v>0.18548333013665974</v>
      </c>
      <c r="Q250">
        <f t="shared" si="40"/>
        <v>0.87486650199648652</v>
      </c>
      <c r="R250">
        <f t="shared" si="41"/>
        <v>-0.47231396392129033</v>
      </c>
      <c r="T250" s="21">
        <f>(M250-M249)/(H250-H249)</f>
        <v>5.5720196447650583E-4</v>
      </c>
      <c r="W250">
        <v>135</v>
      </c>
      <c r="X250">
        <v>7.8382739999999984</v>
      </c>
      <c r="Y250">
        <v>1</v>
      </c>
      <c r="Z250">
        <f t="shared" si="38"/>
        <v>1</v>
      </c>
      <c r="AA250" s="21">
        <f>IF(X250&gt;$B$8+$B$9,0,ABS(X250-O250)/X250)</f>
        <v>4.0139766552296535E-2</v>
      </c>
    </row>
    <row r="251" spans="7:27" x14ac:dyDescent="0.2">
      <c r="G251" s="21"/>
      <c r="H251" s="21">
        <v>136</v>
      </c>
      <c r="I251">
        <f t="shared" si="44"/>
        <v>1.7441223738599222E-2</v>
      </c>
      <c r="J251">
        <f t="shared" si="45"/>
        <v>0.8743804405562452</v>
      </c>
      <c r="K251">
        <f t="shared" si="39"/>
        <v>40.87848813094142</v>
      </c>
      <c r="L251">
        <f>0.5*Z251*K251/J251/$B$7</f>
        <v>23.37568764972384</v>
      </c>
      <c r="M251">
        <f t="shared" si="42"/>
        <v>0.13423971135873844</v>
      </c>
      <c r="N251" s="21">
        <f t="shared" si="46"/>
        <v>3.1893714060459266E-2</v>
      </c>
      <c r="O251" s="21">
        <f t="shared" si="47"/>
        <v>8.1703417122715329</v>
      </c>
      <c r="P251">
        <f t="shared" si="43"/>
        <v>0.18620381103126757</v>
      </c>
      <c r="Q251">
        <f t="shared" si="40"/>
        <v>0.8743804405562452</v>
      </c>
      <c r="R251">
        <f t="shared" si="41"/>
        <v>-0.47334045034777955</v>
      </c>
      <c r="T251" s="21">
        <f>(M251-M250)/(H251-H250)</f>
        <v>5.5573794748703387E-4</v>
      </c>
      <c r="W251">
        <v>136</v>
      </c>
      <c r="X251">
        <v>7.8431420000000003</v>
      </c>
      <c r="Y251">
        <v>1</v>
      </c>
      <c r="Z251">
        <f t="shared" si="38"/>
        <v>1</v>
      </c>
      <c r="AA251" s="21">
        <f>IF(X251&gt;$B$8+$B$9,0,ABS(X251-O251)/X251)</f>
        <v>4.1717938075267878E-2</v>
      </c>
    </row>
    <row r="252" spans="7:27" x14ac:dyDescent="0.2">
      <c r="G252" s="21"/>
      <c r="H252" s="21">
        <v>137</v>
      </c>
      <c r="I252">
        <f t="shared" si="44"/>
        <v>1.7362952527278659E-2</v>
      </c>
      <c r="J252">
        <f t="shared" si="45"/>
        <v>0.87389591317357818</v>
      </c>
      <c r="K252">
        <f t="shared" si="39"/>
        <v>40.802783383344803</v>
      </c>
      <c r="L252">
        <f>0.5*Z252*K252/J252/$B$7</f>
        <v>23.345333676620779</v>
      </c>
      <c r="M252">
        <f t="shared" si="42"/>
        <v>0.13479400289741741</v>
      </c>
      <c r="N252" s="21">
        <f t="shared" si="46"/>
        <v>3.1953892372534008E-2</v>
      </c>
      <c r="O252" s="21">
        <f t="shared" si="47"/>
        <v>8.1877046647988116</v>
      </c>
      <c r="P252">
        <f t="shared" si="43"/>
        <v>0.18692201801751335</v>
      </c>
      <c r="Q252">
        <f t="shared" si="40"/>
        <v>0.87389591317357818</v>
      </c>
      <c r="R252">
        <f t="shared" si="41"/>
        <v>-0.47436814737752636</v>
      </c>
      <c r="T252" s="21">
        <f>(M252-M251)/(H252-H251)</f>
        <v>5.5429153867897485E-4</v>
      </c>
      <c r="W252">
        <v>137</v>
      </c>
      <c r="X252">
        <v>7.8723460000000003</v>
      </c>
      <c r="Y252">
        <v>1</v>
      </c>
      <c r="Z252">
        <f t="shared" si="38"/>
        <v>1</v>
      </c>
      <c r="AA252" s="21">
        <f>IF(X252&gt;$B$8+$B$9,0,ABS(X252-O252)/X252)</f>
        <v>4.0059045270471008E-2</v>
      </c>
    </row>
    <row r="253" spans="7:27" x14ac:dyDescent="0.2">
      <c r="G253" s="21"/>
      <c r="H253" s="21">
        <v>138</v>
      </c>
      <c r="I253">
        <f t="shared" si="44"/>
        <v>1.7285684766294641E-2</v>
      </c>
      <c r="J253">
        <f t="shared" si="45"/>
        <v>0.87341290249913572</v>
      </c>
      <c r="K253">
        <f t="shared" si="39"/>
        <v>40.727770299845048</v>
      </c>
      <c r="L253">
        <f>0.5*Z253*K253/J253/$B$7</f>
        <v>23.315301493319392</v>
      </c>
      <c r="M253">
        <f t="shared" si="42"/>
        <v>0.13534686531350895</v>
      </c>
      <c r="N253" s="21">
        <f t="shared" si="46"/>
        <v>3.2013762411075904E-2</v>
      </c>
      <c r="O253" s="21">
        <f t="shared" si="47"/>
        <v>8.2049903495651062</v>
      </c>
      <c r="P253">
        <f t="shared" si="43"/>
        <v>0.18763797681205302</v>
      </c>
      <c r="Q253">
        <f t="shared" si="40"/>
        <v>0.87341290249913572</v>
      </c>
      <c r="R253">
        <f t="shared" si="41"/>
        <v>-0.47539707871200948</v>
      </c>
      <c r="T253" s="21">
        <f>(M253-M252)/(H253-H252)</f>
        <v>5.5286241609153741E-4</v>
      </c>
      <c r="W253">
        <v>138</v>
      </c>
      <c r="X253">
        <v>7.8853259999999992</v>
      </c>
      <c r="Y253">
        <v>1</v>
      </c>
      <c r="Z253">
        <f t="shared" si="38"/>
        <v>1</v>
      </c>
      <c r="AA253" s="21">
        <f>IF(X253&gt;$B$8+$B$9,0,ABS(X253-O253)/X253)</f>
        <v>4.0539141890279115E-2</v>
      </c>
    </row>
    <row r="254" spans="7:27" x14ac:dyDescent="0.2">
      <c r="G254" s="21"/>
      <c r="H254" s="21">
        <v>139</v>
      </c>
      <c r="I254">
        <f t="shared" si="44"/>
        <v>1.7209400647514441E-2</v>
      </c>
      <c r="J254">
        <f t="shared" si="45"/>
        <v>0.8729313914986423</v>
      </c>
      <c r="K254">
        <f t="shared" si="39"/>
        <v>40.653437677297568</v>
      </c>
      <c r="L254">
        <f>0.5*Z254*K254/J254/$B$7</f>
        <v>23.285585827944644</v>
      </c>
      <c r="M254">
        <f t="shared" si="42"/>
        <v>0.13589831557947377</v>
      </c>
      <c r="N254" s="21">
        <f t="shared" si="46"/>
        <v>3.2073328107720178E-2</v>
      </c>
      <c r="O254" s="21">
        <f t="shared" si="47"/>
        <v>8.2221997502126207</v>
      </c>
      <c r="P254">
        <f t="shared" si="43"/>
        <v>0.188351712664514</v>
      </c>
      <c r="Q254">
        <f t="shared" si="40"/>
        <v>0.8729313914986423</v>
      </c>
      <c r="R254">
        <f t="shared" si="41"/>
        <v>-0.47642726785417172</v>
      </c>
      <c r="T254" s="21">
        <f>(M254-M253)/(H254-H253)</f>
        <v>5.5145026596481461E-4</v>
      </c>
      <c r="W254">
        <v>139</v>
      </c>
      <c r="X254">
        <v>7.8950609999999983</v>
      </c>
      <c r="Y254">
        <v>1</v>
      </c>
      <c r="Z254">
        <f t="shared" ref="Z254:Z317" si="48">Y254</f>
        <v>1</v>
      </c>
      <c r="AA254" s="21">
        <f>IF(X254&gt;$B$8+$B$9,0,ABS(X254-O254)/X254)</f>
        <v>4.1435873669959288E-2</v>
      </c>
    </row>
    <row r="255" spans="7:27" x14ac:dyDescent="0.2">
      <c r="G255" s="21"/>
      <c r="H255" s="21">
        <v>140</v>
      </c>
      <c r="I255">
        <f t="shared" si="44"/>
        <v>1.7134080894008349E-2</v>
      </c>
      <c r="J255">
        <f t="shared" si="45"/>
        <v>0.87245136344494167</v>
      </c>
      <c r="K255">
        <f t="shared" si="39"/>
        <v>40.579774572865254</v>
      </c>
      <c r="L255">
        <f>0.5*Z255*K255/J255/$B$7</f>
        <v>23.256181532362376</v>
      </c>
      <c r="M255">
        <f t="shared" si="42"/>
        <v>0.13644837036194954</v>
      </c>
      <c r="N255" s="21">
        <f t="shared" si="46"/>
        <v>3.2132593316605181E-2</v>
      </c>
      <c r="O255" s="21">
        <f t="shared" si="47"/>
        <v>8.2393338311066291</v>
      </c>
      <c r="P255">
        <f t="shared" si="43"/>
        <v>0.18906325036928512</v>
      </c>
      <c r="Q255">
        <f t="shared" si="40"/>
        <v>0.87245136344494167</v>
      </c>
      <c r="R255">
        <f t="shared" si="41"/>
        <v>-0.4774587381154331</v>
      </c>
      <c r="T255" s="21">
        <f>(M255-M254)/(H255-H254)</f>
        <v>5.5005478247577289E-4</v>
      </c>
      <c r="W255">
        <v>140</v>
      </c>
      <c r="X255">
        <v>7.9096639999999994</v>
      </c>
      <c r="Y255">
        <v>1</v>
      </c>
      <c r="Z255">
        <f t="shared" si="48"/>
        <v>1</v>
      </c>
      <c r="AA255" s="21">
        <f>IF(X255&gt;$B$8+$B$9,0,ABS(X255-O255)/X255)</f>
        <v>4.1679372361029463E-2</v>
      </c>
    </row>
    <row r="256" spans="7:27" x14ac:dyDescent="0.2">
      <c r="G256" s="21"/>
      <c r="H256" s="21">
        <v>141</v>
      </c>
      <c r="I256">
        <f t="shared" si="44"/>
        <v>1.7059706742109697E-2</v>
      </c>
      <c r="J256">
        <f t="shared" si="45"/>
        <v>0.8719728019102998</v>
      </c>
      <c r="K256">
        <f t="shared" si="39"/>
        <v>40.506770296163673</v>
      </c>
      <c r="L256">
        <f>0.5*Z256*K256/J256/$B$7</f>
        <v>23.227083578422565</v>
      </c>
      <c r="M256">
        <f t="shared" si="42"/>
        <v>0.13699704602942991</v>
      </c>
      <c r="N256" s="21">
        <f t="shared" si="46"/>
        <v>3.2191561816442948E-2</v>
      </c>
      <c r="O256" s="21">
        <f t="shared" si="47"/>
        <v>8.256393537848739</v>
      </c>
      <c r="P256">
        <f t="shared" si="43"/>
        <v>0.18977261427692713</v>
      </c>
      <c r="Q256">
        <f t="shared" si="40"/>
        <v>0.8719728019102998</v>
      </c>
      <c r="R256">
        <f t="shared" si="41"/>
        <v>-0.4784915126224934</v>
      </c>
      <c r="T256" s="21">
        <f>(M256-M255)/(H256-H255)</f>
        <v>5.48675667480375E-4</v>
      </c>
      <c r="W256">
        <v>141</v>
      </c>
      <c r="X256">
        <v>7.9486029999999985</v>
      </c>
      <c r="Y256">
        <v>1</v>
      </c>
      <c r="Z256">
        <f t="shared" si="48"/>
        <v>1</v>
      </c>
      <c r="AA256" s="21">
        <f>IF(X256&gt;$B$8+$B$9,0,ABS(X256-O256)/X256)</f>
        <v>3.8722595385470945E-2</v>
      </c>
    </row>
    <row r="257" spans="7:27" x14ac:dyDescent="0.2">
      <c r="G257" s="21"/>
      <c r="H257" s="21">
        <v>142</v>
      </c>
      <c r="I257">
        <f t="shared" si="44"/>
        <v>1.6986259924203693E-2</v>
      </c>
      <c r="J257">
        <f t="shared" si="45"/>
        <v>0.87149569075895283</v>
      </c>
      <c r="K257">
        <f t="shared" si="39"/>
        <v>40.434414401697076</v>
      </c>
      <c r="L257">
        <f>0.5*Z257*K257/J257/$B$7</f>
        <v>23.198287054342327</v>
      </c>
      <c r="M257">
        <f t="shared" si="42"/>
        <v>0.13754435865969883</v>
      </c>
      <c r="N257" s="21">
        <f t="shared" si="46"/>
        <v>3.2250237312520129E-2</v>
      </c>
      <c r="O257" s="21">
        <f t="shared" si="47"/>
        <v>8.2733797977729431</v>
      </c>
      <c r="P257">
        <f t="shared" si="43"/>
        <v>0.1904798283052179</v>
      </c>
      <c r="Q257">
        <f t="shared" si="40"/>
        <v>0.87149569075895283</v>
      </c>
      <c r="R257">
        <f t="shared" si="41"/>
        <v>-0.47952561432393109</v>
      </c>
      <c r="T257" s="21">
        <f>(M257-M256)/(H257-H256)</f>
        <v>5.4731263026891463E-4</v>
      </c>
      <c r="W257">
        <v>142</v>
      </c>
      <c r="X257">
        <v>7.9486029999999985</v>
      </c>
      <c r="Y257">
        <v>1</v>
      </c>
      <c r="Z257">
        <f t="shared" si="48"/>
        <v>1</v>
      </c>
      <c r="AA257" s="21">
        <f>IF(X257&gt;$B$8+$B$9,0,ABS(X257-O257)/X257)</f>
        <v>4.0859607376660355E-2</v>
      </c>
    </row>
    <row r="258" spans="7:27" x14ac:dyDescent="0.2">
      <c r="G258" s="21"/>
      <c r="H258" s="21">
        <v>143</v>
      </c>
      <c r="I258">
        <f t="shared" si="44"/>
        <v>1.691372265221085E-2</v>
      </c>
      <c r="J258">
        <f t="shared" si="45"/>
        <v>0.87102001413989216</v>
      </c>
      <c r="K258">
        <f t="shared" si="39"/>
        <v>40.36269668157248</v>
      </c>
      <c r="L258">
        <f>0.5*Z258*K258/J258/$B$7</f>
        <v>23.169787161222416</v>
      </c>
      <c r="M258">
        <f t="shared" si="42"/>
        <v>0.13809032404702834</v>
      </c>
      <c r="N258" s="21">
        <f t="shared" si="46"/>
        <v>3.2308623438632139E-2</v>
      </c>
      <c r="O258" s="21">
        <f t="shared" si="47"/>
        <v>8.2902935204251538</v>
      </c>
      <c r="P258">
        <f t="shared" si="43"/>
        <v>0.19118491594984721</v>
      </c>
      <c r="Q258">
        <f t="shared" si="40"/>
        <v>0.87102001413989216</v>
      </c>
      <c r="R258">
        <f t="shared" si="41"/>
        <v>-0.48056106599660853</v>
      </c>
      <c r="T258" s="21">
        <f>(M258-M257)/(H258-H257)</f>
        <v>5.4596538732951116E-4</v>
      </c>
      <c r="W258">
        <v>143</v>
      </c>
      <c r="X258">
        <v>7.9664509999999993</v>
      </c>
      <c r="Y258">
        <v>1</v>
      </c>
      <c r="Z258">
        <f t="shared" si="48"/>
        <v>1</v>
      </c>
      <c r="AA258" s="21">
        <f>IF(X258&gt;$B$8+$B$9,0,ABS(X258-O258)/X258)</f>
        <v>4.0650789219083196E-2</v>
      </c>
    </row>
    <row r="259" spans="7:27" x14ac:dyDescent="0.2">
      <c r="G259" s="21"/>
      <c r="H259" s="21">
        <v>144</v>
      </c>
      <c r="I259">
        <f t="shared" si="44"/>
        <v>1.6842077601732126E-2</v>
      </c>
      <c r="J259">
        <f t="shared" si="45"/>
        <v>0.8705457564798772</v>
      </c>
      <c r="K259">
        <f t="shared" ref="K259:K322" si="49">IF(O259&lt;$B$8+$B$9,0.5*(($B$8+$B$9)^2+O259^2)/O259-$B$9,$B$8)</f>
        <v>40.291607158479763</v>
      </c>
      <c r="L259">
        <f>0.5*Z259*K259/J259/$B$7</f>
        <v>23.141579209691496</v>
      </c>
      <c r="M259">
        <f t="shared" si="42"/>
        <v>0.13863495770914869</v>
      </c>
      <c r="N259" s="21">
        <f t="shared" si="46"/>
        <v>3.236672375895322E-2</v>
      </c>
      <c r="O259" s="21">
        <f t="shared" si="47"/>
        <v>8.3071355980268855</v>
      </c>
      <c r="P259">
        <f t="shared" si="43"/>
        <v>0.19188790029477393</v>
      </c>
      <c r="Q259">
        <f t="shared" ref="Q259:Q322" si="50">1-B$15*P259</f>
        <v>0.8705457564798772</v>
      </c>
      <c r="R259">
        <f t="shared" ref="R259:R322" si="51">$E$15/(P259+$E$16)</f>
        <v>-0.48159789025188904</v>
      </c>
      <c r="T259" s="21">
        <f>(M259-M258)/(H259-H258)</f>
        <v>5.4463366212034736E-4</v>
      </c>
      <c r="W259">
        <v>144</v>
      </c>
      <c r="X259">
        <v>7.9810529999999993</v>
      </c>
      <c r="Y259">
        <v>1</v>
      </c>
      <c r="Z259">
        <f t="shared" si="48"/>
        <v>1</v>
      </c>
      <c r="AA259" s="21">
        <f>IF(X259&gt;$B$8+$B$9,0,ABS(X259-O259)/X259)</f>
        <v>4.0857089663091609E-2</v>
      </c>
    </row>
    <row r="260" spans="7:27" x14ac:dyDescent="0.2">
      <c r="G260" s="21"/>
      <c r="H260" s="21">
        <v>145</v>
      </c>
      <c r="I260">
        <f t="shared" si="44"/>
        <v>1.6771307896824694E-2</v>
      </c>
      <c r="J260">
        <f t="shared" si="45"/>
        <v>0.8700729024766668</v>
      </c>
      <c r="K260">
        <f t="shared" si="49"/>
        <v>40.2211360789262</v>
      </c>
      <c r="L260">
        <f>0.5*Z260*K260/J260/$B$7</f>
        <v>23.113658616672545</v>
      </c>
      <c r="M260">
        <f t="shared" ref="M260:M323" si="52">-LN(J260)</f>
        <v>0.13917827489400045</v>
      </c>
      <c r="N260" s="21">
        <f t="shared" si="46"/>
        <v>3.2424541769844918E-2</v>
      </c>
      <c r="O260" s="21">
        <f t="shared" si="47"/>
        <v>8.3239069059237103</v>
      </c>
      <c r="P260">
        <f t="shared" ref="P260:P323" si="53">MIN(O260/(K260+$B$9),1)</f>
        <v>0.19258880402225911</v>
      </c>
      <c r="Q260">
        <f t="shared" si="50"/>
        <v>0.8700729024766668</v>
      </c>
      <c r="R260">
        <f t="shared" si="51"/>
        <v>-0.48263610954167552</v>
      </c>
      <c r="T260" s="21">
        <f>(M260-M259)/(H260-H259)</f>
        <v>5.4331718485176039E-4</v>
      </c>
      <c r="W260">
        <v>145</v>
      </c>
      <c r="X260">
        <v>8.0053899999999985</v>
      </c>
      <c r="Y260">
        <v>1</v>
      </c>
      <c r="Z260">
        <f t="shared" si="48"/>
        <v>1</v>
      </c>
      <c r="AA260" s="21">
        <f>IF(X260&gt;$B$8+$B$9,0,ABS(X260-O260)/X260)</f>
        <v>3.9787806206032672E-2</v>
      </c>
    </row>
    <row r="261" spans="7:27" x14ac:dyDescent="0.2">
      <c r="G261" s="21"/>
      <c r="H261" s="21">
        <v>146</v>
      </c>
      <c r="I261">
        <f t="shared" ref="I261:I324" si="54">IF(P260&lt;0.999,MAX(0,MIN(10000000,(L260/$E$8/M260^$E$10)^(1/$E$9)/N260)),0.1)</f>
        <v>1.6701397095379319E-2</v>
      </c>
      <c r="J261">
        <f t="shared" ref="J261:J324" si="55">Q261</f>
        <v>0.86960143709246074</v>
      </c>
      <c r="K261">
        <f t="shared" si="49"/>
        <v>40.151273906714685</v>
      </c>
      <c r="L261">
        <f>0.5*Z261*K261/J261/$B$7</f>
        <v>23.086020902266277</v>
      </c>
      <c r="M261">
        <f t="shared" si="52"/>
        <v>0.13972029058627666</v>
      </c>
      <c r="N261" s="21">
        <f t="shared" ref="N261:N324" si="56">-$B$15*(O261-2*(K261+$B$9))/(K261+$B$9)^2/J261</f>
        <v>3.2482080901605467E-2</v>
      </c>
      <c r="O261" s="21">
        <f t="shared" ref="O261:O324" si="57">O260+I261*(H261-H260)</f>
        <v>8.3406083030190903</v>
      </c>
      <c r="P261">
        <f t="shared" si="53"/>
        <v>0.19328764942258692</v>
      </c>
      <c r="Q261">
        <f t="shared" si="50"/>
        <v>0.86960143709246074</v>
      </c>
      <c r="R261">
        <f t="shared" si="51"/>
        <v>-0.483675746164276</v>
      </c>
      <c r="T261" s="21">
        <f>(M261-M260)/(H261-H260)</f>
        <v>5.4201569227621538E-4</v>
      </c>
      <c r="W261">
        <v>146</v>
      </c>
      <c r="X261">
        <v>8.0232379999999992</v>
      </c>
      <c r="Y261">
        <v>1</v>
      </c>
      <c r="Z261">
        <f t="shared" si="48"/>
        <v>1</v>
      </c>
      <c r="AA261" s="21">
        <f>IF(X261&gt;$B$8+$B$9,0,ABS(X261-O261)/X261)</f>
        <v>3.9556386463805653E-2</v>
      </c>
    </row>
    <row r="262" spans="7:27" x14ac:dyDescent="0.2">
      <c r="G262" s="21"/>
      <c r="H262" s="21">
        <v>147</v>
      </c>
      <c r="I262">
        <f t="shared" si="54"/>
        <v>1.6632329175071698E-2</v>
      </c>
      <c r="J262">
        <f t="shared" si="55"/>
        <v>0.8691313455475449</v>
      </c>
      <c r="K262">
        <f t="shared" si="49"/>
        <v>40.082011316655077</v>
      </c>
      <c r="L262">
        <f>0.5*Z262*K262/J262/$B$7</f>
        <v>23.058661686746422</v>
      </c>
      <c r="M262">
        <f t="shared" si="52"/>
        <v>0.1402610195137616</v>
      </c>
      <c r="N262" s="21">
        <f t="shared" si="56"/>
        <v>3.253934452016239E-2</v>
      </c>
      <c r="O262" s="21">
        <f t="shared" si="57"/>
        <v>8.3572406321941628</v>
      </c>
      <c r="P262">
        <f t="shared" si="53"/>
        <v>0.19398445840348538</v>
      </c>
      <c r="Q262">
        <f t="shared" si="50"/>
        <v>0.8691313455475449</v>
      </c>
      <c r="R262">
        <f t="shared" si="51"/>
        <v>-0.48471682227010326</v>
      </c>
      <c r="T262" s="21">
        <f>(M262-M261)/(H262-H261)</f>
        <v>5.4072892748494028E-4</v>
      </c>
      <c r="W262">
        <v>147</v>
      </c>
      <c r="X262">
        <v>8.0524430000000002</v>
      </c>
      <c r="Y262">
        <v>1</v>
      </c>
      <c r="Z262">
        <f t="shared" si="48"/>
        <v>1</v>
      </c>
      <c r="AA262" s="21">
        <f>IF(X262&gt;$B$8+$B$9,0,ABS(X262-O262)/X262)</f>
        <v>3.7851572770420422E-2</v>
      </c>
    </row>
    <row r="263" spans="7:27" x14ac:dyDescent="0.2">
      <c r="G263" s="21"/>
      <c r="H263" s="21">
        <v>148</v>
      </c>
      <c r="I263">
        <f t="shared" si="54"/>
        <v>1.6564088519860968E-2</v>
      </c>
      <c r="J263">
        <f t="shared" si="55"/>
        <v>0.86866261331412986</v>
      </c>
      <c r="K263">
        <f t="shared" si="49"/>
        <v>40.013339188498975</v>
      </c>
      <c r="L263">
        <f>0.5*Z263*K263/J263/$B$7</f>
        <v>23.031576687662259</v>
      </c>
      <c r="M263">
        <f t="shared" si="52"/>
        <v>0.14080047615347666</v>
      </c>
      <c r="N263" s="21">
        <f t="shared" si="56"/>
        <v>3.2596335928710508E-2</v>
      </c>
      <c r="O263" s="21">
        <f t="shared" si="57"/>
        <v>8.3738047207140234</v>
      </c>
      <c r="P263">
        <f t="shared" si="53"/>
        <v>0.19467925249925805</v>
      </c>
      <c r="Q263">
        <f t="shared" si="50"/>
        <v>0.86866261331412986</v>
      </c>
      <c r="R263">
        <f t="shared" si="51"/>
        <v>-0.48575935986721586</v>
      </c>
      <c r="T263" s="21">
        <f>(M263-M262)/(H263-H262)</f>
        <v>5.3945663971505242E-4</v>
      </c>
      <c r="W263">
        <v>148</v>
      </c>
      <c r="X263">
        <v>8.0491980000000005</v>
      </c>
      <c r="Y263">
        <v>1</v>
      </c>
      <c r="Z263">
        <f t="shared" si="48"/>
        <v>1</v>
      </c>
      <c r="AA263" s="21">
        <f>IF(X263&gt;$B$8+$B$9,0,ABS(X263-O263)/X263)</f>
        <v>4.032783399215957E-2</v>
      </c>
    </row>
    <row r="264" spans="7:27" x14ac:dyDescent="0.2">
      <c r="G264" s="21"/>
      <c r="H264" s="21">
        <v>149</v>
      </c>
      <c r="I264">
        <f t="shared" si="54"/>
        <v>1.6496659907011112E-2</v>
      </c>
      <c r="J264">
        <f t="shared" si="55"/>
        <v>0.86819522611037836</v>
      </c>
      <c r="K264">
        <f t="shared" si="49"/>
        <v>39.945248601088409</v>
      </c>
      <c r="L264">
        <f>0.5*Z264*K264/J264/$B$7</f>
        <v>23.004761717043785</v>
      </c>
      <c r="M264">
        <f t="shared" si="52"/>
        <v>0.14133867473763737</v>
      </c>
      <c r="N264" s="21">
        <f t="shared" si="56"/>
        <v>3.2653058369297487E-2</v>
      </c>
      <c r="O264" s="21">
        <f t="shared" si="57"/>
        <v>8.3903013806210343</v>
      </c>
      <c r="P264">
        <f t="shared" si="53"/>
        <v>0.19537205287963777</v>
      </c>
      <c r="Q264">
        <f t="shared" si="50"/>
        <v>0.86819522611037836</v>
      </c>
      <c r="R264">
        <f t="shared" si="51"/>
        <v>-0.48680338082670549</v>
      </c>
      <c r="T264" s="21">
        <f>(M264-M263)/(H264-H263)</f>
        <v>5.3819858416070954E-4</v>
      </c>
      <c r="W264">
        <v>149</v>
      </c>
      <c r="X264">
        <v>8.0832699999999988</v>
      </c>
      <c r="Y264">
        <v>1</v>
      </c>
      <c r="Z264">
        <f t="shared" si="48"/>
        <v>1</v>
      </c>
      <c r="AA264" s="21">
        <f>IF(X264&gt;$B$8+$B$9,0,ABS(X264-O264)/X264)</f>
        <v>3.7983561185143566E-2</v>
      </c>
    </row>
    <row r="265" spans="7:27" x14ac:dyDescent="0.2">
      <c r="G265" s="21"/>
      <c r="H265" s="21">
        <v>150</v>
      </c>
      <c r="I265">
        <f t="shared" si="54"/>
        <v>1.6430028494611282E-2</v>
      </c>
      <c r="J265">
        <f t="shared" si="55"/>
        <v>0.86772916989461346</v>
      </c>
      <c r="K265">
        <f t="shared" si="49"/>
        <v>39.877730826709602</v>
      </c>
      <c r="L265">
        <f>0.5*Z265*K265/J265/$B$7</f>
        <v>22.978212678705265</v>
      </c>
      <c r="M265">
        <f t="shared" si="52"/>
        <v>0.1418756292594302</v>
      </c>
      <c r="N265" s="21">
        <f t="shared" si="56"/>
        <v>3.2709515024359016E-2</v>
      </c>
      <c r="O265" s="21">
        <f t="shared" si="57"/>
        <v>8.4067314091156451</v>
      </c>
      <c r="P265">
        <f t="shared" si="53"/>
        <v>0.19606288035837202</v>
      </c>
      <c r="Q265">
        <f t="shared" si="50"/>
        <v>0.86772916989461346</v>
      </c>
      <c r="R265">
        <f t="shared" si="51"/>
        <v>-0.48784890688793731</v>
      </c>
      <c r="T265" s="21">
        <f>(M265-M264)/(H265-H264)</f>
        <v>5.3695452179283731E-4</v>
      </c>
      <c r="W265">
        <v>150</v>
      </c>
      <c r="X265">
        <v>8.1011169999999986</v>
      </c>
      <c r="Y265">
        <v>1</v>
      </c>
      <c r="Z265">
        <f t="shared" si="48"/>
        <v>1</v>
      </c>
      <c r="AA265" s="21">
        <f>IF(X265&gt;$B$8+$B$9,0,ABS(X265-O265)/X265)</f>
        <v>3.7724971644730793E-2</v>
      </c>
    </row>
    <row r="266" spans="7:27" x14ac:dyDescent="0.2">
      <c r="G266" s="21"/>
      <c r="H266" s="21">
        <v>151</v>
      </c>
      <c r="I266">
        <f t="shared" si="54"/>
        <v>1.636417980957271E-2</v>
      </c>
      <c r="J266">
        <f t="shared" si="55"/>
        <v>0.86726443085969995</v>
      </c>
      <c r="K266">
        <f t="shared" si="49"/>
        <v>39.810777325643286</v>
      </c>
      <c r="L266">
        <f>0.5*Z266*K266/J266/$B$7</f>
        <v>22.95192556564308</v>
      </c>
      <c r="M266">
        <f t="shared" si="52"/>
        <v>0.14241135347861636</v>
      </c>
      <c r="N266" s="21">
        <f t="shared" si="56"/>
        <v>3.2765709018205323E-2</v>
      </c>
      <c r="O266" s="21">
        <f t="shared" si="57"/>
        <v>8.4230955889252179</v>
      </c>
      <c r="P266">
        <f t="shared" si="53"/>
        <v>0.19675175540155063</v>
      </c>
      <c r="Q266">
        <f t="shared" si="50"/>
        <v>0.86726443085969995</v>
      </c>
      <c r="R266">
        <f t="shared" si="51"/>
        <v>-0.48889595966364846</v>
      </c>
      <c r="T266" s="21">
        <f>(M266-M265)/(H266-H265)</f>
        <v>5.3572421918615665E-4</v>
      </c>
      <c r="W266">
        <v>151</v>
      </c>
      <c r="X266">
        <v>8.1124749999999999</v>
      </c>
      <c r="Y266">
        <v>1</v>
      </c>
      <c r="Z266">
        <f t="shared" si="48"/>
        <v>1</v>
      </c>
      <c r="AA266" s="21">
        <f>IF(X266&gt;$B$8+$B$9,0,ABS(X266-O266)/X266)</f>
        <v>3.8289250681847159E-2</v>
      </c>
    </row>
    <row r="267" spans="7:27" x14ac:dyDescent="0.2">
      <c r="G267" s="21"/>
      <c r="H267" s="21">
        <v>152</v>
      </c>
      <c r="I267">
        <f t="shared" si="54"/>
        <v>1.6299099736081079E-2</v>
      </c>
      <c r="J267">
        <f t="shared" si="55"/>
        <v>0.86680099542759448</v>
      </c>
      <c r="K267">
        <f t="shared" si="49"/>
        <v>39.744379740903462</v>
      </c>
      <c r="L267">
        <f>0.5*Z267*K267/J267/$B$7</f>
        <v>22.925896457523962</v>
      </c>
      <c r="M267">
        <f t="shared" si="52"/>
        <v>0.14294586092696709</v>
      </c>
      <c r="N267" s="21">
        <f t="shared" si="56"/>
        <v>3.2821643418461229E-2</v>
      </c>
      <c r="O267" s="21">
        <f t="shared" si="57"/>
        <v>8.4393946886612987</v>
      </c>
      <c r="P267">
        <f t="shared" si="53"/>
        <v>0.19743869813568432</v>
      </c>
      <c r="Q267">
        <f t="shared" si="50"/>
        <v>0.86680099542759448</v>
      </c>
      <c r="R267">
        <f t="shared" si="51"/>
        <v>-0.4899445606449106</v>
      </c>
      <c r="T267" s="21">
        <f>(M267-M266)/(H267-H266)</f>
        <v>5.3450744835073505E-4</v>
      </c>
      <c r="W267">
        <v>152</v>
      </c>
      <c r="X267">
        <v>8.1205870000000004</v>
      </c>
      <c r="Y267">
        <v>1</v>
      </c>
      <c r="Z267">
        <f t="shared" si="48"/>
        <v>1</v>
      </c>
      <c r="AA267" s="21">
        <f>IF(X267&gt;$B$8+$B$9,0,ABS(X267-O267)/X267)</f>
        <v>3.9259192551141714E-2</v>
      </c>
    </row>
    <row r="268" spans="7:27" x14ac:dyDescent="0.2">
      <c r="G268" s="21"/>
      <c r="H268" s="21">
        <v>153</v>
      </c>
      <c r="I268">
        <f t="shared" si="54"/>
        <v>1.6234774504484035E-2</v>
      </c>
      <c r="J268">
        <f t="shared" si="55"/>
        <v>0.86633885024405677</v>
      </c>
      <c r="K268">
        <f t="shared" si="49"/>
        <v>39.678529893156842</v>
      </c>
      <c r="L268">
        <f>0.5*Z268*K268/J268/$B$7</f>
        <v>22.900121518259848</v>
      </c>
      <c r="M268">
        <f t="shared" si="52"/>
        <v>0.14347916491353832</v>
      </c>
      <c r="N268" s="21">
        <f t="shared" si="56"/>
        <v>3.2877321237461149E-2</v>
      </c>
      <c r="O268" s="21">
        <f t="shared" si="57"/>
        <v>8.4556294631657831</v>
      </c>
      <c r="P268">
        <f t="shared" si="53"/>
        <v>0.19812372835554429</v>
      </c>
      <c r="Q268">
        <f t="shared" si="50"/>
        <v>0.86633885024405677</v>
      </c>
      <c r="R268">
        <f t="shared" si="51"/>
        <v>-0.49099473120596177</v>
      </c>
      <c r="T268" s="21">
        <f>(M268-M267)/(H268-H267)</f>
        <v>5.3330398657122635E-4</v>
      </c>
      <c r="W268">
        <v>153</v>
      </c>
      <c r="X268">
        <v>8.1433019999999985</v>
      </c>
      <c r="Y268">
        <v>1</v>
      </c>
      <c r="Z268">
        <f t="shared" si="48"/>
        <v>1</v>
      </c>
      <c r="AA268" s="21">
        <f>IF(X268&gt;$B$8+$B$9,0,ABS(X268-O268)/X268)</f>
        <v>3.835390891382693E-2</v>
      </c>
    </row>
    <row r="269" spans="7:27" x14ac:dyDescent="0.2">
      <c r="G269" s="21"/>
      <c r="H269" s="21">
        <v>154</v>
      </c>
      <c r="I269">
        <f t="shared" si="54"/>
        <v>1.6171190680594829E-2</v>
      </c>
      <c r="J269">
        <f t="shared" si="55"/>
        <v>0.86587798217351708</v>
      </c>
      <c r="K269">
        <f t="shared" si="49"/>
        <v>39.613219775815836</v>
      </c>
      <c r="L269">
        <f>0.5*Z269*K269/J269/$B$7</f>
        <v>22.874596993666003</v>
      </c>
      <c r="M269">
        <f t="shared" si="52"/>
        <v>0.14401127852978904</v>
      </c>
      <c r="N269" s="21">
        <f t="shared" si="56"/>
        <v>3.2932745433600918E-2</v>
      </c>
      <c r="O269" s="21">
        <f t="shared" si="57"/>
        <v>8.4718006538463779</v>
      </c>
      <c r="P269">
        <f t="shared" si="53"/>
        <v>0.19880686553176993</v>
      </c>
      <c r="Q269">
        <f t="shared" si="50"/>
        <v>0.86587798217351708</v>
      </c>
      <c r="R269">
        <f t="shared" si="51"/>
        <v>-0.49204649260891115</v>
      </c>
      <c r="T269" s="21">
        <f>(M269-M268)/(H269-H268)</f>
        <v>5.3211361625071785E-4</v>
      </c>
      <c r="W269">
        <v>154</v>
      </c>
      <c r="X269">
        <v>8.1546589999999988</v>
      </c>
      <c r="Y269">
        <v>1</v>
      </c>
      <c r="Z269">
        <f t="shared" si="48"/>
        <v>1</v>
      </c>
      <c r="AA269" s="21">
        <f>IF(X269&gt;$B$8+$B$9,0,ABS(X269-O269)/X269)</f>
        <v>3.8890854154217752E-2</v>
      </c>
    </row>
    <row r="270" spans="7:27" x14ac:dyDescent="0.2">
      <c r="G270" s="21"/>
      <c r="H270" s="21">
        <v>155</v>
      </c>
      <c r="I270">
        <f t="shared" si="54"/>
        <v>1.6108335155393862E-2</v>
      </c>
      <c r="J270">
        <f t="shared" si="55"/>
        <v>0.86541837829409352</v>
      </c>
      <c r="K270">
        <f t="shared" si="49"/>
        <v>39.548441550297724</v>
      </c>
      <c r="L270">
        <f>0.5*Z270*K270/J270/$B$7</f>
        <v>22.84931920919875</v>
      </c>
      <c r="M270">
        <f t="shared" si="52"/>
        <v>0.14454221465455053</v>
      </c>
      <c r="N270" s="21">
        <f t="shared" si="56"/>
        <v>3.2987918912648087E-2</v>
      </c>
      <c r="O270" s="21">
        <f t="shared" si="57"/>
        <v>8.487908989001772</v>
      </c>
      <c r="P270">
        <f t="shared" si="53"/>
        <v>0.19948812881825467</v>
      </c>
      <c r="Q270">
        <f t="shared" si="50"/>
        <v>0.86541837829409352</v>
      </c>
      <c r="R270">
        <f t="shared" si="51"/>
        <v>-0.49309986600832334</v>
      </c>
      <c r="T270" s="21">
        <f>(M270-M269)/(H270-H269)</f>
        <v>5.3093612476148855E-4</v>
      </c>
      <c r="W270">
        <v>155</v>
      </c>
      <c r="X270">
        <v>8.1806190000000001</v>
      </c>
      <c r="Y270">
        <v>1</v>
      </c>
      <c r="Z270">
        <f t="shared" si="48"/>
        <v>1</v>
      </c>
      <c r="AA270" s="21">
        <f>IF(X270&gt;$B$8+$B$9,0,ABS(X270-O270)/X270)</f>
        <v>3.7563170831176954E-2</v>
      </c>
    </row>
    <row r="271" spans="7:27" x14ac:dyDescent="0.2">
      <c r="G271" s="21"/>
      <c r="H271" s="21">
        <v>156</v>
      </c>
      <c r="I271">
        <f t="shared" si="54"/>
        <v>1.6046195135110682E-2</v>
      </c>
      <c r="J271">
        <f t="shared" si="55"/>
        <v>0.86496002589275478</v>
      </c>
      <c r="K271">
        <f t="shared" si="49"/>
        <v>39.484187541443767</v>
      </c>
      <c r="L271">
        <f>0.5*Z271*K271/J271/$B$7</f>
        <v>22.824284567769933</v>
      </c>
      <c r="M271">
        <f t="shared" si="52"/>
        <v>0.14507198595884988</v>
      </c>
      <c r="N271" s="21">
        <f t="shared" si="56"/>
        <v>3.3042844529011989E-2</v>
      </c>
      <c r="O271" s="21">
        <f t="shared" si="57"/>
        <v>8.503955184136883</v>
      </c>
      <c r="P271">
        <f t="shared" si="53"/>
        <v>0.20016753705931617</v>
      </c>
      <c r="Q271">
        <f t="shared" si="50"/>
        <v>0.86496002589275478</v>
      </c>
      <c r="R271">
        <f t="shared" si="51"/>
        <v>-0.49415487245568601</v>
      </c>
      <c r="T271" s="21">
        <f>(M271-M270)/(H271-H270)</f>
        <v>5.2977130429934793E-4</v>
      </c>
      <c r="W271">
        <v>156</v>
      </c>
      <c r="X271">
        <v>8.1984670000000008</v>
      </c>
      <c r="Y271">
        <v>1</v>
      </c>
      <c r="Z271">
        <f t="shared" si="48"/>
        <v>1</v>
      </c>
      <c r="AA271" s="21">
        <f>IF(X271&gt;$B$8+$B$9,0,ABS(X271-O271)/X271)</f>
        <v>3.7261622707865039E-2</v>
      </c>
    </row>
    <row r="272" spans="7:27" x14ac:dyDescent="0.2">
      <c r="G272" s="21"/>
      <c r="H272" s="21">
        <v>157</v>
      </c>
      <c r="I272">
        <f t="shared" si="54"/>
        <v>1.5984758131670558E-2</v>
      </c>
      <c r="J272">
        <f t="shared" si="55"/>
        <v>0.86450291246062227</v>
      </c>
      <c r="K272">
        <f t="shared" si="49"/>
        <v>39.420450233091486</v>
      </c>
      <c r="L272">
        <f>0.5*Z272*K272/J272/$B$7</f>
        <v>22.799489547634735</v>
      </c>
      <c r="M272">
        <f t="shared" si="52"/>
        <v>0.14560060491059484</v>
      </c>
      <c r="N272" s="21">
        <f t="shared" si="56"/>
        <v>3.3097525086975409E-2</v>
      </c>
      <c r="O272" s="21">
        <f t="shared" si="57"/>
        <v>8.5199399422685538</v>
      </c>
      <c r="P272">
        <f t="shared" si="53"/>
        <v>0.20084510879665984</v>
      </c>
      <c r="Q272">
        <f t="shared" si="50"/>
        <v>0.86450291246062227</v>
      </c>
      <c r="R272">
        <f t="shared" si="51"/>
        <v>-0.49521153290376424</v>
      </c>
      <c r="T272" s="21">
        <f>(M272-M271)/(H272-H271)</f>
        <v>5.2861895174496909E-4</v>
      </c>
      <c r="W272">
        <v>157</v>
      </c>
      <c r="X272">
        <v>8.2130690000000008</v>
      </c>
      <c r="Y272">
        <v>1</v>
      </c>
      <c r="Z272">
        <f t="shared" si="48"/>
        <v>1</v>
      </c>
      <c r="AA272" s="21">
        <f>IF(X272&gt;$B$8+$B$9,0,ABS(X272-O272)/X272)</f>
        <v>3.7363736049040003E-2</v>
      </c>
    </row>
    <row r="273" spans="7:27" x14ac:dyDescent="0.2">
      <c r="G273" s="21"/>
      <c r="H273" s="21">
        <v>158</v>
      </c>
      <c r="I273">
        <f t="shared" si="54"/>
        <v>1.5924011953489137E-2</v>
      </c>
      <c r="J273">
        <f t="shared" si="55"/>
        <v>0.86404702568840741</v>
      </c>
      <c r="K273">
        <f t="shared" si="49"/>
        <v>39.357222263794348</v>
      </c>
      <c r="L273">
        <f>0.5*Z273*K273/J273/$B$7</f>
        <v>22.774930700350183</v>
      </c>
      <c r="M273">
        <f t="shared" si="52"/>
        <v>0.14612808377912359</v>
      </c>
      <c r="N273" s="21">
        <f t="shared" si="56"/>
        <v>3.315196334188892E-2</v>
      </c>
      <c r="O273" s="21">
        <f t="shared" si="57"/>
        <v>8.5358639542220427</v>
      </c>
      <c r="P273">
        <f t="shared" si="53"/>
        <v>0.20152086227614213</v>
      </c>
      <c r="Q273">
        <f t="shared" si="50"/>
        <v>0.86404702568840741</v>
      </c>
      <c r="R273">
        <f t="shared" si="51"/>
        <v>-0.49626986821084729</v>
      </c>
      <c r="T273" s="21">
        <f>(M273-M272)/(H273-H272)</f>
        <v>5.2747886852874681E-4</v>
      </c>
      <c r="W273">
        <v>158</v>
      </c>
      <c r="X273">
        <v>8.2390289999999986</v>
      </c>
      <c r="Y273">
        <v>1</v>
      </c>
      <c r="Z273">
        <f t="shared" si="48"/>
        <v>1</v>
      </c>
      <c r="AA273" s="21">
        <f>IF(X273&gt;$B$8+$B$9,0,ABS(X273-O273)/X273)</f>
        <v>3.6027905014297694E-2</v>
      </c>
    </row>
    <row r="274" spans="7:27" x14ac:dyDescent="0.2">
      <c r="G274" s="21"/>
      <c r="H274" s="21">
        <v>159</v>
      </c>
      <c r="I274">
        <f t="shared" si="54"/>
        <v>1.5863944696601219E-2</v>
      </c>
      <c r="J274">
        <f t="shared" si="55"/>
        <v>0.86359235346197893</v>
      </c>
      <c r="K274">
        <f t="shared" si="49"/>
        <v>39.294496422682855</v>
      </c>
      <c r="L274">
        <f>0.5*Z274*K274/J274/$B$7</f>
        <v>22.750604648801385</v>
      </c>
      <c r="M274">
        <f t="shared" si="52"/>
        <v>0.14665443463962449</v>
      </c>
      <c r="N274" s="21">
        <f t="shared" si="56"/>
        <v>3.3206162001329448E-2</v>
      </c>
      <c r="O274" s="21">
        <f t="shared" si="57"/>
        <v>8.551727898918644</v>
      </c>
      <c r="P274">
        <f t="shared" si="53"/>
        <v>0.20219481545434098</v>
      </c>
      <c r="Q274">
        <f t="shared" si="50"/>
        <v>0.86359235346197893</v>
      </c>
      <c r="R274">
        <f t="shared" si="51"/>
        <v>-0.49732989914489106</v>
      </c>
      <c r="T274" s="21">
        <f>(M274-M273)/(H274-H273)</f>
        <v>5.2635086050090152E-4</v>
      </c>
      <c r="W274">
        <v>159</v>
      </c>
      <c r="X274">
        <v>8.266611000000001</v>
      </c>
      <c r="Y274">
        <v>1</v>
      </c>
      <c r="Z274">
        <f t="shared" si="48"/>
        <v>1</v>
      </c>
      <c r="AA274" s="21">
        <f>IF(X274&gt;$B$8+$B$9,0,ABS(X274-O274)/X274)</f>
        <v>3.4490179702255611E-2</v>
      </c>
    </row>
    <row r="275" spans="7:27" x14ac:dyDescent="0.2">
      <c r="G275" s="21"/>
      <c r="H275" s="21">
        <v>160</v>
      </c>
      <c r="I275">
        <f t="shared" si="54"/>
        <v>1.5804544736109084E-2</v>
      </c>
      <c r="J275">
        <f t="shared" si="55"/>
        <v>0.86313888385805615</v>
      </c>
      <c r="K275">
        <f t="shared" si="49"/>
        <v>39.232265645461609</v>
      </c>
      <c r="L275">
        <f>0.5*Z275*K275/J275/$B$7</f>
        <v>22.726508085292902</v>
      </c>
      <c r="M275">
        <f t="shared" si="52"/>
        <v>0.14717966937743066</v>
      </c>
      <c r="N275" s="21">
        <f t="shared" si="56"/>
        <v>3.3260123726224375E-2</v>
      </c>
      <c r="O275" s="21">
        <f t="shared" si="57"/>
        <v>8.5675324436547537</v>
      </c>
      <c r="P275">
        <f t="shared" si="53"/>
        <v>0.20286698600493966</v>
      </c>
      <c r="Q275">
        <f t="shared" si="50"/>
        <v>0.86313888385805615</v>
      </c>
      <c r="R275">
        <f t="shared" si="51"/>
        <v>-0.49839164638755973</v>
      </c>
      <c r="T275" s="21">
        <f>(M275-M274)/(H275-H274)</f>
        <v>5.2523473780616281E-4</v>
      </c>
      <c r="W275">
        <v>160</v>
      </c>
      <c r="X275">
        <v>8.2649889999999999</v>
      </c>
      <c r="Y275">
        <v>1</v>
      </c>
      <c r="Z275">
        <f t="shared" si="48"/>
        <v>1</v>
      </c>
      <c r="AA275" s="21">
        <f>IF(X275&gt;$B$8+$B$9,0,ABS(X275-O275)/X275)</f>
        <v>3.6605426051353952E-2</v>
      </c>
    </row>
    <row r="276" spans="7:27" x14ac:dyDescent="0.2">
      <c r="G276" s="21"/>
      <c r="H276" s="21">
        <v>161</v>
      </c>
      <c r="I276">
        <f t="shared" si="54"/>
        <v>1.5745800717936787E-2</v>
      </c>
      <c r="J276">
        <f t="shared" si="55"/>
        <v>0.86268660514002327</v>
      </c>
      <c r="K276">
        <f t="shared" si="49"/>
        <v>39.170523010537067</v>
      </c>
      <c r="L276">
        <f>0.5*Z276*K276/J276/$B$7</f>
        <v>22.702637769702747</v>
      </c>
      <c r="M276">
        <f t="shared" si="52"/>
        <v>0.14770379969219305</v>
      </c>
      <c r="N276" s="21">
        <f t="shared" si="56"/>
        <v>3.3313851131942143E-2</v>
      </c>
      <c r="O276" s="21">
        <f t="shared" si="57"/>
        <v>8.5832782443726909</v>
      </c>
      <c r="P276">
        <f t="shared" si="53"/>
        <v>0.20353739132493101</v>
      </c>
      <c r="Q276">
        <f t="shared" si="50"/>
        <v>0.86268660514002327</v>
      </c>
      <c r="R276">
        <f t="shared" si="51"/>
        <v>-0.49945513053817076</v>
      </c>
      <c r="T276" s="21">
        <f>(M276-M275)/(H276-H275)</f>
        <v>5.2413031476239436E-4</v>
      </c>
      <c r="W276">
        <v>161</v>
      </c>
      <c r="X276">
        <v>8.2828359999999996</v>
      </c>
      <c r="Y276">
        <v>1</v>
      </c>
      <c r="Z276">
        <f t="shared" si="48"/>
        <v>1</v>
      </c>
      <c r="AA276" s="21">
        <f>IF(X276&gt;$B$8+$B$9,0,ABS(X276-O276)/X276)</f>
        <v>3.6272871317588724E-2</v>
      </c>
    </row>
    <row r="277" spans="7:27" x14ac:dyDescent="0.2">
      <c r="G277" s="21"/>
      <c r="H277" s="21">
        <v>162</v>
      </c>
      <c r="I277">
        <f t="shared" si="54"/>
        <v>1.5687701550878064E-2</v>
      </c>
      <c r="J277">
        <f t="shared" si="55"/>
        <v>0.86223550575386121</v>
      </c>
      <c r="K277">
        <f t="shared" si="49"/>
        <v>39.10926173527087</v>
      </c>
      <c r="L277">
        <f>0.5*Z277*K277/J277/$B$7</f>
        <v>22.678990527696516</v>
      </c>
      <c r="M277">
        <f t="shared" si="52"/>
        <v>0.1482268371019369</v>
      </c>
      <c r="N277" s="21">
        <f t="shared" si="56"/>
        <v>3.3367346789350993E-2</v>
      </c>
      <c r="O277" s="21">
        <f t="shared" si="57"/>
        <v>8.5989659459235686</v>
      </c>
      <c r="P277">
        <f t="shared" si="53"/>
        <v>0.20420604854064786</v>
      </c>
      <c r="Q277">
        <f t="shared" si="50"/>
        <v>0.86223550575386121</v>
      </c>
      <c r="R277">
        <f t="shared" si="51"/>
        <v>-0.50052037211754763</v>
      </c>
      <c r="T277" s="21">
        <f>(M277-M276)/(H277-H276)</f>
        <v>5.2303740974385393E-4</v>
      </c>
      <c r="W277">
        <v>162</v>
      </c>
      <c r="X277">
        <v>8.3039279999999991</v>
      </c>
      <c r="Y277">
        <v>1</v>
      </c>
      <c r="Z277">
        <f t="shared" si="48"/>
        <v>1</v>
      </c>
      <c r="AA277" s="21">
        <f>IF(X277&gt;$B$8+$B$9,0,ABS(X277-O277)/X277)</f>
        <v>3.5529925828303124E-2</v>
      </c>
    </row>
    <row r="278" spans="7:27" x14ac:dyDescent="0.2">
      <c r="G278" s="21"/>
      <c r="H278" s="21">
        <v>163</v>
      </c>
      <c r="I278">
        <f t="shared" si="54"/>
        <v>1.5630236398925412E-2</v>
      </c>
      <c r="J278">
        <f t="shared" si="55"/>
        <v>0.86178557432419245</v>
      </c>
      <c r="K278">
        <f t="shared" si="49"/>
        <v>39.048475172353967</v>
      </c>
      <c r="L278">
        <f>0.5*Z278*K278/J278/$B$7</f>
        <v>22.655563248999364</v>
      </c>
      <c r="M278">
        <f t="shared" si="52"/>
        <v>0.14874879294700494</v>
      </c>
      <c r="N278" s="21">
        <f t="shared" si="56"/>
        <v>3.3420613225846531E-2</v>
      </c>
      <c r="O278" s="21">
        <f t="shared" si="57"/>
        <v>8.6145961823224937</v>
      </c>
      <c r="P278">
        <f t="shared" si="53"/>
        <v>0.2048729745136256</v>
      </c>
      <c r="Q278">
        <f t="shared" si="50"/>
        <v>0.86178557432419245</v>
      </c>
      <c r="R278">
        <f t="shared" si="51"/>
        <v>-0.50158739157178123</v>
      </c>
      <c r="T278" s="21">
        <f>(M278-M277)/(H278-H277)</f>
        <v>5.2195584506803394E-4</v>
      </c>
      <c r="W278">
        <v>163</v>
      </c>
      <c r="X278">
        <v>8.3201529999999977</v>
      </c>
      <c r="Y278">
        <v>1</v>
      </c>
      <c r="Z278">
        <f t="shared" si="48"/>
        <v>1</v>
      </c>
      <c r="AA278" s="21">
        <f>IF(X278&gt;$B$8+$B$9,0,ABS(X278-O278)/X278)</f>
        <v>3.5389154781468091E-2</v>
      </c>
    </row>
    <row r="279" spans="7:27" x14ac:dyDescent="0.2">
      <c r="G279" s="21"/>
      <c r="H279" s="21">
        <v>164</v>
      </c>
      <c r="I279">
        <f t="shared" si="54"/>
        <v>1.5573394673868451E-2</v>
      </c>
      <c r="J279">
        <f t="shared" si="55"/>
        <v>0.86133679965043541</v>
      </c>
      <c r="K279">
        <f t="shared" si="49"/>
        <v>38.988156806296963</v>
      </c>
      <c r="L279">
        <f>0.5*Z279*K279/J279/$B$7</f>
        <v>22.632352885723623</v>
      </c>
      <c r="M279">
        <f t="shared" si="52"/>
        <v>0.14926967839389138</v>
      </c>
      <c r="N279" s="21">
        <f t="shared" si="56"/>
        <v>3.347365292634958E-2</v>
      </c>
      <c r="O279" s="21">
        <f t="shared" si="57"/>
        <v>8.6301695769963622</v>
      </c>
      <c r="P279">
        <f t="shared" si="53"/>
        <v>0.20553818584630262</v>
      </c>
      <c r="Q279">
        <f t="shared" si="50"/>
        <v>0.86133679965043541</v>
      </c>
      <c r="R279">
        <f t="shared" si="51"/>
        <v>-0.5026562092759056</v>
      </c>
      <c r="T279" s="21">
        <f>(M279-M278)/(H279-H278)</f>
        <v>5.2088544688644323E-4</v>
      </c>
      <c r="W279">
        <v>164</v>
      </c>
      <c r="X279">
        <v>8.3380009999999984</v>
      </c>
      <c r="Y279">
        <v>1</v>
      </c>
      <c r="Z279">
        <f t="shared" si="48"/>
        <v>1</v>
      </c>
      <c r="AA279" s="21">
        <f>IF(X279&gt;$B$8+$B$9,0,ABS(X279-O279)/X279)</f>
        <v>3.5040602297404841E-2</v>
      </c>
    </row>
    <row r="280" spans="7:27" x14ac:dyDescent="0.2">
      <c r="G280" s="21"/>
      <c r="H280" s="21">
        <v>165</v>
      </c>
      <c r="I280">
        <f t="shared" si="54"/>
        <v>1.551716602815118E-2</v>
      </c>
      <c r="J280">
        <f t="shared" si="55"/>
        <v>0.86088917070306425</v>
      </c>
      <c r="K280">
        <f t="shared" si="49"/>
        <v>38.928300250032223</v>
      </c>
      <c r="L280">
        <f>0.5*Z280*K280/J280/$B$7</f>
        <v>22.609356450749964</v>
      </c>
      <c r="M280">
        <f t="shared" si="52"/>
        <v>0.14978950443897082</v>
      </c>
      <c r="N280" s="21">
        <f t="shared" si="56"/>
        <v>3.3526468334274979E-2</v>
      </c>
      <c r="O280" s="21">
        <f t="shared" si="57"/>
        <v>8.6456867430245126</v>
      </c>
      <c r="P280">
        <f t="shared" si="53"/>
        <v>0.20620169888756384</v>
      </c>
      <c r="Q280">
        <f t="shared" si="50"/>
        <v>0.86088917070306425</v>
      </c>
      <c r="R280">
        <f t="shared" si="51"/>
        <v>-0.5037268455374907</v>
      </c>
      <c r="T280" s="21">
        <f>(M280-M279)/(H280-H279)</f>
        <v>5.1982604507944119E-4</v>
      </c>
      <c r="W280">
        <v>165</v>
      </c>
      <c r="X280">
        <v>8.3542249999999996</v>
      </c>
      <c r="Y280">
        <v>1</v>
      </c>
      <c r="Z280">
        <f t="shared" si="48"/>
        <v>1</v>
      </c>
      <c r="AA280" s="21">
        <f>IF(X280&gt;$B$8+$B$9,0,ABS(X280-O280)/X280)</f>
        <v>3.488794508461443E-2</v>
      </c>
    </row>
    <row r="281" spans="7:27" x14ac:dyDescent="0.2">
      <c r="G281" s="21"/>
      <c r="H281" s="21">
        <v>166</v>
      </c>
      <c r="I281">
        <f t="shared" si="54"/>
        <v>1.5461540347977117E-2</v>
      </c>
      <c r="J281">
        <f t="shared" si="55"/>
        <v>0.86044267661997131</v>
      </c>
      <c r="K281">
        <f t="shared" si="49"/>
        <v>38.868899241623502</v>
      </c>
      <c r="L281">
        <f>0.5*Z281*K281/J281/$B$7</f>
        <v>22.586571016159972</v>
      </c>
      <c r="M281">
        <f t="shared" si="52"/>
        <v>0.15030828191212461</v>
      </c>
      <c r="N281" s="21">
        <f t="shared" si="56"/>
        <v>3.3579061852472829E-2</v>
      </c>
      <c r="O281" s="21">
        <f t="shared" si="57"/>
        <v>8.6611482833724889</v>
      </c>
      <c r="P281">
        <f t="shared" si="53"/>
        <v>0.20686352973813327</v>
      </c>
      <c r="Q281">
        <f t="shared" si="50"/>
        <v>0.86044267661997131</v>
      </c>
      <c r="R281">
        <f t="shared" si="51"/>
        <v>-0.50479932060015398</v>
      </c>
      <c r="T281" s="21">
        <f>(M281-M280)/(H281-H280)</f>
        <v>5.1877747315379197E-4</v>
      </c>
      <c r="W281">
        <v>166</v>
      </c>
      <c r="X281">
        <v>8.360714999999999</v>
      </c>
      <c r="Y281">
        <v>1</v>
      </c>
      <c r="Z281">
        <f t="shared" si="48"/>
        <v>1</v>
      </c>
      <c r="AA281" s="21">
        <f>IF(X281&gt;$B$8+$B$9,0,ABS(X281-O281)/X281)</f>
        <v>3.5933922322730759E-2</v>
      </c>
    </row>
    <row r="282" spans="7:27" x14ac:dyDescent="0.2">
      <c r="G282" s="21"/>
      <c r="H282" s="21">
        <v>167</v>
      </c>
      <c r="I282">
        <f t="shared" si="54"/>
        <v>1.5406507746652106E-2</v>
      </c>
      <c r="J282">
        <f t="shared" si="55"/>
        <v>0.85999730670292807</v>
      </c>
      <c r="K282">
        <f t="shared" si="49"/>
        <v>38.809947641079212</v>
      </c>
      <c r="L282">
        <f>0.5*Z282*K282/J282/$B$7</f>
        <v>22.563993711718375</v>
      </c>
      <c r="M282">
        <f t="shared" si="52"/>
        <v>0.15082602148026886</v>
      </c>
      <c r="N282" s="21">
        <f t="shared" si="56"/>
        <v>3.363143584414259E-2</v>
      </c>
      <c r="O282" s="21">
        <f t="shared" si="57"/>
        <v>8.6765547911191412</v>
      </c>
      <c r="P282">
        <f t="shared" si="53"/>
        <v>0.20752369425581943</v>
      </c>
      <c r="Q282">
        <f t="shared" si="50"/>
        <v>0.85999730670292807</v>
      </c>
      <c r="R282">
        <f t="shared" si="51"/>
        <v>-0.50587365464699419</v>
      </c>
      <c r="T282" s="21">
        <f>(M282-M281)/(H282-H281)</f>
        <v>5.1773956814424316E-4</v>
      </c>
      <c r="W282">
        <v>167</v>
      </c>
      <c r="X282">
        <v>8.3866750000000003</v>
      </c>
      <c r="Y282">
        <v>1</v>
      </c>
      <c r="Z282">
        <f t="shared" si="48"/>
        <v>1</v>
      </c>
      <c r="AA282" s="21">
        <f>IF(X282&gt;$B$8+$B$9,0,ABS(X282-O282)/X282)</f>
        <v>3.4564328666502622E-2</v>
      </c>
    </row>
    <row r="283" spans="7:27" x14ac:dyDescent="0.2">
      <c r="G283" s="21"/>
      <c r="H283" s="21">
        <v>168</v>
      </c>
      <c r="I283">
        <f t="shared" si="54"/>
        <v>1.5352058558155756E-2</v>
      </c>
      <c r="J283">
        <f t="shared" si="55"/>
        <v>0.85955305041414154</v>
      </c>
      <c r="K283">
        <f t="shared" si="49"/>
        <v>38.751439427265247</v>
      </c>
      <c r="L283">
        <f>0.5*Z283*K283/J283/$B$7</f>
        <v>22.54162172340288</v>
      </c>
      <c r="M283">
        <f t="shared" si="52"/>
        <v>0.15134273365078738</v>
      </c>
      <c r="N283" s="21">
        <f t="shared" si="56"/>
        <v>3.3683592633721476E-2</v>
      </c>
      <c r="O283" s="21">
        <f t="shared" si="57"/>
        <v>8.6919068496772969</v>
      </c>
      <c r="P283">
        <f t="shared" si="53"/>
        <v>0.20818220806061977</v>
      </c>
      <c r="Q283">
        <f t="shared" si="50"/>
        <v>0.85955305041414154</v>
      </c>
      <c r="R283">
        <f t="shared" si="51"/>
        <v>-0.50694986780395224</v>
      </c>
      <c r="T283" s="21">
        <f>(M283-M282)/(H283-H282)</f>
        <v>5.1671217051851848E-4</v>
      </c>
      <c r="W283">
        <v>168</v>
      </c>
      <c r="X283">
        <v>8.3931649999999998</v>
      </c>
      <c r="Y283">
        <v>1</v>
      </c>
      <c r="Z283">
        <f t="shared" si="48"/>
        <v>1</v>
      </c>
      <c r="AA283" s="21">
        <f>IF(X283&gt;$B$8+$B$9,0,ABS(X283-O283)/X283)</f>
        <v>3.5593467979873755E-2</v>
      </c>
    </row>
    <row r="284" spans="7:27" x14ac:dyDescent="0.2">
      <c r="G284" s="21"/>
      <c r="H284" s="21">
        <v>169</v>
      </c>
      <c r="I284">
        <f t="shared" si="54"/>
        <v>1.5298183330931997E-2</v>
      </c>
      <c r="J284">
        <f t="shared" si="55"/>
        <v>0.85910989737290366</v>
      </c>
      <c r="K284">
        <f t="shared" si="49"/>
        <v>38.693368694913886</v>
      </c>
      <c r="L284">
        <f>0.5*Z284*K284/J284/$B$7</f>
        <v>22.519452291980006</v>
      </c>
      <c r="M284">
        <f t="shared" si="52"/>
        <v>0.15185842877487152</v>
      </c>
      <c r="N284" s="21">
        <f t="shared" si="56"/>
        <v>3.3735534507747529E-2</v>
      </c>
      <c r="O284" s="21">
        <f t="shared" si="57"/>
        <v>8.7072050330082291</v>
      </c>
      <c r="P284">
        <f t="shared" si="53"/>
        <v>0.20883908653968775</v>
      </c>
      <c r="Q284">
        <f t="shared" si="50"/>
        <v>0.85910989737290366</v>
      </c>
      <c r="R284">
        <f t="shared" si="51"/>
        <v>-0.5080279801430978</v>
      </c>
      <c r="T284" s="21">
        <f>(M284-M283)/(H284-H283)</f>
        <v>5.1569512408414231E-4</v>
      </c>
      <c r="W284">
        <v>169</v>
      </c>
      <c r="X284">
        <v>8.4093899999999984</v>
      </c>
      <c r="Y284">
        <v>1</v>
      </c>
      <c r="Z284">
        <f t="shared" si="48"/>
        <v>1</v>
      </c>
      <c r="AA284" s="21">
        <f>IF(X284&gt;$B$8+$B$9,0,ABS(X284-O284)/X284)</f>
        <v>3.5414582152597372E-2</v>
      </c>
    </row>
    <row r="285" spans="7:27" x14ac:dyDescent="0.2">
      <c r="G285" s="21"/>
      <c r="H285" s="21">
        <v>170</v>
      </c>
      <c r="I285">
        <f t="shared" si="54"/>
        <v>1.5244872821890021E-2</v>
      </c>
      <c r="J285">
        <f t="shared" si="55"/>
        <v>0.85866783735232888</v>
      </c>
      <c r="K285">
        <f t="shared" si="49"/>
        <v>38.6357296517251</v>
      </c>
      <c r="L285">
        <f>0.5*Z285*K285/J285/$B$7</f>
        <v>22.497482711625121</v>
      </c>
      <c r="M285">
        <f t="shared" si="52"/>
        <v>0.1523731170507725</v>
      </c>
      <c r="N285" s="21">
        <f t="shared" si="56"/>
        <v>3.3787263715698783E-2</v>
      </c>
      <c r="O285" s="21">
        <f t="shared" si="57"/>
        <v>8.7224499058301195</v>
      </c>
      <c r="P285">
        <f t="shared" si="53"/>
        <v>0.20949434485216764</v>
      </c>
      <c r="Q285">
        <f t="shared" si="50"/>
        <v>0.85866783735232888</v>
      </c>
      <c r="R285">
        <f t="shared" si="51"/>
        <v>-0.50910801168584807</v>
      </c>
      <c r="T285" s="21">
        <f>(M285-M284)/(H285-H284)</f>
        <v>5.1468827590098187E-4</v>
      </c>
      <c r="W285">
        <v>170</v>
      </c>
      <c r="X285">
        <v>8.4402170000000005</v>
      </c>
      <c r="Y285">
        <v>1</v>
      </c>
      <c r="Z285">
        <f t="shared" si="48"/>
        <v>1</v>
      </c>
      <c r="AA285" s="21">
        <f>IF(X285&gt;$B$8+$B$9,0,ABS(X285-O285)/X285)</f>
        <v>3.3439058004091478E-2</v>
      </c>
    </row>
    <row r="286" spans="7:27" x14ac:dyDescent="0.2">
      <c r="G286" s="21"/>
      <c r="H286" s="21">
        <v>171</v>
      </c>
      <c r="I286">
        <f t="shared" si="54"/>
        <v>1.5192117990607365E-2</v>
      </c>
      <c r="J286">
        <f t="shared" si="55"/>
        <v>0.85822686027617989</v>
      </c>
      <c r="K286">
        <f t="shared" si="49"/>
        <v>38.578516615556985</v>
      </c>
      <c r="L286">
        <f>0.5*Z286*K286/J286/$B$7</f>
        <v>22.475710328585095</v>
      </c>
      <c r="M286">
        <f t="shared" si="52"/>
        <v>0.15288680852696512</v>
      </c>
      <c r="N286" s="21">
        <f t="shared" si="56"/>
        <v>3.3838782470808751E-2</v>
      </c>
      <c r="O286" s="21">
        <f t="shared" si="57"/>
        <v>8.737642023820726</v>
      </c>
      <c r="P286">
        <f t="shared" si="53"/>
        <v>0.21014799793390071</v>
      </c>
      <c r="Q286">
        <f t="shared" si="50"/>
        <v>0.85822686027617989</v>
      </c>
      <c r="R286">
        <f t="shared" si="51"/>
        <v>-0.51018998240611868</v>
      </c>
      <c r="T286" s="21">
        <f>(M286-M285)/(H286-H285)</f>
        <v>5.1369147619262367E-4</v>
      </c>
      <c r="W286">
        <v>171</v>
      </c>
      <c r="X286">
        <v>8.4531969999999994</v>
      </c>
      <c r="Y286">
        <v>1</v>
      </c>
      <c r="Z286">
        <f t="shared" si="48"/>
        <v>1</v>
      </c>
      <c r="AA286" s="21">
        <f>IF(X286&gt;$B$8+$B$9,0,ABS(X286-O286)/X286)</f>
        <v>3.3649401974273942E-2</v>
      </c>
    </row>
    <row r="287" spans="7:27" x14ac:dyDescent="0.2">
      <c r="G287" s="21"/>
      <c r="H287" s="21">
        <v>172</v>
      </c>
      <c r="I287">
        <f t="shared" si="54"/>
        <v>1.5139909993727305E-2</v>
      </c>
      <c r="J287">
        <f t="shared" si="55"/>
        <v>0.85778695621577539</v>
      </c>
      <c r="K287">
        <f t="shared" si="49"/>
        <v>38.521724011701913</v>
      </c>
      <c r="L287">
        <f>0.5*Z287*K287/J287/$B$7</f>
        <v>22.454132539881975</v>
      </c>
      <c r="M287">
        <f t="shared" si="52"/>
        <v>0.15339951310523026</v>
      </c>
      <c r="N287" s="21">
        <f t="shared" si="56"/>
        <v>3.3890092950859534E-2</v>
      </c>
      <c r="O287" s="21">
        <f t="shared" si="57"/>
        <v>8.7527819338144539</v>
      </c>
      <c r="P287">
        <f t="shared" si="53"/>
        <v>0.21080006050200831</v>
      </c>
      <c r="Q287">
        <f t="shared" si="50"/>
        <v>0.85778695621577539</v>
      </c>
      <c r="R287">
        <f t="shared" si="51"/>
        <v>-0.51127391223341134</v>
      </c>
      <c r="T287" s="21">
        <f>(M287-M286)/(H287-H286)</f>
        <v>5.1270457826513294E-4</v>
      </c>
      <c r="W287">
        <v>172</v>
      </c>
      <c r="X287">
        <v>8.475912000000001</v>
      </c>
      <c r="Y287">
        <v>1</v>
      </c>
      <c r="Z287">
        <f t="shared" si="48"/>
        <v>1</v>
      </c>
      <c r="AA287" s="21">
        <f>IF(X287&gt;$B$8+$B$9,0,ABS(X287-O287)/X287)</f>
        <v>3.266550358409253E-2</v>
      </c>
    </row>
    <row r="288" spans="7:27" x14ac:dyDescent="0.2">
      <c r="G288" s="21"/>
      <c r="H288" s="21">
        <v>173</v>
      </c>
      <c r="I288">
        <f t="shared" si="54"/>
        <v>1.5088240179542634E-2</v>
      </c>
      <c r="J288">
        <f t="shared" si="55"/>
        <v>0.85734811538698052</v>
      </c>
      <c r="K288">
        <f t="shared" si="49"/>
        <v>38.465346370245612</v>
      </c>
      <c r="L288">
        <f>0.5*Z288*K288/J288/$B$7</f>
        <v>22.432746792056307</v>
      </c>
      <c r="M288">
        <f t="shared" si="52"/>
        <v>0.15391124054365432</v>
      </c>
      <c r="N288" s="21">
        <f t="shared" si="56"/>
        <v>3.3941197298952855E-2</v>
      </c>
      <c r="O288" s="21">
        <f t="shared" si="57"/>
        <v>8.7678701739939964</v>
      </c>
      <c r="P288">
        <f t="shared" si="53"/>
        <v>0.21145054705935309</v>
      </c>
      <c r="Q288">
        <f t="shared" si="50"/>
        <v>0.85734811538698052</v>
      </c>
      <c r="R288">
        <f t="shared" si="51"/>
        <v>-0.51235982105583666</v>
      </c>
      <c r="T288" s="21">
        <f>(M288-M287)/(H288-H287)</f>
        <v>5.1172743842406443E-4</v>
      </c>
      <c r="W288">
        <v>173</v>
      </c>
      <c r="X288">
        <v>8.4953819999999993</v>
      </c>
      <c r="Y288">
        <v>1</v>
      </c>
      <c r="Z288">
        <f t="shared" si="48"/>
        <v>1</v>
      </c>
      <c r="AA288" s="21">
        <f>IF(X288&gt;$B$8+$B$9,0,ABS(X288-O288)/X288)</f>
        <v>3.207485831643557E-2</v>
      </c>
    </row>
    <row r="289" spans="7:27" x14ac:dyDescent="0.2">
      <c r="G289" s="21"/>
      <c r="H289" s="21">
        <v>174</v>
      </c>
      <c r="I289">
        <f t="shared" si="54"/>
        <v>1.5037100082758898E-2</v>
      </c>
      <c r="J289">
        <f t="shared" si="55"/>
        <v>0.85691032814727386</v>
      </c>
      <c r="K289">
        <f t="shared" si="49"/>
        <v>38.409378323505777</v>
      </c>
      <c r="L289">
        <f>0.5*Z289*K289/J289/$B$7</f>
        <v>22.411550579948493</v>
      </c>
      <c r="M289">
        <f t="shared" si="52"/>
        <v>0.1544220004595529</v>
      </c>
      <c r="N289" s="21">
        <f t="shared" si="56"/>
        <v>3.3992097624260205E-2</v>
      </c>
      <c r="O289" s="21">
        <f t="shared" si="57"/>
        <v>8.7829072740767558</v>
      </c>
      <c r="P289">
        <f t="shared" si="53"/>
        <v>0.21209947189888609</v>
      </c>
      <c r="Q289">
        <f t="shared" si="50"/>
        <v>0.85691032814727386</v>
      </c>
      <c r="R289">
        <f t="shared" si="51"/>
        <v>-0.5134477287230802</v>
      </c>
      <c r="T289" s="21">
        <f>(M289-M288)/(H289-H288)</f>
        <v>5.1075991589857872E-4</v>
      </c>
      <c r="W289">
        <v>174</v>
      </c>
      <c r="X289">
        <v>8.5002490000000002</v>
      </c>
      <c r="Y289">
        <v>1</v>
      </c>
      <c r="Z289">
        <f t="shared" si="48"/>
        <v>1</v>
      </c>
      <c r="AA289" s="21">
        <f>IF(X289&gt;$B$8+$B$9,0,ABS(X289-O289)/X289)</f>
        <v>3.3252940481714781E-2</v>
      </c>
    </row>
    <row r="290" spans="7:27" x14ac:dyDescent="0.2">
      <c r="G290" s="21"/>
      <c r="H290" s="21">
        <v>175</v>
      </c>
      <c r="I290">
        <f t="shared" si="54"/>
        <v>1.4986481419430084E-2</v>
      </c>
      <c r="J290">
        <f t="shared" si="55"/>
        <v>0.85647358499289217</v>
      </c>
      <c r="K290">
        <f t="shared" si="49"/>
        <v>38.353814603547704</v>
      </c>
      <c r="L290">
        <f>0.5*Z290*K290/J290/$B$7</f>
        <v>22.39054144551697</v>
      </c>
      <c r="M290">
        <f t="shared" si="52"/>
        <v>0.15493180233231629</v>
      </c>
      <c r="N290" s="21">
        <f t="shared" si="56"/>
        <v>3.4042796002752396E-2</v>
      </c>
      <c r="O290" s="21">
        <f t="shared" si="57"/>
        <v>8.7978937554961867</v>
      </c>
      <c r="P290">
        <f t="shared" si="53"/>
        <v>0.2127468491078795</v>
      </c>
      <c r="Q290">
        <f t="shared" si="50"/>
        <v>0.85647358499289217</v>
      </c>
      <c r="R290">
        <f t="shared" si="51"/>
        <v>-0.5145376550493076</v>
      </c>
      <c r="T290" s="21">
        <f>(M290-M289)/(H290-H289)</f>
        <v>5.098018727633935E-4</v>
      </c>
      <c r="W290">
        <v>175</v>
      </c>
      <c r="X290">
        <v>8.5099839999999993</v>
      </c>
      <c r="Y290">
        <v>1</v>
      </c>
      <c r="Z290">
        <f t="shared" si="48"/>
        <v>1</v>
      </c>
      <c r="AA290" s="21">
        <f>IF(X290&gt;$B$8+$B$9,0,ABS(X290-O290)/X290)</f>
        <v>3.3831997274752501E-2</v>
      </c>
    </row>
    <row r="291" spans="7:27" x14ac:dyDescent="0.2">
      <c r="G291" s="21"/>
      <c r="H291" s="21">
        <v>176</v>
      </c>
      <c r="I291">
        <f t="shared" si="54"/>
        <v>1.4936376082059758E-2</v>
      </c>
      <c r="J291">
        <f t="shared" si="55"/>
        <v>0.85603787655604802</v>
      </c>
      <c r="K291">
        <f t="shared" si="49"/>
        <v>38.298650039774138</v>
      </c>
      <c r="L291">
        <f>0.5*Z291*K291/J291/$B$7</f>
        <v>22.369716976691848</v>
      </c>
      <c r="M291">
        <f t="shared" si="52"/>
        <v>0.15544065550618247</v>
      </c>
      <c r="N291" s="21">
        <f t="shared" si="56"/>
        <v>3.4093294477909326E-2</v>
      </c>
      <c r="O291" s="21">
        <f t="shared" si="57"/>
        <v>8.8128301315782469</v>
      </c>
      <c r="P291">
        <f t="shared" si="53"/>
        <v>0.21339269257205107</v>
      </c>
      <c r="Q291">
        <f t="shared" si="50"/>
        <v>0.85603787655604802</v>
      </c>
      <c r="R291">
        <f t="shared" si="51"/>
        <v>-0.51562961981601574</v>
      </c>
      <c r="T291" s="21">
        <f>(M291-M290)/(H291-H290)</f>
        <v>5.0885317386617501E-4</v>
      </c>
      <c r="W291">
        <v>176</v>
      </c>
      <c r="X291">
        <v>8.5375669999999992</v>
      </c>
      <c r="Y291">
        <v>1</v>
      </c>
      <c r="Z291">
        <f t="shared" si="48"/>
        <v>1</v>
      </c>
      <c r="AA291" s="21">
        <f>IF(X291&gt;$B$8+$B$9,0,ABS(X291-O291)/X291)</f>
        <v>3.2241402214266392E-2</v>
      </c>
    </row>
    <row r="292" spans="7:27" x14ac:dyDescent="0.2">
      <c r="G292" s="21"/>
      <c r="H292" s="21">
        <v>177</v>
      </c>
      <c r="I292">
        <f t="shared" si="54"/>
        <v>1.4886776134862115E-2</v>
      </c>
      <c r="J292">
        <f t="shared" si="55"/>
        <v>0.85560319360221804</v>
      </c>
      <c r="K292">
        <f t="shared" si="49"/>
        <v>38.243879556586528</v>
      </c>
      <c r="L292">
        <f>0.5*Z292*K292/J292/$B$7</f>
        <v>22.349074806262731</v>
      </c>
      <c r="M292">
        <f t="shared" si="52"/>
        <v>0.15594856919293995</v>
      </c>
      <c r="N292" s="21">
        <f t="shared" si="56"/>
        <v>3.4143595061410806E-2</v>
      </c>
      <c r="O292" s="21">
        <f t="shared" si="57"/>
        <v>8.8277169077131088</v>
      </c>
      <c r="P292">
        <f t="shared" si="53"/>
        <v>0.21403701597958305</v>
      </c>
      <c r="Q292">
        <f t="shared" si="50"/>
        <v>0.85560319360221804</v>
      </c>
      <c r="R292">
        <f t="shared" si="51"/>
        <v>-0.51672364277482963</v>
      </c>
      <c r="T292" s="21">
        <f>(M292-M291)/(H292-H291)</f>
        <v>5.0791368675748294E-4</v>
      </c>
      <c r="W292">
        <v>177</v>
      </c>
      <c r="X292">
        <v>8.5456789999999998</v>
      </c>
      <c r="Y292">
        <v>1</v>
      </c>
      <c r="Z292">
        <f t="shared" si="48"/>
        <v>1</v>
      </c>
      <c r="AA292" s="21">
        <f>IF(X292&gt;$B$8+$B$9,0,ABS(X292-O292)/X292)</f>
        <v>3.300356913863825E-2</v>
      </c>
    </row>
    <row r="293" spans="7:27" x14ac:dyDescent="0.2">
      <c r="G293" s="21"/>
      <c r="H293" s="21">
        <v>178</v>
      </c>
      <c r="I293">
        <f t="shared" si="54"/>
        <v>1.4837673809175923E-2</v>
      </c>
      <c r="J293">
        <f t="shared" si="55"/>
        <v>0.85516952702750126</v>
      </c>
      <c r="K293">
        <f t="shared" si="49"/>
        <v>38.18949817111541</v>
      </c>
      <c r="L293">
        <f>0.5*Z293*K293/J293/$B$7</f>
        <v>22.328612610799496</v>
      </c>
      <c r="M293">
        <f t="shared" si="52"/>
        <v>0.15645555247456019</v>
      </c>
      <c r="N293" s="21">
        <f t="shared" si="56"/>
        <v>3.4193699733808716E-2</v>
      </c>
      <c r="O293" s="21">
        <f t="shared" si="57"/>
        <v>8.8425545815222844</v>
      </c>
      <c r="P293">
        <f t="shared" si="53"/>
        <v>0.21467983282503847</v>
      </c>
      <c r="Q293">
        <f t="shared" si="50"/>
        <v>0.85516952702750126</v>
      </c>
      <c r="R293">
        <f t="shared" si="51"/>
        <v>-0.51781974365024708</v>
      </c>
      <c r="T293" s="21">
        <f>(M293-M292)/(H293-H292)</f>
        <v>5.0698328162024353E-4</v>
      </c>
      <c r="W293">
        <v>178</v>
      </c>
      <c r="X293">
        <v>8.5586589999999987</v>
      </c>
      <c r="Y293">
        <v>1</v>
      </c>
      <c r="Z293">
        <f t="shared" si="48"/>
        <v>1</v>
      </c>
      <c r="AA293" s="21">
        <f>IF(X293&gt;$B$8+$B$9,0,ABS(X293-O293)/X293)</f>
        <v>3.3170568137167948E-2</v>
      </c>
    </row>
    <row r="294" spans="7:27" x14ac:dyDescent="0.2">
      <c r="G294" s="21"/>
      <c r="H294" s="21">
        <v>179</v>
      </c>
      <c r="I294">
        <f t="shared" si="54"/>
        <v>1.4789061499026278E-2</v>
      </c>
      <c r="J294">
        <f t="shared" si="55"/>
        <v>0.85473686785604386</v>
      </c>
      <c r="K294">
        <f t="shared" si="49"/>
        <v>38.135500991017423</v>
      </c>
      <c r="L294">
        <f>0.5*Z294*K294/J294/$B$7</f>
        <v>22.308328109604993</v>
      </c>
      <c r="M294">
        <f t="shared" si="52"/>
        <v>0.15696161430576411</v>
      </c>
      <c r="N294" s="21">
        <f t="shared" si="56"/>
        <v>3.424361044518133E-2</v>
      </c>
      <c r="O294" s="21">
        <f t="shared" si="57"/>
        <v>8.8573436430213111</v>
      </c>
      <c r="P294">
        <f t="shared" si="53"/>
        <v>0.21532115641317823</v>
      </c>
      <c r="Q294">
        <f t="shared" si="50"/>
        <v>0.85473686785604386</v>
      </c>
      <c r="R294">
        <f t="shared" si="51"/>
        <v>-0.51891794214233322</v>
      </c>
      <c r="T294" s="21">
        <f>(M294-M293)/(H294-H293)</f>
        <v>5.0606183120391335E-4</v>
      </c>
      <c r="W294">
        <v>179</v>
      </c>
      <c r="X294">
        <v>8.5829959999999978</v>
      </c>
      <c r="Y294">
        <v>1</v>
      </c>
      <c r="Z294">
        <f t="shared" si="48"/>
        <v>1</v>
      </c>
      <c r="AA294" s="21">
        <f>IF(X294&gt;$B$8+$B$9,0,ABS(X294-O294)/X294)</f>
        <v>3.1964088416365714E-2</v>
      </c>
    </row>
    <row r="295" spans="7:27" x14ac:dyDescent="0.2">
      <c r="G295" s="21"/>
      <c r="H295" s="21">
        <v>180</v>
      </c>
      <c r="I295">
        <f t="shared" si="54"/>
        <v>1.4740931756828392E-2</v>
      </c>
      <c r="J295">
        <f t="shared" si="55"/>
        <v>0.85430520723752856</v>
      </c>
      <c r="K295">
        <f t="shared" si="49"/>
        <v>38.081883212336557</v>
      </c>
      <c r="L295">
        <f>0.5*Z295*K295/J295/$B$7</f>
        <v>22.288219063698378</v>
      </c>
      <c r="M295">
        <f t="shared" si="52"/>
        <v>0.15746676351652392</v>
      </c>
      <c r="N295" s="21">
        <f t="shared" si="56"/>
        <v>3.4293329115770321E-2</v>
      </c>
      <c r="O295" s="21">
        <f t="shared" si="57"/>
        <v>8.8720845747781389</v>
      </c>
      <c r="P295">
        <f t="shared" si="53"/>
        <v>0.21596099986268213</v>
      </c>
      <c r="Q295">
        <f t="shared" si="50"/>
        <v>0.85430520723752856</v>
      </c>
      <c r="R295">
        <f t="shared" si="51"/>
        <v>-0.5200182579293664</v>
      </c>
      <c r="T295" s="21">
        <f>(M295-M294)/(H295-H294)</f>
        <v>5.0514921075980879E-4</v>
      </c>
      <c r="W295">
        <v>180</v>
      </c>
      <c r="X295">
        <v>8.6024659999999997</v>
      </c>
      <c r="Y295">
        <v>1</v>
      </c>
      <c r="Z295">
        <f t="shared" si="48"/>
        <v>1</v>
      </c>
      <c r="AA295" s="21">
        <f>IF(X295&gt;$B$8+$B$9,0,ABS(X295-O295)/X295)</f>
        <v>3.1342009928099594E-2</v>
      </c>
    </row>
    <row r="296" spans="7:27" x14ac:dyDescent="0.2">
      <c r="G296" s="21"/>
      <c r="H296" s="21">
        <v>181</v>
      </c>
      <c r="I296">
        <f t="shared" si="54"/>
        <v>1.4693277289227952E-2</v>
      </c>
      <c r="J296">
        <f t="shared" si="55"/>
        <v>0.85387453644472755</v>
      </c>
      <c r="K296">
        <f t="shared" si="49"/>
        <v>38.028640117427521</v>
      </c>
      <c r="L296">
        <f>0.5*Z296*K296/J296/$B$7</f>
        <v>22.268283274828143</v>
      </c>
      <c r="M296">
        <f t="shared" si="52"/>
        <v>0.15797100881450168</v>
      </c>
      <c r="N296" s="21">
        <f t="shared" si="56"/>
        <v>3.4342857636600999E-2</v>
      </c>
      <c r="O296" s="21">
        <f t="shared" si="57"/>
        <v>8.8867778520673664</v>
      </c>
      <c r="P296">
        <f t="shared" si="53"/>
        <v>0.21659937610977695</v>
      </c>
      <c r="Q296">
        <f t="shared" si="50"/>
        <v>0.85387453644472755</v>
      </c>
      <c r="R296">
        <f t="shared" si="51"/>
        <v>-0.52112071067043908</v>
      </c>
      <c r="T296" s="21">
        <f>(M296-M295)/(H296-H295)</f>
        <v>5.0424529797776785E-4</v>
      </c>
      <c r="W296">
        <v>181</v>
      </c>
      <c r="X296">
        <v>8.607333999999998</v>
      </c>
      <c r="Y296">
        <v>1</v>
      </c>
      <c r="Z296">
        <f t="shared" si="48"/>
        <v>1</v>
      </c>
      <c r="AA296" s="21">
        <f>IF(X296&gt;$B$8+$B$9,0,ABS(X296-O296)/X296)</f>
        <v>3.2465784651480749E-2</v>
      </c>
    </row>
    <row r="297" spans="7:27" x14ac:dyDescent="0.2">
      <c r="G297" s="21"/>
      <c r="H297" s="21">
        <v>182</v>
      </c>
      <c r="I297">
        <f t="shared" si="54"/>
        <v>1.4646090953073291E-2</v>
      </c>
      <c r="J297">
        <f t="shared" si="55"/>
        <v>0.85344484687111577</v>
      </c>
      <c r="K297">
        <f t="shared" si="49"/>
        <v>37.975767072939107</v>
      </c>
      <c r="L297">
        <f>0.5*Z297*K297/J297/$B$7</f>
        <v>22.2485185845138</v>
      </c>
      <c r="M297">
        <f t="shared" si="52"/>
        <v>0.15847435878742766</v>
      </c>
      <c r="N297" s="21">
        <f t="shared" si="56"/>
        <v>3.4392197870086232E-2</v>
      </c>
      <c r="O297" s="21">
        <f t="shared" si="57"/>
        <v>8.9014239430204398</v>
      </c>
      <c r="P297">
        <f t="shared" si="53"/>
        <v>0.21723629791177351</v>
      </c>
      <c r="Q297">
        <f t="shared" si="50"/>
        <v>0.85344484687111577</v>
      </c>
      <c r="R297">
        <f t="shared" si="51"/>
        <v>-0.52222532000801092</v>
      </c>
      <c r="T297" s="21">
        <f>(M297-M296)/(H297-H296)</f>
        <v>5.0334997292597605E-4</v>
      </c>
      <c r="W297">
        <v>182</v>
      </c>
      <c r="X297">
        <v>8.6332929999999983</v>
      </c>
      <c r="Y297">
        <v>1</v>
      </c>
      <c r="Z297">
        <f t="shared" si="48"/>
        <v>1</v>
      </c>
      <c r="AA297" s="21">
        <f>IF(X297&gt;$B$8+$B$9,0,ABS(X297-O297)/X297)</f>
        <v>3.1057783283903552E-2</v>
      </c>
    </row>
    <row r="298" spans="7:27" x14ac:dyDescent="0.2">
      <c r="G298" s="21"/>
      <c r="H298" s="21">
        <v>183</v>
      </c>
      <c r="I298">
        <f t="shared" si="54"/>
        <v>1.4599365751514083E-2</v>
      </c>
      <c r="J298">
        <f t="shared" si="55"/>
        <v>0.85301613002854326</v>
      </c>
      <c r="K298">
        <f t="shared" si="49"/>
        <v>37.923259527855365</v>
      </c>
      <c r="L298">
        <f>0.5*Z298*K298/J298/$B$7</f>
        <v>22.228922873115184</v>
      </c>
      <c r="M298">
        <f t="shared" si="52"/>
        <v>0.15897682190541965</v>
      </c>
      <c r="N298" s="21">
        <f t="shared" si="56"/>
        <v>3.4441351650614752E-2</v>
      </c>
      <c r="O298" s="21">
        <f t="shared" si="57"/>
        <v>8.9160233087719547</v>
      </c>
      <c r="P298">
        <f t="shared" si="53"/>
        <v>0.21787177785051695</v>
      </c>
      <c r="Q298">
        <f t="shared" si="50"/>
        <v>0.85301613002854326</v>
      </c>
      <c r="R298">
        <f t="shared" si="51"/>
        <v>-0.52333210557042154</v>
      </c>
      <c r="T298" s="21">
        <f>(M298-M297)/(H298-H297)</f>
        <v>5.0246311799198584E-4</v>
      </c>
      <c r="W298">
        <v>183</v>
      </c>
      <c r="X298">
        <v>8.6414059999999999</v>
      </c>
      <c r="Y298">
        <v>1</v>
      </c>
      <c r="Z298">
        <f t="shared" si="48"/>
        <v>1</v>
      </c>
      <c r="AA298" s="21">
        <f>IF(X298&gt;$B$8+$B$9,0,ABS(X298-O298)/X298)</f>
        <v>3.1779239254810479E-2</v>
      </c>
    </row>
    <row r="299" spans="7:27" x14ac:dyDescent="0.2">
      <c r="G299" s="21"/>
      <c r="H299" s="21">
        <v>184</v>
      </c>
      <c r="I299">
        <f t="shared" si="54"/>
        <v>1.4553094830222423E-2</v>
      </c>
      <c r="J299">
        <f t="shared" si="55"/>
        <v>0.85258837754496553</v>
      </c>
      <c r="K299">
        <f t="shared" si="49"/>
        <v>37.871113011592733</v>
      </c>
      <c r="L299">
        <f>0.5*Z299*K299/J299/$B$7</f>
        <v>22.20949405892846</v>
      </c>
      <c r="M299">
        <f t="shared" si="52"/>
        <v>0.15947840652324452</v>
      </c>
      <c r="N299" s="21">
        <f t="shared" si="56"/>
        <v>3.4490320785124144E-2</v>
      </c>
      <c r="O299" s="21">
        <f t="shared" si="57"/>
        <v>8.9305764036021777</v>
      </c>
      <c r="P299">
        <f t="shared" si="53"/>
        <v>0.21850582833575141</v>
      </c>
      <c r="Q299">
        <f t="shared" si="50"/>
        <v>0.85258837754496553</v>
      </c>
      <c r="R299">
        <f t="shared" si="51"/>
        <v>-0.52444108697435943</v>
      </c>
      <c r="T299" s="21">
        <f>(M299-M298)/(H299-H298)</f>
        <v>5.0158461782487396E-4</v>
      </c>
      <c r="W299">
        <v>184</v>
      </c>
      <c r="X299">
        <v>8.6657429999999991</v>
      </c>
      <c r="Y299">
        <v>1</v>
      </c>
      <c r="Z299">
        <f t="shared" si="48"/>
        <v>1</v>
      </c>
      <c r="AA299" s="21">
        <f>IF(X299&gt;$B$8+$B$9,0,ABS(X299-O299)/X299)</f>
        <v>3.0560957508453539E-2</v>
      </c>
    </row>
    <row r="300" spans="7:27" x14ac:dyDescent="0.2">
      <c r="G300" s="21"/>
      <c r="H300" s="21">
        <v>185</v>
      </c>
      <c r="I300">
        <f t="shared" si="54"/>
        <v>1.4507271473731261E-2</v>
      </c>
      <c r="J300">
        <f t="shared" si="55"/>
        <v>0.85216158116222906</v>
      </c>
      <c r="K300">
        <f t="shared" si="49"/>
        <v>37.819323132151276</v>
      </c>
      <c r="L300">
        <f>0.5*Z300*K300/J300/$B$7</f>
        <v>22.190230097307964</v>
      </c>
      <c r="M300">
        <f t="shared" si="52"/>
        <v>0.15997912088252467</v>
      </c>
      <c r="N300" s="21">
        <f t="shared" si="56"/>
        <v>3.4539107053659077E-2</v>
      </c>
      <c r="O300" s="21">
        <f t="shared" si="57"/>
        <v>8.9450836750759084</v>
      </c>
      <c r="P300">
        <f t="shared" si="53"/>
        <v>0.2191384616084025</v>
      </c>
      <c r="Q300">
        <f t="shared" si="50"/>
        <v>0.85216158116222906</v>
      </c>
      <c r="R300">
        <f t="shared" si="51"/>
        <v>-0.52555228382729147</v>
      </c>
      <c r="T300" s="21">
        <f>(M300-M299)/(H300-H299)</f>
        <v>5.0071435928014663E-4</v>
      </c>
      <c r="W300">
        <v>185</v>
      </c>
      <c r="X300">
        <v>8.6835899999999988</v>
      </c>
      <c r="Y300">
        <v>1</v>
      </c>
      <c r="Z300">
        <f t="shared" si="48"/>
        <v>1</v>
      </c>
      <c r="AA300" s="21">
        <f>IF(X300&gt;$B$8+$B$9,0,ABS(X300-O300)/X300)</f>
        <v>3.0113544637173063E-2</v>
      </c>
    </row>
    <row r="301" spans="7:27" x14ac:dyDescent="0.2">
      <c r="G301" s="21"/>
      <c r="H301" s="21">
        <v>186</v>
      </c>
      <c r="I301">
        <f t="shared" si="54"/>
        <v>1.4461889101886461E-2</v>
      </c>
      <c r="J301">
        <f t="shared" si="55"/>
        <v>0.85173573273391034</v>
      </c>
      <c r="K301">
        <f t="shared" si="49"/>
        <v>37.767885574318029</v>
      </c>
      <c r="L301">
        <f>0.5*Z301*K301/J301/$B$7</f>
        <v>22.171128979812949</v>
      </c>
      <c r="M301">
        <f t="shared" si="52"/>
        <v>0.16047897311389134</v>
      </c>
      <c r="N301" s="21">
        <f t="shared" si="56"/>
        <v>3.45877122099153E-2</v>
      </c>
      <c r="O301" s="21">
        <f t="shared" si="57"/>
        <v>8.9595455641777946</v>
      </c>
      <c r="P301">
        <f t="shared" si="53"/>
        <v>0.21976968974377992</v>
      </c>
      <c r="Q301">
        <f t="shared" si="50"/>
        <v>0.85173573273391034</v>
      </c>
      <c r="R301">
        <f t="shared" si="51"/>
        <v>-0.52666571572985277</v>
      </c>
      <c r="T301" s="21">
        <f>(M301-M300)/(H301-H300)</f>
        <v>4.998522313666709E-4</v>
      </c>
      <c r="W301">
        <v>186</v>
      </c>
      <c r="X301">
        <v>8.6965699999999977</v>
      </c>
      <c r="Y301">
        <v>1</v>
      </c>
      <c r="Z301">
        <f t="shared" si="48"/>
        <v>1</v>
      </c>
      <c r="AA301" s="21">
        <f>IF(X301&gt;$B$8+$B$9,0,ABS(X301-O301)/X301)</f>
        <v>3.0238998154191475E-2</v>
      </c>
    </row>
    <row r="302" spans="7:27" x14ac:dyDescent="0.2">
      <c r="G302" s="21"/>
      <c r="H302" s="21">
        <v>187</v>
      </c>
      <c r="I302">
        <f t="shared" si="54"/>
        <v>1.4416941266407858E-2</v>
      </c>
      <c r="J302">
        <f t="shared" si="55"/>
        <v>0.85131082422320836</v>
      </c>
      <c r="K302">
        <f t="shared" si="49"/>
        <v>37.716796097920927</v>
      </c>
      <c r="L302">
        <f>0.5*Z302*K302/J302/$B$7</f>
        <v>22.152188733378434</v>
      </c>
      <c r="M302">
        <f t="shared" si="52"/>
        <v>0.16097797123908411</v>
      </c>
      <c r="N302" s="21">
        <f t="shared" si="56"/>
        <v>3.463613798176967E-2</v>
      </c>
      <c r="O302" s="21">
        <f t="shared" si="57"/>
        <v>8.9739625054442023</v>
      </c>
      <c r="P302">
        <f t="shared" si="53"/>
        <v>0.22039952465470211</v>
      </c>
      <c r="Q302">
        <f t="shared" si="50"/>
        <v>0.85131082422320836</v>
      </c>
      <c r="R302">
        <f t="shared" si="51"/>
        <v>-0.52778140227820058</v>
      </c>
      <c r="T302" s="21">
        <f>(M302-M301)/(H302-H301)</f>
        <v>4.9899812519277331E-4</v>
      </c>
      <c r="W302">
        <v>187</v>
      </c>
      <c r="X302">
        <v>8.693324999999998</v>
      </c>
      <c r="Y302">
        <v>1</v>
      </c>
      <c r="Z302">
        <f t="shared" si="48"/>
        <v>1</v>
      </c>
      <c r="AA302" s="21">
        <f>IF(X302&gt;$B$8+$B$9,0,ABS(X302-O302)/X302)</f>
        <v>3.2281952583643699E-2</v>
      </c>
    </row>
    <row r="303" spans="7:27" x14ac:dyDescent="0.2">
      <c r="G303" s="21"/>
      <c r="H303" s="21">
        <v>188</v>
      </c>
      <c r="I303">
        <f t="shared" si="54"/>
        <v>1.4372421647555868E-2</v>
      </c>
      <c r="J303">
        <f t="shared" si="55"/>
        <v>0.85088684770088663</v>
      </c>
      <c r="K303">
        <f t="shared" si="49"/>
        <v>37.666050536131443</v>
      </c>
      <c r="L303">
        <f>0.5*Z303*K303/J303/$B$7</f>
        <v>22.133407419509343</v>
      </c>
      <c r="M303">
        <f t="shared" si="52"/>
        <v>0.16147612317300158</v>
      </c>
      <c r="N303" s="21">
        <f t="shared" si="56"/>
        <v>3.4684386071796865E-2</v>
      </c>
      <c r="O303" s="21">
        <f t="shared" si="57"/>
        <v>8.9883349270917581</v>
      </c>
      <c r="P303">
        <f t="shared" si="53"/>
        <v>0.22102797809454591</v>
      </c>
      <c r="Q303">
        <f t="shared" si="50"/>
        <v>0.85088684770088663</v>
      </c>
      <c r="R303">
        <f t="shared" si="51"/>
        <v>-0.52889936306633001</v>
      </c>
      <c r="T303" s="21">
        <f>(M303-M302)/(H303-H302)</f>
        <v>4.9815193391747337E-4</v>
      </c>
      <c r="W303">
        <v>188</v>
      </c>
      <c r="X303">
        <v>8.7209079999999979</v>
      </c>
      <c r="Y303">
        <v>1</v>
      </c>
      <c r="Z303">
        <f t="shared" si="48"/>
        <v>1</v>
      </c>
      <c r="AA303" s="21">
        <f>IF(X303&gt;$B$8+$B$9,0,ABS(X303-O303)/X303)</f>
        <v>3.0665032481911318E-2</v>
      </c>
    </row>
    <row r="304" spans="7:27" x14ac:dyDescent="0.2">
      <c r="G304" s="21"/>
      <c r="H304" s="21">
        <v>189</v>
      </c>
      <c r="I304">
        <f t="shared" si="54"/>
        <v>1.4328324050899517E-2</v>
      </c>
      <c r="J304">
        <f t="shared" si="55"/>
        <v>0.85046379534326588</v>
      </c>
      <c r="K304">
        <f t="shared" si="49"/>
        <v>37.615644793814482</v>
      </c>
      <c r="L304">
        <f>0.5*Z304*K304/J304/$B$7</f>
        <v>22.114783133497166</v>
      </c>
      <c r="M304">
        <f t="shared" si="52"/>
        <v>0.16197343672570103</v>
      </c>
      <c r="N304" s="21">
        <f t="shared" si="56"/>
        <v>3.4732458157772921E-2</v>
      </c>
      <c r="O304" s="21">
        <f t="shared" si="57"/>
        <v>9.002663251142657</v>
      </c>
      <c r="P304">
        <f t="shared" si="53"/>
        <v>0.22165506166022281</v>
      </c>
      <c r="Q304">
        <f t="shared" si="50"/>
        <v>0.85046379534326588</v>
      </c>
      <c r="R304">
        <f t="shared" si="51"/>
        <v>-0.53001961768835659</v>
      </c>
      <c r="T304" s="21">
        <f>(M304-M303)/(H304-H303)</f>
        <v>4.97313552699441E-4</v>
      </c>
      <c r="W304">
        <v>189</v>
      </c>
      <c r="X304">
        <v>8.7306430000000006</v>
      </c>
      <c r="Y304">
        <v>1</v>
      </c>
      <c r="Z304">
        <f t="shared" si="48"/>
        <v>1</v>
      </c>
      <c r="AA304" s="21">
        <f>IF(X304&gt;$B$8+$B$9,0,ABS(X304-O304)/X304)</f>
        <v>3.115695500808547E-2</v>
      </c>
    </row>
    <row r="305" spans="7:27" x14ac:dyDescent="0.2">
      <c r="G305" s="21"/>
      <c r="H305" s="21">
        <v>190</v>
      </c>
      <c r="I305">
        <f t="shared" si="54"/>
        <v>1.4284642404182476E-2</v>
      </c>
      <c r="J305">
        <f t="shared" si="55"/>
        <v>0.85004165943026333</v>
      </c>
      <c r="K305">
        <f t="shared" si="49"/>
        <v>37.565574845923813</v>
      </c>
      <c r="L305">
        <f>0.5*Z305*K305/J305/$B$7</f>
        <v>22.096314003658346</v>
      </c>
      <c r="M305">
        <f t="shared" si="52"/>
        <v>0.16246991960435192</v>
      </c>
      <c r="N305" s="21">
        <f t="shared" si="56"/>
        <v>3.4780355893166304E-2</v>
      </c>
      <c r="O305" s="21">
        <f t="shared" si="57"/>
        <v>9.0169478935468401</v>
      </c>
      <c r="P305">
        <f t="shared" si="53"/>
        <v>0.22228078679508464</v>
      </c>
      <c r="Q305">
        <f t="shared" si="50"/>
        <v>0.85004165943026333</v>
      </c>
      <c r="R305">
        <f t="shared" si="51"/>
        <v>-0.53114218574076488</v>
      </c>
      <c r="T305" s="21">
        <f>(M305-M304)/(H305-H304)</f>
        <v>4.9648287865089458E-4</v>
      </c>
      <c r="W305">
        <v>190</v>
      </c>
      <c r="X305">
        <v>8.7614699999999992</v>
      </c>
      <c r="Y305">
        <v>1</v>
      </c>
      <c r="Z305">
        <f t="shared" si="48"/>
        <v>1</v>
      </c>
      <c r="AA305" s="21">
        <f>IF(X305&gt;$B$8+$B$9,0,ABS(X305-O305)/X305)</f>
        <v>2.9159249937149922E-2</v>
      </c>
    </row>
    <row r="306" spans="7:27" x14ac:dyDescent="0.2">
      <c r="G306" s="21"/>
      <c r="H306" s="21">
        <v>191</v>
      </c>
      <c r="I306">
        <f t="shared" si="54"/>
        <v>1.4241370754283474E-2</v>
      </c>
      <c r="J306">
        <f t="shared" si="55"/>
        <v>0.84962043234347973</v>
      </c>
      <c r="K306">
        <f t="shared" si="49"/>
        <v>37.515836735941711</v>
      </c>
      <c r="L306">
        <f>0.5*Z306*K306/J306/$B$7</f>
        <v>22.077998190593785</v>
      </c>
      <c r="M306">
        <f t="shared" si="52"/>
        <v>0.16296557941514159</v>
      </c>
      <c r="N306" s="21">
        <f t="shared" si="56"/>
        <v>3.4828080907616639E-2</v>
      </c>
      <c r="O306" s="21">
        <f t="shared" si="57"/>
        <v>9.0311892643011245</v>
      </c>
      <c r="P306">
        <f t="shared" si="53"/>
        <v>0.22290516479175984</v>
      </c>
      <c r="Q306">
        <f t="shared" si="50"/>
        <v>0.84962043234347973</v>
      </c>
      <c r="R306">
        <f t="shared" si="51"/>
        <v>-0.53226708682462398</v>
      </c>
      <c r="T306" s="21">
        <f>(M306-M305)/(H306-H305)</f>
        <v>4.9565981078966703E-4</v>
      </c>
      <c r="W306">
        <v>191</v>
      </c>
      <c r="X306">
        <v>8.7647149999999989</v>
      </c>
      <c r="Y306">
        <v>1</v>
      </c>
      <c r="Z306">
        <f t="shared" si="48"/>
        <v>1</v>
      </c>
      <c r="AA306" s="21">
        <f>IF(X306&gt;$B$8+$B$9,0,ABS(X306-O306)/X306)</f>
        <v>3.0403072353308188E-2</v>
      </c>
    </row>
    <row r="307" spans="7:27" x14ac:dyDescent="0.2">
      <c r="G307" s="21"/>
      <c r="H307" s="21">
        <v>192</v>
      </c>
      <c r="I307">
        <f t="shared" si="54"/>
        <v>1.4198503264268055E-2</v>
      </c>
      <c r="J307">
        <f t="shared" si="55"/>
        <v>0.84920010656433043</v>
      </c>
      <c r="K307">
        <f t="shared" si="49"/>
        <v>37.4664265743613</v>
      </c>
      <c r="L307">
        <f>0.5*Z307*K307/J307/$B$7</f>
        <v>22.059833886468702</v>
      </c>
      <c r="M307">
        <f t="shared" si="52"/>
        <v>0.16346042366513713</v>
      </c>
      <c r="N307" s="21">
        <f t="shared" si="56"/>
        <v>3.4875634807401509E-2</v>
      </c>
      <c r="O307" s="21">
        <f t="shared" si="57"/>
        <v>9.0453877675653924</v>
      </c>
      <c r="P307">
        <f t="shared" si="53"/>
        <v>0.2235282067949228</v>
      </c>
      <c r="Q307">
        <f t="shared" si="50"/>
        <v>0.84920010656433043</v>
      </c>
      <c r="R307">
        <f t="shared" si="51"/>
        <v>-0.53339434054777279</v>
      </c>
      <c r="T307" s="21">
        <f>(M307-M306)/(H307-H306)</f>
        <v>4.9484424999554633E-4</v>
      </c>
      <c r="W307">
        <v>192</v>
      </c>
      <c r="X307">
        <v>8.7825619999999986</v>
      </c>
      <c r="Y307">
        <v>1</v>
      </c>
      <c r="Z307">
        <f t="shared" si="48"/>
        <v>1</v>
      </c>
      <c r="AA307" s="21">
        <f>IF(X307&gt;$B$8+$B$9,0,ABS(X307-O307)/X307)</f>
        <v>2.9925865318729754E-2</v>
      </c>
    </row>
    <row r="308" spans="7:27" x14ac:dyDescent="0.2">
      <c r="G308" s="21"/>
      <c r="H308" s="21">
        <v>193</v>
      </c>
      <c r="I308">
        <f t="shared" si="54"/>
        <v>1.4156034210528029E-2</v>
      </c>
      <c r="J308">
        <f t="shared" si="55"/>
        <v>0.84878067467222085</v>
      </c>
      <c r="K308">
        <f t="shared" si="49"/>
        <v>37.41734053721008</v>
      </c>
      <c r="L308">
        <f>0.5*Z308*K308/J308/$B$7</f>
        <v>22.041819314312132</v>
      </c>
      <c r="M308">
        <f t="shared" si="52"/>
        <v>0.16395445976410297</v>
      </c>
      <c r="N308" s="21">
        <f t="shared" si="56"/>
        <v>3.4923019175891877E-2</v>
      </c>
      <c r="O308" s="21">
        <f t="shared" si="57"/>
        <v>9.05954380177592</v>
      </c>
      <c r="P308">
        <f t="shared" si="53"/>
        <v>0.22414992380399901</v>
      </c>
      <c r="Q308">
        <f t="shared" si="50"/>
        <v>0.84878067467222085</v>
      </c>
      <c r="R308">
        <f t="shared" si="51"/>
        <v>-0.53452396652697565</v>
      </c>
      <c r="T308" s="21">
        <f>(M308-M307)/(H308-H307)</f>
        <v>4.9403609896583878E-4</v>
      </c>
      <c r="W308">
        <v>193</v>
      </c>
      <c r="X308">
        <v>8.7955420000000011</v>
      </c>
      <c r="Y308">
        <v>1</v>
      </c>
      <c r="Z308">
        <f t="shared" si="48"/>
        <v>1</v>
      </c>
      <c r="AA308" s="21">
        <f>IF(X308&gt;$B$8+$B$9,0,ABS(X308-O308)/X308)</f>
        <v>3.0015410281244621E-2</v>
      </c>
    </row>
    <row r="309" spans="7:27" x14ac:dyDescent="0.2">
      <c r="G309" s="21"/>
      <c r="H309" s="21">
        <v>194</v>
      </c>
      <c r="I309">
        <f t="shared" si="54"/>
        <v>1.4113957980006015E-2</v>
      </c>
      <c r="J309">
        <f t="shared" si="55"/>
        <v>0.84836212934276511</v>
      </c>
      <c r="K309">
        <f t="shared" si="49"/>
        <v>37.368574864613628</v>
      </c>
      <c r="L309">
        <f>0.5*Z309*K309/J309/$B$7</f>
        <v>22.023952727335583</v>
      </c>
      <c r="M309">
        <f t="shared" si="52"/>
        <v>0.16444769502627526</v>
      </c>
      <c r="N309" s="21">
        <f t="shared" si="56"/>
        <v>3.4970235573996165E-2</v>
      </c>
      <c r="O309" s="21">
        <f t="shared" si="57"/>
        <v>9.0736577597559265</v>
      </c>
      <c r="P309">
        <f t="shared" si="53"/>
        <v>0.22477032667580576</v>
      </c>
      <c r="Q309">
        <f t="shared" si="50"/>
        <v>0.84836212934276511</v>
      </c>
      <c r="R309">
        <f t="shared" si="51"/>
        <v>-0.53565598439004702</v>
      </c>
      <c r="T309" s="21">
        <f>(M309-M308)/(H309-H308)</f>
        <v>4.9323526217229241E-4</v>
      </c>
      <c r="W309">
        <v>194</v>
      </c>
      <c r="X309">
        <v>8.8215019999999988</v>
      </c>
      <c r="Y309">
        <v>1</v>
      </c>
      <c r="Z309">
        <f t="shared" si="48"/>
        <v>1</v>
      </c>
      <c r="AA309" s="21">
        <f>IF(X309&gt;$B$8+$B$9,0,ABS(X309-O309)/X309)</f>
        <v>2.858422066400117E-2</v>
      </c>
    </row>
    <row r="310" spans="7:27" x14ac:dyDescent="0.2">
      <c r="G310" s="21"/>
      <c r="H310" s="21">
        <v>195</v>
      </c>
      <c r="I310">
        <f t="shared" si="54"/>
        <v>1.4072269067501877E-2</v>
      </c>
      <c r="J310">
        <f t="shared" si="55"/>
        <v>0.84794446334604456</v>
      </c>
      <c r="K310">
        <f t="shared" si="49"/>
        <v>37.320125859397812</v>
      </c>
      <c r="L310">
        <f>0.5*Z310*K310/J310/$B$7</f>
        <v>22.00623240827008</v>
      </c>
      <c r="M310">
        <f t="shared" si="52"/>
        <v>0.16494013667209684</v>
      </c>
      <c r="N310" s="21">
        <f t="shared" si="56"/>
        <v>3.5017285540593641E-2</v>
      </c>
      <c r="O310" s="21">
        <f t="shared" si="57"/>
        <v>9.0877300288234277</v>
      </c>
      <c r="P310">
        <f t="shared" si="53"/>
        <v>0.2253894261271325</v>
      </c>
      <c r="Q310">
        <f t="shared" si="50"/>
        <v>0.84794446334604456</v>
      </c>
      <c r="R310">
        <f t="shared" si="51"/>
        <v>-0.53679041377795134</v>
      </c>
      <c r="T310" s="21">
        <f>(M310-M309)/(H310-H309)</f>
        <v>4.9244164582157302E-4</v>
      </c>
      <c r="W310">
        <v>195</v>
      </c>
      <c r="X310">
        <v>8.8328589999999991</v>
      </c>
      <c r="Y310">
        <v>1</v>
      </c>
      <c r="Z310">
        <f t="shared" si="48"/>
        <v>1</v>
      </c>
      <c r="AA310" s="21">
        <f>IF(X310&gt;$B$8+$B$9,0,ABS(X310-O310)/X310)</f>
        <v>2.885487347000882E-2</v>
      </c>
    </row>
    <row r="311" spans="7:27" x14ac:dyDescent="0.2">
      <c r="G311" s="21"/>
      <c r="H311" s="21">
        <v>196</v>
      </c>
      <c r="I311">
        <f t="shared" si="54"/>
        <v>1.4030962073058142E-2</v>
      </c>
      <c r="J311">
        <f t="shared" si="55"/>
        <v>0.84752766954490832</v>
      </c>
      <c r="K311">
        <f t="shared" si="49"/>
        <v>37.271989885728608</v>
      </c>
      <c r="L311">
        <f>0.5*Z311*K311/J311/$B$7</f>
        <v>21.988656668721102</v>
      </c>
      <c r="M311">
        <f t="shared" si="52"/>
        <v>0.16543179182990983</v>
      </c>
      <c r="N311" s="21">
        <f t="shared" si="56"/>
        <v>3.5064170592957085E-2</v>
      </c>
      <c r="O311" s="21">
        <f t="shared" si="57"/>
        <v>9.1017609908964854</v>
      </c>
      <c r="P311">
        <f t="shared" si="53"/>
        <v>0.22600723273726098</v>
      </c>
      <c r="Q311">
        <f t="shared" si="50"/>
        <v>0.84752766954490832</v>
      </c>
      <c r="R311">
        <f t="shared" si="51"/>
        <v>-0.53792727434687337</v>
      </c>
      <c r="T311" s="21">
        <f>(M311-M310)/(H311-H310)</f>
        <v>4.916551578129924E-4</v>
      </c>
      <c r="W311">
        <v>196</v>
      </c>
      <c r="X311">
        <v>8.8425939999999983</v>
      </c>
      <c r="Y311">
        <v>1</v>
      </c>
      <c r="Z311">
        <f t="shared" si="48"/>
        <v>1</v>
      </c>
      <c r="AA311" s="21">
        <f>IF(X311&gt;$B$8+$B$9,0,ABS(X311-O311)/X311)</f>
        <v>2.9308932525510856E-2</v>
      </c>
    </row>
    <row r="312" spans="7:27" x14ac:dyDescent="0.2">
      <c r="G312" s="21"/>
      <c r="H312" s="21">
        <v>197</v>
      </c>
      <c r="I312">
        <f t="shared" si="54"/>
        <v>1.3990031699422005E-2</v>
      </c>
      <c r="J312">
        <f t="shared" si="55"/>
        <v>0.84711174089331154</v>
      </c>
      <c r="K312">
        <f t="shared" si="49"/>
        <v>37.224163367788094</v>
      </c>
      <c r="L312">
        <f>0.5*Z312*K312/J312/$B$7</f>
        <v>21.971223848540806</v>
      </c>
      <c r="M312">
        <f t="shared" si="52"/>
        <v>0.16592266753761103</v>
      </c>
      <c r="N312" s="21">
        <f t="shared" si="56"/>
        <v>3.5110892227165388E-2</v>
      </c>
      <c r="O312" s="21">
        <f t="shared" si="57"/>
        <v>9.1157510225959069</v>
      </c>
      <c r="P312">
        <f t="shared" si="53"/>
        <v>0.22662375695042772</v>
      </c>
      <c r="Q312">
        <f t="shared" si="50"/>
        <v>0.84711174089331154</v>
      </c>
      <c r="R312">
        <f t="shared" si="51"/>
        <v>-0.53906658577026456</v>
      </c>
      <c r="T312" s="21">
        <f>(M312-M311)/(H312-H311)</f>
        <v>4.9087570770120492E-4</v>
      </c>
      <c r="W312">
        <v>197</v>
      </c>
      <c r="X312">
        <v>8.8653089999999999</v>
      </c>
      <c r="Y312">
        <v>1</v>
      </c>
      <c r="Z312">
        <f t="shared" si="48"/>
        <v>1</v>
      </c>
      <c r="AA312" s="21">
        <f>IF(X312&gt;$B$8+$B$9,0,ABS(X312-O312)/X312)</f>
        <v>2.8249666491704573E-2</v>
      </c>
    </row>
    <row r="313" spans="7:27" x14ac:dyDescent="0.2">
      <c r="G313" s="21"/>
      <c r="H313" s="21">
        <v>198</v>
      </c>
      <c r="I313">
        <f t="shared" si="54"/>
        <v>1.3949472749581084E-2</v>
      </c>
      <c r="J313">
        <f t="shared" si="55"/>
        <v>0.84669667043469254</v>
      </c>
      <c r="K313">
        <f t="shared" si="49"/>
        <v>37.176642788485609</v>
      </c>
      <c r="L313">
        <f>0.5*Z313*K313/J313/$B$7</f>
        <v>21.953932315216964</v>
      </c>
      <c r="M313">
        <f t="shared" si="52"/>
        <v>0.16641277074426819</v>
      </c>
      <c r="N313" s="21">
        <f t="shared" si="56"/>
        <v>3.5157451918506201E-2</v>
      </c>
      <c r="O313" s="21">
        <f t="shared" si="57"/>
        <v>9.1297004953454888</v>
      </c>
      <c r="P313">
        <f t="shared" si="53"/>
        <v>0.22723900907823008</v>
      </c>
      <c r="Q313">
        <f t="shared" si="50"/>
        <v>0.84669667043469254</v>
      </c>
      <c r="R313">
        <f t="shared" si="51"/>
        <v>-0.54020836774086445</v>
      </c>
      <c r="T313" s="21">
        <f>(M313-M312)/(H313-H312)</f>
        <v>4.9010320665715534E-4</v>
      </c>
      <c r="W313">
        <v>198</v>
      </c>
      <c r="X313">
        <v>8.8847789999999982</v>
      </c>
      <c r="Y313">
        <v>1</v>
      </c>
      <c r="Z313">
        <f t="shared" si="48"/>
        <v>1</v>
      </c>
      <c r="AA313" s="21">
        <f>IF(X313&gt;$B$8+$B$9,0,ABS(X313-O313)/X313)</f>
        <v>2.7566413902415651E-2</v>
      </c>
    </row>
    <row r="314" spans="7:27" x14ac:dyDescent="0.2">
      <c r="G314" s="21"/>
      <c r="H314" s="21">
        <v>199</v>
      </c>
      <c r="I314">
        <f t="shared" si="54"/>
        <v>1.390928012437025E-2</v>
      </c>
      <c r="J314">
        <f t="shared" si="55"/>
        <v>0.84628245130038626</v>
      </c>
      <c r="K314">
        <f t="shared" si="49"/>
        <v>37.129424688202953</v>
      </c>
      <c r="L314">
        <f>0.5*Z314*K314/J314/$B$7</f>
        <v>21.936780463278176</v>
      </c>
      <c r="M314">
        <f t="shared" si="52"/>
        <v>0.16690210831170046</v>
      </c>
      <c r="N314" s="21">
        <f t="shared" si="56"/>
        <v>3.5203851121868836E-2</v>
      </c>
      <c r="O314" s="21">
        <f t="shared" si="57"/>
        <v>9.1436097754698586</v>
      </c>
      <c r="P314">
        <f t="shared" si="53"/>
        <v>0.2278529993019773</v>
      </c>
      <c r="Q314">
        <f t="shared" si="50"/>
        <v>0.84628245130038626</v>
      </c>
      <c r="R314">
        <f t="shared" si="51"/>
        <v>-0.541352639972697</v>
      </c>
      <c r="T314" s="21">
        <f>(M314-M313)/(H314-H313)</f>
        <v>4.8933756743227419E-4</v>
      </c>
      <c r="W314">
        <v>199</v>
      </c>
      <c r="X314">
        <v>8.8847789999999982</v>
      </c>
      <c r="Y314">
        <v>1</v>
      </c>
      <c r="Z314">
        <f t="shared" si="48"/>
        <v>1</v>
      </c>
      <c r="AA314" s="21">
        <f>IF(X314&gt;$B$8+$B$9,0,ABS(X314-O314)/X314)</f>
        <v>2.9131931753154525E-2</v>
      </c>
    </row>
    <row r="315" spans="7:27" x14ac:dyDescent="0.2">
      <c r="G315" s="21"/>
      <c r="H315" s="21">
        <v>200</v>
      </c>
      <c r="I315">
        <f t="shared" si="54"/>
        <v>1.3869448820147694E-2</v>
      </c>
      <c r="J315">
        <f t="shared" si="55"/>
        <v>0.84586907670807421</v>
      </c>
      <c r="K315">
        <f t="shared" si="49"/>
        <v>37.082505663572483</v>
      </c>
      <c r="L315">
        <f>0.5*Z315*K315/J315/$B$7</f>
        <v>21.919766713714711</v>
      </c>
      <c r="M315">
        <f t="shared" si="52"/>
        <v>0.16739068701602203</v>
      </c>
      <c r="N315" s="21">
        <f t="shared" si="56"/>
        <v>3.5250091272127963E-2</v>
      </c>
      <c r="O315" s="21">
        <f t="shared" si="57"/>
        <v>9.1574792242900056</v>
      </c>
      <c r="P315">
        <f t="shared" si="53"/>
        <v>0.22846573767498884</v>
      </c>
      <c r="Q315">
        <f t="shared" si="50"/>
        <v>0.84586907670807421</v>
      </c>
      <c r="R315">
        <f t="shared" si="51"/>
        <v>-0.5424994222030457</v>
      </c>
      <c r="T315" s="21">
        <f>(M315-M314)/(H315-H314)</f>
        <v>4.8857870432156281E-4</v>
      </c>
      <c r="W315">
        <v>200</v>
      </c>
      <c r="X315">
        <v>8.9042490000000001</v>
      </c>
      <c r="Y315">
        <v>1</v>
      </c>
      <c r="Z315">
        <f t="shared" si="48"/>
        <v>1</v>
      </c>
      <c r="AA315" s="21">
        <f>IF(X315&gt;$B$8+$B$9,0,ABS(X315-O315)/X315)</f>
        <v>2.8439256841313123E-2</v>
      </c>
    </row>
    <row r="316" spans="7:27" x14ac:dyDescent="0.2">
      <c r="G316" s="21"/>
      <c r="H316" s="21">
        <v>201</v>
      </c>
      <c r="I316">
        <f t="shared" si="54"/>
        <v>1.3829973926537172E-2</v>
      </c>
      <c r="J316">
        <f t="shared" si="55"/>
        <v>0.84545653996026915</v>
      </c>
      <c r="K316">
        <f t="shared" si="49"/>
        <v>37.03588236628724</v>
      </c>
      <c r="L316">
        <f>0.5*Z316*K316/J316/$B$7</f>
        <v>21.902889513414657</v>
      </c>
      <c r="M316">
        <f t="shared" si="52"/>
        <v>0.16787851354915148</v>
      </c>
      <c r="N316" s="21">
        <f t="shared" si="56"/>
        <v>3.5296173784518055E-2</v>
      </c>
      <c r="O316" s="21">
        <f t="shared" si="57"/>
        <v>9.1713091982165427</v>
      </c>
      <c r="P316">
        <f t="shared" si="53"/>
        <v>0.22907723412484018</v>
      </c>
      <c r="Q316">
        <f t="shared" si="50"/>
        <v>0.84545653996026915</v>
      </c>
      <c r="R316">
        <f t="shared" si="51"/>
        <v>-0.54364873419440551</v>
      </c>
      <c r="T316" s="21">
        <f>(M316-M315)/(H316-H315)</f>
        <v>4.8782653312945401E-4</v>
      </c>
      <c r="W316">
        <v>201</v>
      </c>
      <c r="X316">
        <v>8.8977590000000006</v>
      </c>
      <c r="Y316">
        <v>1</v>
      </c>
      <c r="Z316">
        <f t="shared" si="48"/>
        <v>1</v>
      </c>
      <c r="AA316" s="21">
        <f>IF(X316&gt;$B$8+$B$9,0,ABS(X316-O316)/X316)</f>
        <v>3.0743718526939426E-2</v>
      </c>
    </row>
    <row r="317" spans="7:27" x14ac:dyDescent="0.2">
      <c r="G317" s="21"/>
      <c r="H317" s="21">
        <v>202</v>
      </c>
      <c r="I317">
        <f t="shared" si="54"/>
        <v>1.3790850624234897E-2</v>
      </c>
      <c r="J317">
        <f t="shared" si="55"/>
        <v>0.84504483444283351</v>
      </c>
      <c r="K317">
        <f t="shared" si="49"/>
        <v>36.989551501941911</v>
      </c>
      <c r="L317">
        <f>0.5*Z317*K317/J317/$B$7</f>
        <v>21.886147334614716</v>
      </c>
      <c r="M317">
        <f t="shared" si="52"/>
        <v>0.16836559452028727</v>
      </c>
      <c r="N317" s="21">
        <f t="shared" si="56"/>
        <v>3.5342100054999145E-2</v>
      </c>
      <c r="O317" s="21">
        <f t="shared" si="57"/>
        <v>9.185100048840777</v>
      </c>
      <c r="P317">
        <f t="shared" si="53"/>
        <v>0.22968749845555894</v>
      </c>
      <c r="Q317">
        <f t="shared" si="50"/>
        <v>0.84504483444283351</v>
      </c>
      <c r="R317">
        <f t="shared" si="51"/>
        <v>-0.54480059573641471</v>
      </c>
      <c r="T317" s="21">
        <f>(M317-M316)/(H317-H316)</f>
        <v>4.8708097113578375E-4</v>
      </c>
      <c r="W317">
        <v>202</v>
      </c>
      <c r="X317">
        <v>8.9383209999999984</v>
      </c>
      <c r="Y317">
        <v>1</v>
      </c>
      <c r="Z317">
        <f t="shared" si="48"/>
        <v>1</v>
      </c>
      <c r="AA317" s="21">
        <f>IF(X317&gt;$B$8+$B$9,0,ABS(X317-O317)/X317)</f>
        <v>2.7609105652032263E-2</v>
      </c>
    </row>
    <row r="318" spans="7:27" x14ac:dyDescent="0.2">
      <c r="G318" s="21"/>
      <c r="H318" s="21">
        <v>203</v>
      </c>
      <c r="I318">
        <f t="shared" si="54"/>
        <v>1.3752074182878401E-2</v>
      </c>
      <c r="J318">
        <f t="shared" si="55"/>
        <v>0.84463395362353089</v>
      </c>
      <c r="K318">
        <f t="shared" si="49"/>
        <v>36.943509828903842</v>
      </c>
      <c r="L318">
        <f>0.5*Z318*K318/J318/$B$7</f>
        <v>21.869538674365355</v>
      </c>
      <c r="M318">
        <f t="shared" si="52"/>
        <v>0.16885193645735044</v>
      </c>
      <c r="N318" s="21">
        <f t="shared" si="56"/>
        <v>3.538787146061393E-2</v>
      </c>
      <c r="O318" s="21">
        <f t="shared" si="57"/>
        <v>9.1988521230236557</v>
      </c>
      <c r="P318">
        <f t="shared" si="53"/>
        <v>0.23029654034977168</v>
      </c>
      <c r="Q318">
        <f t="shared" si="50"/>
        <v>0.84463395362353089</v>
      </c>
      <c r="R318">
        <f t="shared" si="51"/>
        <v>-0.54595502664776507</v>
      </c>
      <c r="T318" s="21">
        <f>(M318-M317)/(H318-H317)</f>
        <v>4.863419370631783E-4</v>
      </c>
      <c r="W318">
        <v>203</v>
      </c>
      <c r="X318">
        <v>8.9431879999999992</v>
      </c>
      <c r="Y318">
        <v>1</v>
      </c>
      <c r="Z318">
        <f t="shared" ref="Z318:Z381" si="58">Y318</f>
        <v>1</v>
      </c>
      <c r="AA318" s="21">
        <f>IF(X318&gt;$B$8+$B$9,0,ABS(X318-O318)/X318)</f>
        <v>2.8587582305510797E-2</v>
      </c>
    </row>
    <row r="319" spans="7:27" x14ac:dyDescent="0.2">
      <c r="G319" s="21"/>
      <c r="H319" s="21">
        <v>204</v>
      </c>
      <c r="I319">
        <f t="shared" si="54"/>
        <v>1.3713639958975579E-2</v>
      </c>
      <c r="J319">
        <f t="shared" si="55"/>
        <v>0.84422389105061046</v>
      </c>
      <c r="K319">
        <f t="shared" si="49"/>
        <v>36.897754157213157</v>
      </c>
      <c r="L319">
        <f>0.5*Z319*K319/J319/$B$7</f>
        <v>21.853062054009776</v>
      </c>
      <c r="M319">
        <f t="shared" si="52"/>
        <v>0.16933754580839425</v>
      </c>
      <c r="N319" s="21">
        <f t="shared" si="56"/>
        <v>3.5433489359836499E-2</v>
      </c>
      <c r="O319" s="21">
        <f t="shared" si="57"/>
        <v>9.2125657629826314</v>
      </c>
      <c r="P319">
        <f t="shared" si="53"/>
        <v>0.23090436937080283</v>
      </c>
      <c r="Q319">
        <f t="shared" si="50"/>
        <v>0.84422389105061046</v>
      </c>
      <c r="R319">
        <f t="shared" si="51"/>
        <v>-0.54711204677809422</v>
      </c>
      <c r="T319" s="21">
        <f>(M319-M318)/(H319-H318)</f>
        <v>4.8560935104380309E-4</v>
      </c>
      <c r="W319">
        <v>204</v>
      </c>
      <c r="X319">
        <v>8.9626580000000011</v>
      </c>
      <c r="Y319">
        <v>1</v>
      </c>
      <c r="Z319">
        <f t="shared" si="58"/>
        <v>1</v>
      </c>
      <c r="AA319" s="21">
        <f>IF(X319&gt;$B$8+$B$9,0,ABS(X319-O319)/X319)</f>
        <v>2.7883219797367059E-2</v>
      </c>
    </row>
    <row r="320" spans="7:27" x14ac:dyDescent="0.2">
      <c r="G320" s="21"/>
      <c r="H320" s="21">
        <v>205</v>
      </c>
      <c r="I320">
        <f t="shared" si="54"/>
        <v>1.3675543393891928E-2</v>
      </c>
      <c r="J320">
        <f t="shared" si="55"/>
        <v>0.84381464035142173</v>
      </c>
      <c r="K320">
        <f t="shared" si="49"/>
        <v>36.852281347510946</v>
      </c>
      <c r="L320">
        <f>0.5*Z320*K320/J320/$B$7</f>
        <v>21.836716018676302</v>
      </c>
      <c r="M320">
        <f t="shared" si="52"/>
        <v>0.16982242894298374</v>
      </c>
      <c r="N320" s="21">
        <f t="shared" si="56"/>
        <v>3.5478955092913066E-2</v>
      </c>
      <c r="O320" s="21">
        <f t="shared" si="57"/>
        <v>9.2262413063765241</v>
      </c>
      <c r="P320">
        <f t="shared" si="53"/>
        <v>0.23151099496472785</v>
      </c>
      <c r="Q320">
        <f t="shared" si="50"/>
        <v>0.84381464035142173</v>
      </c>
      <c r="R320">
        <f t="shared" si="51"/>
        <v>-0.54827167600985782</v>
      </c>
      <c r="T320" s="21">
        <f>(M320-M319)/(H320-H319)</f>
        <v>4.8488313458949772E-4</v>
      </c>
      <c r="W320">
        <v>205</v>
      </c>
      <c r="X320">
        <v>8.9853729999999992</v>
      </c>
      <c r="Y320">
        <v>1</v>
      </c>
      <c r="Z320">
        <f t="shared" si="58"/>
        <v>1</v>
      </c>
      <c r="AA320" s="21">
        <f>IF(X320&gt;$B$8+$B$9,0,ABS(X320-O320)/X320)</f>
        <v>2.6806712017021988E-2</v>
      </c>
    </row>
    <row r="321" spans="7:27" x14ac:dyDescent="0.2">
      <c r="G321" s="21"/>
      <c r="H321" s="21">
        <v>206</v>
      </c>
      <c r="I321">
        <f t="shared" si="54"/>
        <v>1.3637780011893981E-2</v>
      </c>
      <c r="J321">
        <f t="shared" si="55"/>
        <v>0.84340619523105997</v>
      </c>
      <c r="K321">
        <f t="shared" si="49"/>
        <v>36.807088309994931</v>
      </c>
      <c r="L321">
        <f>0.5*Z321*K321/J321/$B$7</f>
        <v>21.820499136783816</v>
      </c>
      <c r="M321">
        <f t="shared" si="52"/>
        <v>0.17030659215354474</v>
      </c>
      <c r="N321" s="21">
        <f t="shared" si="56"/>
        <v>3.5524269982194691E-2</v>
      </c>
      <c r="O321" s="21">
        <f t="shared" si="57"/>
        <v>9.2398790863884184</v>
      </c>
      <c r="P321">
        <f t="shared" si="53"/>
        <v>0.23211642646238034</v>
      </c>
      <c r="Q321">
        <f t="shared" si="50"/>
        <v>0.84340619523105997</v>
      </c>
      <c r="R321">
        <f t="shared" si="51"/>
        <v>-0.54943393426018539</v>
      </c>
      <c r="T321" s="21">
        <f>(M321-M320)/(H321-H320)</f>
        <v>4.8416321056099498E-4</v>
      </c>
      <c r="W321">
        <v>206</v>
      </c>
      <c r="X321">
        <v>8.9967299999999994</v>
      </c>
      <c r="Y321">
        <v>1</v>
      </c>
      <c r="Z321">
        <f t="shared" si="58"/>
        <v>1</v>
      </c>
      <c r="AA321" s="21">
        <f>IF(X321&gt;$B$8+$B$9,0,ABS(X321-O321)/X321)</f>
        <v>2.7026384740724569E-2</v>
      </c>
    </row>
    <row r="322" spans="7:27" x14ac:dyDescent="0.2">
      <c r="G322" s="21"/>
      <c r="H322" s="21">
        <v>207</v>
      </c>
      <c r="I322">
        <f t="shared" si="54"/>
        <v>1.3600345418247126E-2</v>
      </c>
      <c r="J322">
        <f t="shared" si="55"/>
        <v>0.8429985494710418</v>
      </c>
      <c r="K322">
        <f t="shared" si="49"/>
        <v>36.762172003401488</v>
      </c>
      <c r="L322">
        <f>0.5*Z322*K322/J322/$B$7</f>
        <v>21.804409999559745</v>
      </c>
      <c r="M322">
        <f t="shared" si="52"/>
        <v>0.17079004165668271</v>
      </c>
      <c r="N322" s="21">
        <f t="shared" si="56"/>
        <v>3.5569435332462471E-2</v>
      </c>
      <c r="O322" s="21">
        <f t="shared" si="57"/>
        <v>9.2534794318066655</v>
      </c>
      <c r="P322">
        <f t="shared" si="53"/>
        <v>0.2327206730813163</v>
      </c>
      <c r="Q322">
        <f t="shared" si="50"/>
        <v>0.8429985494710418</v>
      </c>
      <c r="R322">
        <f t="shared" si="51"/>
        <v>-0.55059884148271743</v>
      </c>
      <c r="T322" s="21">
        <f>(M322-M321)/(H322-H321)</f>
        <v>4.8344950313797264E-4</v>
      </c>
      <c r="W322">
        <v>207</v>
      </c>
      <c r="X322">
        <v>9.0032199999999989</v>
      </c>
      <c r="Y322">
        <v>1</v>
      </c>
      <c r="Z322">
        <f t="shared" si="58"/>
        <v>1</v>
      </c>
      <c r="AA322" s="21">
        <f>IF(X322&gt;$B$8+$B$9,0,ABS(X322-O322)/X322)</f>
        <v>2.7796658507363663E-2</v>
      </c>
    </row>
    <row r="323" spans="7:27" x14ac:dyDescent="0.2">
      <c r="G323" s="21"/>
      <c r="H323" s="21">
        <v>208</v>
      </c>
      <c r="I323">
        <f t="shared" si="54"/>
        <v>1.3563235297366038E-2</v>
      </c>
      <c r="J323">
        <f t="shared" si="55"/>
        <v>0.84259169692800906</v>
      </c>
      <c r="K323">
        <f t="shared" ref="K323:K386" si="59">IF(O323&lt;$B$8+$B$9,0.5*(($B$8+$B$9)^2+O323^2)/O323-$B$9,$B$8)</f>
        <v>36.717529434013493</v>
      </c>
      <c r="L323">
        <f>0.5*Z323*K323/J323/$B$7</f>
        <v>21.788447220570365</v>
      </c>
      <c r="M323">
        <f t="shared" si="52"/>
        <v>0.17127278359447332</v>
      </c>
      <c r="N323" s="21">
        <f t="shared" si="56"/>
        <v>3.5614452431245218E-2</v>
      </c>
      <c r="O323" s="21">
        <f t="shared" si="57"/>
        <v>9.2670426671040325</v>
      </c>
      <c r="P323">
        <f t="shared" si="53"/>
        <v>0.23332374392773478</v>
      </c>
      <c r="Q323">
        <f t="shared" ref="Q323:Q386" si="60">1-B$15*P323</f>
        <v>0.84259169692800906</v>
      </c>
      <c r="R323">
        <f t="shared" ref="R323:R386" si="61">$E$15/(P323+$E$16)</f>
        <v>-0.55176641766942802</v>
      </c>
      <c r="T323" s="21">
        <f>(M323-M322)/(H323-H322)</f>
        <v>4.8274193779060393E-4</v>
      </c>
      <c r="W323">
        <v>208</v>
      </c>
      <c r="X323">
        <v>9.0178229999999999</v>
      </c>
      <c r="Y323">
        <v>1</v>
      </c>
      <c r="Z323">
        <f t="shared" si="58"/>
        <v>1</v>
      </c>
      <c r="AA323" s="21">
        <f>IF(X323&gt;$B$8+$B$9,0,ABS(X323-O323)/X323)</f>
        <v>2.7636344947559132E-2</v>
      </c>
    </row>
    <row r="324" spans="7:27" x14ac:dyDescent="0.2">
      <c r="G324" s="21"/>
      <c r="H324" s="21">
        <v>209</v>
      </c>
      <c r="I324">
        <f t="shared" si="54"/>
        <v>1.3526445411016139E-2</v>
      </c>
      <c r="J324">
        <f t="shared" si="55"/>
        <v>0.84218563153246095</v>
      </c>
      <c r="K324">
        <f t="shared" si="59"/>
        <v>36.673157654693043</v>
      </c>
      <c r="L324">
        <f>0.5*Z324*K324/J324/$B$7</f>
        <v>21.772609435262922</v>
      </c>
      <c r="M324">
        <f t="shared" ref="M324:M387" si="62">-LN(J324)</f>
        <v>0.17175482403572503</v>
      </c>
      <c r="N324" s="21">
        <f t="shared" si="56"/>
        <v>3.5659322549129867E-2</v>
      </c>
      <c r="O324" s="21">
        <f t="shared" si="57"/>
        <v>9.2805691125150478</v>
      </c>
      <c r="P324">
        <f t="shared" ref="P324:P387" si="63">MIN(O324/(K324+$B$9),1)</f>
        <v>0.23392564799835702</v>
      </c>
      <c r="Q324">
        <f t="shared" si="60"/>
        <v>0.84218563153246095</v>
      </c>
      <c r="R324">
        <f t="shared" si="61"/>
        <v>-0.55293668285242936</v>
      </c>
      <c r="T324" s="21">
        <f>(M324-M323)/(H324-H323)</f>
        <v>4.8204044125171874E-4</v>
      </c>
      <c r="W324">
        <v>209</v>
      </c>
      <c r="X324">
        <v>9.0324249999999999</v>
      </c>
      <c r="Y324">
        <v>1</v>
      </c>
      <c r="Z324">
        <f t="shared" si="58"/>
        <v>1</v>
      </c>
      <c r="AA324" s="21">
        <f>IF(X324&gt;$B$8+$B$9,0,ABS(X324-O324)/X324)</f>
        <v>2.7472590418968091E-2</v>
      </c>
    </row>
    <row r="325" spans="7:27" x14ac:dyDescent="0.2">
      <c r="G325" s="21"/>
      <c r="H325" s="21">
        <v>210</v>
      </c>
      <c r="I325">
        <f t="shared" ref="I325:I388" si="64">IF(P324&lt;0.999,MAX(0,MIN(10000000,(L324/$E$8/M324^$E$10)^(1/$E$9)/N324)),0.1)</f>
        <v>1.3489971596564192E-2</v>
      </c>
      <c r="J325">
        <f t="shared" ref="J325:J388" si="65">Q325</f>
        <v>0.84178034728751361</v>
      </c>
      <c r="K325">
        <f t="shared" si="59"/>
        <v>36.629053763938359</v>
      </c>
      <c r="L325">
        <f>0.5*Z325*K325/J325/$B$7</f>
        <v>21.756895300519265</v>
      </c>
      <c r="M325">
        <f t="shared" si="62"/>
        <v>0.17223616897721425</v>
      </c>
      <c r="N325" s="21">
        <f t="shared" ref="N325:N388" si="66">-$B$15*(O325-2*(K325+$B$9))/(K325+$B$9)^2/J325</f>
        <v>3.5704046940064932E-2</v>
      </c>
      <c r="O325" s="21">
        <f t="shared" ref="O325:O388" si="67">O324+I325*(H325-H324)</f>
        <v>9.2940590841116126</v>
      </c>
      <c r="P325">
        <f t="shared" si="63"/>
        <v>0.23452639418226581</v>
      </c>
      <c r="Q325">
        <f t="shared" si="60"/>
        <v>0.84178034728751361</v>
      </c>
      <c r="R325">
        <f t="shared" si="61"/>
        <v>-0.55410965710576432</v>
      </c>
      <c r="T325" s="21">
        <f>(M325-M324)/(H325-H324)</f>
        <v>4.8134494148921458E-4</v>
      </c>
      <c r="W325">
        <v>210</v>
      </c>
      <c r="X325">
        <v>9.0567619999999991</v>
      </c>
      <c r="Y325">
        <v>1</v>
      </c>
      <c r="Z325">
        <f t="shared" si="58"/>
        <v>1</v>
      </c>
      <c r="AA325" s="21">
        <f>IF(X325&gt;$B$8+$B$9,0,ABS(X325-O325)/X325)</f>
        <v>2.6201095282355168E-2</v>
      </c>
    </row>
    <row r="326" spans="7:27" x14ac:dyDescent="0.2">
      <c r="G326" s="21"/>
      <c r="H326" s="21">
        <v>211</v>
      </c>
      <c r="I326">
        <f t="shared" si="64"/>
        <v>1.345380976527669E-2</v>
      </c>
      <c r="J326">
        <f t="shared" si="65"/>
        <v>0.84137583826768592</v>
      </c>
      <c r="K326">
        <f t="shared" si="59"/>
        <v>36.585214904964239</v>
      </c>
      <c r="L326">
        <f>0.5*Z326*K326/J326/$B$7</f>
        <v>21.741303494220713</v>
      </c>
      <c r="M326">
        <f t="shared" si="62"/>
        <v>0.1727168243448943</v>
      </c>
      <c r="N326" s="21">
        <f t="shared" si="66"/>
        <v>3.5748626841657048E-2</v>
      </c>
      <c r="O326" s="21">
        <f t="shared" si="67"/>
        <v>9.3075128938768898</v>
      </c>
      <c r="P326">
        <f t="shared" si="63"/>
        <v>0.2351259912627042</v>
      </c>
      <c r="Q326">
        <f t="shared" si="60"/>
        <v>0.84137583826768592</v>
      </c>
      <c r="R326">
        <f t="shared" si="61"/>
        <v>-0.55528536054718181</v>
      </c>
      <c r="T326" s="21">
        <f>(M326-M325)/(H326-H325)</f>
        <v>4.8065536768004957E-4</v>
      </c>
      <c r="W326">
        <v>211</v>
      </c>
      <c r="X326">
        <v>9.0713650000000001</v>
      </c>
      <c r="Y326">
        <v>1</v>
      </c>
      <c r="Z326">
        <f t="shared" si="58"/>
        <v>1</v>
      </c>
      <c r="AA326" s="21">
        <f>IF(X326&gt;$B$8+$B$9,0,ABS(X326-O326)/X326)</f>
        <v>2.6032233724129689E-2</v>
      </c>
    </row>
    <row r="327" spans="7:27" x14ac:dyDescent="0.2">
      <c r="G327" s="21"/>
      <c r="H327" s="21">
        <v>212</v>
      </c>
      <c r="I327">
        <f t="shared" si="64"/>
        <v>1.3417955900664526E-2</v>
      </c>
      <c r="J327">
        <f t="shared" si="65"/>
        <v>0.84097209861771227</v>
      </c>
      <c r="K327">
        <f t="shared" si="59"/>
        <v>36.541638264805208</v>
      </c>
      <c r="L327">
        <f>0.5*Z327*K327/J327/$B$7</f>
        <v>21.72583271482366</v>
      </c>
      <c r="M327">
        <f t="shared" si="62"/>
        <v>0.17319679599507742</v>
      </c>
      <c r="N327" s="21">
        <f t="shared" si="66"/>
        <v>3.5793063475460837E-2</v>
      </c>
      <c r="O327" s="21">
        <f t="shared" si="67"/>
        <v>9.3209308497775538</v>
      </c>
      <c r="P327">
        <f t="shared" si="63"/>
        <v>0.23572444791883665</v>
      </c>
      <c r="Q327">
        <f t="shared" si="60"/>
        <v>0.84097209861771227</v>
      </c>
      <c r="R327">
        <f t="shared" si="61"/>
        <v>-0.5564638133399008</v>
      </c>
      <c r="T327" s="21">
        <f>(M327-M326)/(H327-H326)</f>
        <v>4.7997165018312526E-4</v>
      </c>
      <c r="W327">
        <v>212</v>
      </c>
      <c r="X327">
        <v>9.076232000000001</v>
      </c>
      <c r="Y327">
        <v>1</v>
      </c>
      <c r="Z327">
        <f t="shared" si="58"/>
        <v>1</v>
      </c>
      <c r="AA327" s="21">
        <f>IF(X327&gt;$B$8+$B$9,0,ABS(X327-O327)/X327)</f>
        <v>2.696040050293479E-2</v>
      </c>
    </row>
    <row r="328" spans="7:27" x14ac:dyDescent="0.2">
      <c r="G328" s="21"/>
      <c r="H328" s="21">
        <v>213</v>
      </c>
      <c r="I328">
        <f t="shared" si="64"/>
        <v>1.3382406056872123E-2</v>
      </c>
      <c r="J328">
        <f t="shared" si="65"/>
        <v>0.84056912255137883</v>
      </c>
      <c r="K328">
        <f t="shared" si="59"/>
        <v>36.498321073440849</v>
      </c>
      <c r="L328">
        <f>0.5*Z328*K328/J328/$B$7</f>
        <v>21.710481680945836</v>
      </c>
      <c r="M328">
        <f t="shared" si="62"/>
        <v>0.17367608971559373</v>
      </c>
      <c r="N328" s="21">
        <f t="shared" si="66"/>
        <v>3.5837358047262374E-2</v>
      </c>
      <c r="O328" s="21">
        <f t="shared" si="67"/>
        <v>9.3343132558344255</v>
      </c>
      <c r="P328">
        <f t="shared" si="63"/>
        <v>0.23632177272747248</v>
      </c>
      <c r="Q328">
        <f t="shared" si="60"/>
        <v>0.84056912255137883</v>
      </c>
      <c r="R328">
        <f t="shared" si="61"/>
        <v>-0.55764503569435964</v>
      </c>
      <c r="T328" s="21">
        <f>(M328-M327)/(H328-H327)</f>
        <v>4.7929372051630503E-4</v>
      </c>
      <c r="W328">
        <v>213</v>
      </c>
      <c r="X328">
        <v>9.0924569999999996</v>
      </c>
      <c r="Y328">
        <v>1</v>
      </c>
      <c r="Z328">
        <f t="shared" si="58"/>
        <v>1</v>
      </c>
      <c r="AA328" s="21">
        <f>IF(X328&gt;$B$8+$B$9,0,ABS(X328-O328)/X328)</f>
        <v>2.6599659017845886E-2</v>
      </c>
    </row>
    <row r="329" spans="7:27" x14ac:dyDescent="0.2">
      <c r="G329" s="21"/>
      <c r="H329" s="21">
        <v>214</v>
      </c>
      <c r="I329">
        <f t="shared" si="64"/>
        <v>1.3347156357110163E-2</v>
      </c>
      <c r="J329">
        <f t="shared" si="65"/>
        <v>0.84016690435038655</v>
      </c>
      <c r="K329">
        <f t="shared" si="59"/>
        <v>36.455260602942552</v>
      </c>
      <c r="L329">
        <f>0.5*Z329*K329/J329/$B$7</f>
        <v>21.695249130962615</v>
      </c>
      <c r="M329">
        <f t="shared" si="62"/>
        <v>0.17415471122692294</v>
      </c>
      <c r="N329" s="21">
        <f t="shared" si="66"/>
        <v>3.5881511747356251E-2</v>
      </c>
      <c r="O329" s="21">
        <f t="shared" si="67"/>
        <v>9.3476604121915354</v>
      </c>
      <c r="P329">
        <f t="shared" si="63"/>
        <v>0.23691797416475288</v>
      </c>
      <c r="Q329">
        <f t="shared" si="60"/>
        <v>0.84016690435038655</v>
      </c>
      <c r="R329">
        <f t="shared" si="61"/>
        <v>-0.55882904786995458</v>
      </c>
      <c r="T329" s="21">
        <f>(M329-M328)/(H329-H328)</f>
        <v>4.786215113292136E-4</v>
      </c>
      <c r="W329">
        <v>214</v>
      </c>
      <c r="X329">
        <v>9.1005699999999976</v>
      </c>
      <c r="Y329">
        <v>1</v>
      </c>
      <c r="Z329">
        <f t="shared" si="58"/>
        <v>1</v>
      </c>
      <c r="AA329" s="21">
        <f>IF(X329&gt;$B$8+$B$9,0,ABS(X329-O329)/X329)</f>
        <v>2.7151091875732825E-2</v>
      </c>
    </row>
    <row r="330" spans="7:27" x14ac:dyDescent="0.2">
      <c r="G330" s="21"/>
      <c r="H330" s="21">
        <v>215</v>
      </c>
      <c r="I330">
        <f t="shared" si="64"/>
        <v>1.3312202992130061E-2</v>
      </c>
      <c r="J330">
        <f t="shared" si="65"/>
        <v>0.83976543836323636</v>
      </c>
      <c r="K330">
        <f t="shared" si="59"/>
        <v>36.412454166641162</v>
      </c>
      <c r="L330">
        <f>0.5*Z330*K330/J330/$B$7</f>
        <v>21.680133822613413</v>
      </c>
      <c r="M330">
        <f t="shared" si="62"/>
        <v>0.17463266618330445</v>
      </c>
      <c r="N330" s="21">
        <f t="shared" si="66"/>
        <v>3.5925525750816548E-2</v>
      </c>
      <c r="O330" s="21">
        <f t="shared" si="67"/>
        <v>9.3609726151836661</v>
      </c>
      <c r="P330">
        <f t="shared" si="63"/>
        <v>0.23751306060780214</v>
      </c>
      <c r="Q330">
        <f t="shared" si="60"/>
        <v>0.83976543836323636</v>
      </c>
      <c r="R330">
        <f t="shared" si="61"/>
        <v>-0.56001587017676502</v>
      </c>
      <c r="T330" s="21">
        <f>(M330-M329)/(H330-H329)</f>
        <v>4.7795495638150443E-4</v>
      </c>
      <c r="W330">
        <v>215</v>
      </c>
      <c r="X330">
        <v>9.142754</v>
      </c>
      <c r="Y330">
        <v>1</v>
      </c>
      <c r="Z330">
        <f t="shared" si="58"/>
        <v>1</v>
      </c>
      <c r="AA330" s="21">
        <f>IF(X330&gt;$B$8+$B$9,0,ABS(X330-O330)/X330)</f>
        <v>2.3867930295802121E-2</v>
      </c>
    </row>
    <row r="331" spans="7:27" x14ac:dyDescent="0.2">
      <c r="G331" s="21"/>
      <c r="H331" s="21">
        <v>216</v>
      </c>
      <c r="I331">
        <f t="shared" si="64"/>
        <v>1.3277542218739176E-2</v>
      </c>
      <c r="J331">
        <f t="shared" si="65"/>
        <v>0.83936471900413856</v>
      </c>
      <c r="K331">
        <f t="shared" si="59"/>
        <v>36.369899118314819</v>
      </c>
      <c r="L331">
        <f>0.5*Z331*K331/J331/$B$7</f>
        <v>21.665134532617575</v>
      </c>
      <c r="M331">
        <f t="shared" si="62"/>
        <v>0.17510996017382319</v>
      </c>
      <c r="N331" s="21">
        <f t="shared" si="66"/>
        <v>3.5969401217761869E-2</v>
      </c>
      <c r="O331" s="21">
        <f t="shared" si="67"/>
        <v>9.3742501574024057</v>
      </c>
      <c r="P331">
        <f t="shared" si="63"/>
        <v>0.23810704033634464</v>
      </c>
      <c r="Q331">
        <f t="shared" si="60"/>
        <v>0.83936471900413856</v>
      </c>
      <c r="R331">
        <f t="shared" si="61"/>
        <v>-0.56120552297726944</v>
      </c>
      <c r="T331" s="21">
        <f>(M331-M330)/(H331-H330)</f>
        <v>4.7729399051874011E-4</v>
      </c>
      <c r="W331">
        <v>216</v>
      </c>
      <c r="X331">
        <v>9.1313969999999998</v>
      </c>
      <c r="Y331">
        <v>1</v>
      </c>
      <c r="Z331">
        <f t="shared" si="58"/>
        <v>1</v>
      </c>
      <c r="AA331" s="21">
        <f>IF(X331&gt;$B$8+$B$9,0,ABS(X331-O331)/X331)</f>
        <v>2.6595400178352338E-2</v>
      </c>
    </row>
    <row r="332" spans="7:27" x14ac:dyDescent="0.2">
      <c r="G332" s="21"/>
      <c r="H332" s="21">
        <v>217</v>
      </c>
      <c r="I332">
        <f t="shared" si="64"/>
        <v>1.3243170358355335E-2</v>
      </c>
      <c r="J332">
        <f t="shared" si="65"/>
        <v>0.83896474075194472</v>
      </c>
      <c r="K332">
        <f t="shared" si="59"/>
        <v>36.327592851396496</v>
      </c>
      <c r="L332">
        <f>0.5*Z332*K332/J332/$B$7</f>
        <v>21.650250056299694</v>
      </c>
      <c r="M332">
        <f t="shared" si="62"/>
        <v>0.17558659872347288</v>
      </c>
      <c r="N332" s="21">
        <f t="shared" si="66"/>
        <v>3.6013139293614438E-2</v>
      </c>
      <c r="O332" s="21">
        <f t="shared" si="67"/>
        <v>9.3874933277607617</v>
      </c>
      <c r="P332">
        <f t="shared" si="63"/>
        <v>0.23869992153428782</v>
      </c>
      <c r="Q332">
        <f t="shared" si="60"/>
        <v>0.83896474075194472</v>
      </c>
      <c r="R332">
        <f t="shared" si="61"/>
        <v>-0.5623980266880485</v>
      </c>
      <c r="T332" s="21">
        <f>(M332-M331)/(H332-H331)</f>
        <v>4.7663854964968833E-4</v>
      </c>
      <c r="W332">
        <v>217</v>
      </c>
      <c r="X332">
        <v>9.1492439999999995</v>
      </c>
      <c r="Y332">
        <v>1</v>
      </c>
      <c r="Z332">
        <f t="shared" si="58"/>
        <v>1</v>
      </c>
      <c r="AA332" s="21">
        <f>IF(X332&gt;$B$8+$B$9,0,ABS(X332-O332)/X332)</f>
        <v>2.6040329426208576E-2</v>
      </c>
    </row>
    <row r="333" spans="7:27" x14ac:dyDescent="0.2">
      <c r="G333" s="21"/>
      <c r="H333" s="21">
        <v>218</v>
      </c>
      <c r="I333">
        <f t="shared" si="64"/>
        <v>1.3209083795599593E-2</v>
      </c>
      <c r="J333">
        <f t="shared" si="65"/>
        <v>0.83856549814910242</v>
      </c>
      <c r="K333">
        <f t="shared" si="59"/>
        <v>36.285532798200592</v>
      </c>
      <c r="L333">
        <f>0.5*Z333*K333/J333/$B$7</f>
        <v>21.635479207223945</v>
      </c>
      <c r="M333">
        <f t="shared" si="62"/>
        <v>0.17606258729419658</v>
      </c>
      <c r="N333" s="21">
        <f t="shared" si="66"/>
        <v>3.605674110935371E-2</v>
      </c>
      <c r="O333" s="21">
        <f t="shared" si="67"/>
        <v>9.4007024115563613</v>
      </c>
      <c r="P333">
        <f t="shared" si="63"/>
        <v>0.23929171229127238</v>
      </c>
      <c r="Q333">
        <f t="shared" si="60"/>
        <v>0.83856549814910242</v>
      </c>
      <c r="R333">
        <f t="shared" si="61"/>
        <v>-0.56359340178148076</v>
      </c>
      <c r="T333" s="21">
        <f>(M333-M332)/(H333-H332)</f>
        <v>4.7598857072370104E-4</v>
      </c>
      <c r="W333">
        <v>218</v>
      </c>
      <c r="X333">
        <v>9.1670920000000002</v>
      </c>
      <c r="Y333">
        <v>1</v>
      </c>
      <c r="Z333">
        <f t="shared" si="58"/>
        <v>1</v>
      </c>
      <c r="AA333" s="21">
        <f>IF(X333&gt;$B$8+$B$9,0,ABS(X333-O333)/X333)</f>
        <v>2.5483589731221317E-2</v>
      </c>
    </row>
    <row r="334" spans="7:27" x14ac:dyDescent="0.2">
      <c r="G334" s="21"/>
      <c r="H334" s="21">
        <v>219</v>
      </c>
      <c r="I334">
        <f t="shared" si="64"/>
        <v>1.317527897692581E-2</v>
      </c>
      <c r="J334">
        <f t="shared" si="65"/>
        <v>0.8381669858006302</v>
      </c>
      <c r="K334">
        <f t="shared" si="59"/>
        <v>36.243716429168096</v>
      </c>
      <c r="L334">
        <f>0.5*Z334*K334/J334/$B$7</f>
        <v>21.620820816837309</v>
      </c>
      <c r="M334">
        <f t="shared" si="62"/>
        <v>0.17653793128590742</v>
      </c>
      <c r="N334" s="21">
        <f t="shared" si="66"/>
        <v>3.6100207781764322E-2</v>
      </c>
      <c r="O334" s="21">
        <f t="shared" si="67"/>
        <v>9.4138776905332868</v>
      </c>
      <c r="P334">
        <f t="shared" si="63"/>
        <v>0.23988242060419063</v>
      </c>
      <c r="Q334">
        <f t="shared" si="60"/>
        <v>0.8381669858006302</v>
      </c>
      <c r="R334">
        <f t="shared" si="61"/>
        <v>-0.56479166878742693</v>
      </c>
      <c r="T334" s="21">
        <f>(M334-M333)/(H334-H333)</f>
        <v>4.7534399171084152E-4</v>
      </c>
      <c r="W334">
        <v>219</v>
      </c>
      <c r="X334">
        <v>9.1768259999999984</v>
      </c>
      <c r="Y334">
        <v>1</v>
      </c>
      <c r="Z334">
        <f t="shared" si="58"/>
        <v>1</v>
      </c>
      <c r="AA334" s="21">
        <f>IF(X334&gt;$B$8+$B$9,0,ABS(X334-O334)/X334)</f>
        <v>2.58315555436366E-2</v>
      </c>
    </row>
    <row r="335" spans="7:27" x14ac:dyDescent="0.2">
      <c r="G335" s="21"/>
      <c r="H335" s="21">
        <v>220</v>
      </c>
      <c r="I335">
        <f t="shared" si="64"/>
        <v>1.3141752409286186E-2</v>
      </c>
      <c r="J335">
        <f t="shared" si="65"/>
        <v>0.83776919837311503</v>
      </c>
      <c r="K335">
        <f t="shared" si="59"/>
        <v>36.202141252129792</v>
      </c>
      <c r="L335">
        <f>0.5*Z335*K335/J335/$B$7</f>
        <v>21.606273734121306</v>
      </c>
      <c r="M335">
        <f t="shared" si="62"/>
        <v>0.17701263603748627</v>
      </c>
      <c r="N335" s="21">
        <f t="shared" si="66"/>
        <v>3.6143540413678711E-2</v>
      </c>
      <c r="O335" s="21">
        <f t="shared" si="67"/>
        <v>9.4270194429425729</v>
      </c>
      <c r="P335">
        <f t="shared" si="63"/>
        <v>0.24047205437867294</v>
      </c>
      <c r="Q335">
        <f t="shared" si="60"/>
        <v>0.83776919837311503</v>
      </c>
      <c r="R335">
        <f t="shared" si="61"/>
        <v>-0.56599284829490581</v>
      </c>
      <c r="T335" s="21">
        <f>(M335-M334)/(H335-H334)</f>
        <v>4.7470475157884717E-4</v>
      </c>
      <c r="W335">
        <v>220</v>
      </c>
      <c r="X335">
        <v>9.2027859999999997</v>
      </c>
      <c r="Y335">
        <v>1</v>
      </c>
      <c r="Z335">
        <f t="shared" si="58"/>
        <v>1</v>
      </c>
      <c r="AA335" s="21">
        <f>IF(X335&gt;$B$8+$B$9,0,ABS(X335-O335)/X335)</f>
        <v>2.4365821713399963E-2</v>
      </c>
    </row>
    <row r="336" spans="7:27" x14ac:dyDescent="0.2">
      <c r="G336" s="21"/>
      <c r="H336" s="21">
        <v>221</v>
      </c>
      <c r="I336">
        <f t="shared" si="64"/>
        <v>1.3108500658831609E-2</v>
      </c>
      <c r="J336">
        <f t="shared" si="65"/>
        <v>0.83737213059373006</v>
      </c>
      <c r="K336">
        <f t="shared" si="59"/>
        <v>36.160804811586928</v>
      </c>
      <c r="L336">
        <f>0.5*Z336*K336/J336/$B$7</f>
        <v>21.591836825252045</v>
      </c>
      <c r="M336">
        <f t="shared" si="62"/>
        <v>0.17748670682775969</v>
      </c>
      <c r="N336" s="21">
        <f t="shared" si="66"/>
        <v>3.6186740094214534E-2</v>
      </c>
      <c r="O336" s="21">
        <f t="shared" si="67"/>
        <v>9.4401279436014036</v>
      </c>
      <c r="P336">
        <f t="shared" si="63"/>
        <v>0.24106062143054455</v>
      </c>
      <c r="Q336">
        <f t="shared" si="60"/>
        <v>0.83737213059373006</v>
      </c>
      <c r="R336">
        <f t="shared" si="61"/>
        <v>-0.56719696095376293</v>
      </c>
      <c r="T336" s="21">
        <f>(M336-M335)/(H336-H335)</f>
        <v>4.7407079027342314E-4</v>
      </c>
      <c r="W336">
        <v>221</v>
      </c>
      <c r="X336">
        <v>9.2157659999999986</v>
      </c>
      <c r="Y336">
        <v>1</v>
      </c>
      <c r="Z336">
        <f t="shared" si="58"/>
        <v>1</v>
      </c>
      <c r="AA336" s="21">
        <f>IF(X336&gt;$B$8+$B$9,0,ABS(X336-O336)/X336)</f>
        <v>2.4345447095922908E-2</v>
      </c>
    </row>
    <row r="337" spans="7:27" x14ac:dyDescent="0.2">
      <c r="G337" s="21"/>
      <c r="H337" s="21">
        <v>222</v>
      </c>
      <c r="I337">
        <f t="shared" si="64"/>
        <v>1.3075520349645403E-2</v>
      </c>
      <c r="J337">
        <f t="shared" si="65"/>
        <v>0.83697577724927097</v>
      </c>
      <c r="K337">
        <f t="shared" si="59"/>
        <v>36.119704688008923</v>
      </c>
      <c r="L337">
        <f>0.5*Z337*K337/J337/$B$7</f>
        <v>21.577508973268429</v>
      </c>
      <c r="M337">
        <f t="shared" si="62"/>
        <v>0.17796014887645931</v>
      </c>
      <c r="N337" s="21">
        <f t="shared" si="66"/>
        <v>3.6229807899007045E-2</v>
      </c>
      <c r="O337" s="21">
        <f t="shared" si="67"/>
        <v>9.4532034639510485</v>
      </c>
      <c r="P337">
        <f t="shared" si="63"/>
        <v>0.24164812948725223</v>
      </c>
      <c r="Q337">
        <f t="shared" si="60"/>
        <v>0.83697577724927097</v>
      </c>
      <c r="R337">
        <f t="shared" si="61"/>
        <v>-0.5684040274763299</v>
      </c>
      <c r="T337" s="21">
        <f>(M337-M336)/(H337-H336)</f>
        <v>4.7344204869961826E-4</v>
      </c>
      <c r="W337">
        <v>222</v>
      </c>
      <c r="X337">
        <v>9.2255009999999977</v>
      </c>
      <c r="Y337">
        <v>1</v>
      </c>
      <c r="Z337">
        <f t="shared" si="58"/>
        <v>1</v>
      </c>
      <c r="AA337" s="21">
        <f>IF(X337&gt;$B$8+$B$9,0,ABS(X337-O337)/X337)</f>
        <v>2.4681853478857225E-2</v>
      </c>
    </row>
    <row r="338" spans="7:27" x14ac:dyDescent="0.2">
      <c r="G338" s="21"/>
      <c r="H338" s="21">
        <v>223</v>
      </c>
      <c r="I338">
        <f t="shared" si="64"/>
        <v>1.3042808162510043E-2</v>
      </c>
      <c r="J338">
        <f t="shared" si="65"/>
        <v>0.83658013318521407</v>
      </c>
      <c r="K338">
        <f t="shared" si="59"/>
        <v>36.078838497147665</v>
      </c>
      <c r="L338">
        <f>0.5*Z338*K338/J338/$B$7</f>
        <v>21.563289077748166</v>
      </c>
      <c r="M338">
        <f t="shared" si="62"/>
        <v>0.17843296734515923</v>
      </c>
      <c r="N338" s="21">
        <f t="shared" si="66"/>
        <v>3.6272744890436359E-2</v>
      </c>
      <c r="O338" s="21">
        <f t="shared" si="67"/>
        <v>9.4662462721135583</v>
      </c>
      <c r="P338">
        <f t="shared" si="63"/>
        <v>0.2422345861892618</v>
      </c>
      <c r="Q338">
        <f t="shared" si="60"/>
        <v>0.83658013318521407</v>
      </c>
      <c r="R338">
        <f t="shared" si="61"/>
        <v>-0.56961406863907704</v>
      </c>
      <c r="T338" s="21">
        <f>(M338-M337)/(H338-H337)</f>
        <v>4.7281846869992594E-4</v>
      </c>
      <c r="W338">
        <v>223</v>
      </c>
      <c r="X338">
        <v>9.2336129999999983</v>
      </c>
      <c r="Y338">
        <v>1</v>
      </c>
      <c r="Z338">
        <f t="shared" si="58"/>
        <v>1</v>
      </c>
      <c r="AA338" s="21">
        <f>IF(X338&gt;$B$8+$B$9,0,ABS(X338-O338)/X338)</f>
        <v>2.519417611649525E-2</v>
      </c>
    </row>
    <row r="339" spans="7:27" x14ac:dyDescent="0.2">
      <c r="G339" s="21"/>
      <c r="H339" s="21">
        <v>224</v>
      </c>
      <c r="I339">
        <f t="shared" si="64"/>
        <v>1.3010360833705381E-2</v>
      </c>
      <c r="J339">
        <f t="shared" si="65"/>
        <v>0.83618519330479224</v>
      </c>
      <c r="K339">
        <f t="shared" si="59"/>
        <v>36.038203889367793</v>
      </c>
      <c r="L339">
        <f>0.5*Z339*K339/J339/$B$7</f>
        <v>21.549176054491404</v>
      </c>
      <c r="M339">
        <f t="shared" si="62"/>
        <v>0.17890516733819584</v>
      </c>
      <c r="N339" s="21">
        <f t="shared" si="66"/>
        <v>3.6315552117849995E-2</v>
      </c>
      <c r="O339" s="21">
        <f t="shared" si="67"/>
        <v>9.4792566329472638</v>
      </c>
      <c r="P339">
        <f t="shared" si="63"/>
        <v>0.24281999909142787</v>
      </c>
      <c r="Q339">
        <f t="shared" si="60"/>
        <v>0.83618519330479224</v>
      </c>
      <c r="R339">
        <f t="shared" si="61"/>
        <v>-0.57082710528425951</v>
      </c>
      <c r="T339" s="21">
        <f>(M339-M338)/(H339-H338)</f>
        <v>4.7219999303660387E-4</v>
      </c>
      <c r="W339">
        <v>224</v>
      </c>
      <c r="X339">
        <v>9.2579509999999985</v>
      </c>
      <c r="Y339">
        <v>1</v>
      </c>
      <c r="Z339">
        <f t="shared" si="58"/>
        <v>1</v>
      </c>
      <c r="AA339" s="21">
        <f>IF(X339&gt;$B$8+$B$9,0,ABS(X339-O339)/X339)</f>
        <v>2.3904385856791138E-2</v>
      </c>
    </row>
    <row r="340" spans="7:27" x14ac:dyDescent="0.2">
      <c r="G340" s="21"/>
      <c r="H340" s="21">
        <v>225</v>
      </c>
      <c r="I340">
        <f t="shared" si="64"/>
        <v>1.2978175153837635E-2</v>
      </c>
      <c r="J340">
        <f t="shared" si="65"/>
        <v>0.83579095256808889</v>
      </c>
      <c r="K340">
        <f t="shared" si="59"/>
        <v>35.997798548992691</v>
      </c>
      <c r="L340">
        <f>0.5*Z340*K340/J340/$B$7</f>
        <v>21.535168835211863</v>
      </c>
      <c r="M340">
        <f t="shared" si="62"/>
        <v>0.17937675390356986</v>
      </c>
      <c r="N340" s="21">
        <f t="shared" si="66"/>
        <v>3.6358230617780755E-2</v>
      </c>
      <c r="O340" s="21">
        <f t="shared" si="67"/>
        <v>9.4922348081011023</v>
      </c>
      <c r="P340">
        <f t="shared" si="63"/>
        <v>0.2434043756643357</v>
      </c>
      <c r="Q340">
        <f t="shared" si="60"/>
        <v>0.83579095256808889</v>
      </c>
      <c r="R340">
        <f t="shared" si="61"/>
        <v>-0.57204315832155717</v>
      </c>
      <c r="T340" s="21">
        <f>(M340-M339)/(H340-H339)</f>
        <v>4.7158656537402144E-4</v>
      </c>
      <c r="W340">
        <v>225</v>
      </c>
      <c r="X340">
        <v>9.2611959999999982</v>
      </c>
      <c r="Y340">
        <v>1</v>
      </c>
      <c r="Z340">
        <f t="shared" si="58"/>
        <v>1</v>
      </c>
      <c r="AA340" s="21">
        <f>IF(X340&gt;$B$8+$B$9,0,ABS(X340-O340)/X340)</f>
        <v>2.494697316643597E-2</v>
      </c>
    </row>
    <row r="341" spans="7:27" x14ac:dyDescent="0.2">
      <c r="G341" s="21"/>
      <c r="H341" s="21">
        <v>226</v>
      </c>
      <c r="I341">
        <f t="shared" si="64"/>
        <v>1.2946247966698191E-2</v>
      </c>
      <c r="J341">
        <f t="shared" si="65"/>
        <v>0.83539740599115175</v>
      </c>
      <c r="K341">
        <f t="shared" si="59"/>
        <v>35.95762019366564</v>
      </c>
      <c r="L341">
        <f>0.5*Z341*K341/J341/$B$7</f>
        <v>21.5212663672351</v>
      </c>
      <c r="M341">
        <f t="shared" si="62"/>
        <v>0.17984773203382817</v>
      </c>
      <c r="N341" s="21">
        <f t="shared" si="66"/>
        <v>3.6400781414159845E-2</v>
      </c>
      <c r="O341" s="21">
        <f t="shared" si="67"/>
        <v>9.5051810560678014</v>
      </c>
      <c r="P341">
        <f t="shared" si="63"/>
        <v>0.24398772329561619</v>
      </c>
      <c r="Q341">
        <f t="shared" si="60"/>
        <v>0.83539740599115175</v>
      </c>
      <c r="R341">
        <f t="shared" si="61"/>
        <v>-0.57326224872970744</v>
      </c>
      <c r="T341" s="21">
        <f>(M341-M340)/(H341-H340)</f>
        <v>4.7097813025831492E-4</v>
      </c>
      <c r="W341">
        <v>226</v>
      </c>
      <c r="X341">
        <v>9.2741760000000006</v>
      </c>
      <c r="Y341">
        <v>1</v>
      </c>
      <c r="Z341">
        <f t="shared" si="58"/>
        <v>1</v>
      </c>
      <c r="AA341" s="21">
        <f>IF(X341&gt;$B$8+$B$9,0,ABS(X341-O341)/X341)</f>
        <v>2.4908418394022361E-2</v>
      </c>
    </row>
    <row r="342" spans="7:27" x14ac:dyDescent="0.2">
      <c r="G342" s="21"/>
      <c r="H342" s="21">
        <v>227</v>
      </c>
      <c r="I342">
        <f t="shared" si="64"/>
        <v>1.2914576168151301E-2</v>
      </c>
      <c r="J342">
        <f t="shared" si="65"/>
        <v>0.83500454864512264</v>
      </c>
      <c r="K342">
        <f t="shared" si="59"/>
        <v>35.917666573725789</v>
      </c>
      <c r="L342">
        <f>0.5*Z342*K342/J342/$B$7</f>
        <v>21.507467613203875</v>
      </c>
      <c r="M342">
        <f t="shared" si="62"/>
        <v>0.18031810666693024</v>
      </c>
      <c r="N342" s="21">
        <f t="shared" si="66"/>
        <v>3.6443205518525666E-2</v>
      </c>
      <c r="O342" s="21">
        <f t="shared" si="67"/>
        <v>9.5180956322359531</v>
      </c>
      <c r="P342">
        <f t="shared" si="63"/>
        <v>0.24457004929123469</v>
      </c>
      <c r="Q342">
        <f t="shared" si="60"/>
        <v>0.83500454864512264</v>
      </c>
      <c r="R342">
        <f t="shared" si="61"/>
        <v>-0.5744843975581343</v>
      </c>
      <c r="T342" s="21">
        <f>(M342-M341)/(H342-H341)</f>
        <v>4.703746331020664E-4</v>
      </c>
      <c r="W342">
        <v>227</v>
      </c>
      <c r="X342">
        <v>9.2839109999999998</v>
      </c>
      <c r="Y342">
        <v>1</v>
      </c>
      <c r="Z342">
        <f t="shared" si="58"/>
        <v>1</v>
      </c>
      <c r="AA342" s="21">
        <f>IF(X342&gt;$B$8+$B$9,0,ABS(X342-O342)/X342)</f>
        <v>2.5224782124252734E-2</v>
      </c>
    </row>
    <row r="343" spans="7:27" x14ac:dyDescent="0.2">
      <c r="G343" s="21"/>
      <c r="H343" s="21">
        <v>228</v>
      </c>
      <c r="I343">
        <f t="shared" si="64"/>
        <v>1.2883156705049883E-2</v>
      </c>
      <c r="J343">
        <f t="shared" si="65"/>
        <v>0.8346123756553856</v>
      </c>
      <c r="K343">
        <f t="shared" si="59"/>
        <v>35.877935471598434</v>
      </c>
      <c r="L343">
        <f>0.5*Z343*K343/J343/$B$7</f>
        <v>21.493771550790282</v>
      </c>
      <c r="M343">
        <f t="shared" si="62"/>
        <v>0.18078788268709572</v>
      </c>
      <c r="N343" s="21">
        <f t="shared" si="66"/>
        <v>3.6485503930228272E-2</v>
      </c>
      <c r="O343" s="21">
        <f t="shared" si="67"/>
        <v>9.5309787889410025</v>
      </c>
      <c r="P343">
        <f t="shared" si="63"/>
        <v>0.24515136087675451</v>
      </c>
      <c r="Q343">
        <f t="shared" si="60"/>
        <v>0.8346123756553856</v>
      </c>
      <c r="R343">
        <f t="shared" si="61"/>
        <v>-0.57570962592857189</v>
      </c>
      <c r="T343" s="21">
        <f>(M343-M342)/(H343-H342)</f>
        <v>4.6977602016548548E-4</v>
      </c>
      <c r="W343">
        <v>228</v>
      </c>
      <c r="X343">
        <v>9.3066250000000004</v>
      </c>
      <c r="Y343">
        <v>1</v>
      </c>
      <c r="Z343">
        <f t="shared" si="58"/>
        <v>1</v>
      </c>
      <c r="AA343" s="21">
        <f>IF(X343&gt;$B$8+$B$9,0,ABS(X343-O343)/X343)</f>
        <v>2.4106890407747394E-2</v>
      </c>
    </row>
    <row r="344" spans="7:27" x14ac:dyDescent="0.2">
      <c r="G344" s="21"/>
      <c r="H344" s="21">
        <v>229</v>
      </c>
      <c r="I344">
        <f t="shared" si="64"/>
        <v>1.2851986574178517E-2</v>
      </c>
      <c r="J344">
        <f t="shared" si="65"/>
        <v>0.83422088220073154</v>
      </c>
      <c r="K344">
        <f t="shared" si="59"/>
        <v>35.838424701199351</v>
      </c>
      <c r="L344">
        <f>0.5*Z344*K344/J344/$B$7</f>
        <v>21.480177172414542</v>
      </c>
      <c r="M344">
        <f t="shared" si="62"/>
        <v>0.18125706492563606</v>
      </c>
      <c r="N344" s="21">
        <f t="shared" si="66"/>
        <v>3.6527677636629383E-2</v>
      </c>
      <c r="O344" s="21">
        <f t="shared" si="67"/>
        <v>9.5438307755151808</v>
      </c>
      <c r="P344">
        <f t="shared" si="63"/>
        <v>0.24573166519857492</v>
      </c>
      <c r="Q344">
        <f t="shared" si="60"/>
        <v>0.83422088220073154</v>
      </c>
      <c r="R344">
        <f t="shared" si="61"/>
        <v>-0.57693795503668344</v>
      </c>
      <c r="T344" s="21">
        <f>(M344-M343)/(H344-H343)</f>
        <v>4.691822385403388E-4</v>
      </c>
      <c r="W344">
        <v>229</v>
      </c>
      <c r="X344">
        <v>9.322849999999999</v>
      </c>
      <c r="Y344">
        <v>1</v>
      </c>
      <c r="Z344">
        <f t="shared" si="58"/>
        <v>1</v>
      </c>
      <c r="AA344" s="21">
        <f>IF(X344&gt;$B$8+$B$9,0,ABS(X344-O344)/X344)</f>
        <v>2.3703135362596398E-2</v>
      </c>
    </row>
    <row r="345" spans="7:27" x14ac:dyDescent="0.2">
      <c r="G345" s="21"/>
      <c r="H345" s="21">
        <v>230</v>
      </c>
      <c r="I345">
        <f t="shared" si="64"/>
        <v>1.2821062821222843E-2</v>
      </c>
      <c r="J345">
        <f t="shared" si="65"/>
        <v>0.83383006351253908</v>
      </c>
      <c r="K345">
        <f t="shared" si="59"/>
        <v>35.799132107352712</v>
      </c>
      <c r="L345">
        <f>0.5*Z345*K345/J345/$B$7</f>
        <v>21.466683484970297</v>
      </c>
      <c r="M345">
        <f t="shared" si="62"/>
        <v>0.18172565816176969</v>
      </c>
      <c r="N345" s="21">
        <f t="shared" si="66"/>
        <v>3.6569727613298485E-2</v>
      </c>
      <c r="O345" s="21">
        <f t="shared" si="67"/>
        <v>9.5566518383364034</v>
      </c>
      <c r="P345">
        <f t="shared" si="63"/>
        <v>0.24631096932514504</v>
      </c>
      <c r="Q345">
        <f t="shared" si="60"/>
        <v>0.83383006351253908</v>
      </c>
      <c r="R345">
        <f t="shared" si="61"/>
        <v>-0.57816940615367551</v>
      </c>
      <c r="T345" s="21">
        <f>(M345-M344)/(H345-H344)</f>
        <v>4.685932361336298E-4</v>
      </c>
      <c r="W345">
        <v>230</v>
      </c>
      <c r="X345">
        <v>9.3179829999999981</v>
      </c>
      <c r="Y345">
        <v>1</v>
      </c>
      <c r="Z345">
        <f t="shared" si="58"/>
        <v>1</v>
      </c>
      <c r="AA345" s="21">
        <f>IF(X345&gt;$B$8+$B$9,0,ABS(X345-O345)/X345)</f>
        <v>2.5613787698089311E-2</v>
      </c>
    </row>
    <row r="346" spans="7:27" x14ac:dyDescent="0.2">
      <c r="G346" s="21"/>
      <c r="H346" s="21">
        <v>231</v>
      </c>
      <c r="I346">
        <f t="shared" si="64"/>
        <v>1.2790382539764809E-2</v>
      </c>
      <c r="J346">
        <f t="shared" si="65"/>
        <v>0.83343991487397173</v>
      </c>
      <c r="K346">
        <f t="shared" si="59"/>
        <v>35.760055565222217</v>
      </c>
      <c r="L346">
        <f>0.5*Z346*K346/J346/$B$7</f>
        <v>21.453289509556104</v>
      </c>
      <c r="M346">
        <f t="shared" si="62"/>
        <v>0.18219366712342108</v>
      </c>
      <c r="N346" s="21">
        <f t="shared" si="66"/>
        <v>3.6611654824204747E-2</v>
      </c>
      <c r="O346" s="21">
        <f t="shared" si="67"/>
        <v>9.5694422208761676</v>
      </c>
      <c r="P346">
        <f t="shared" si="63"/>
        <v>0.24688928024815396</v>
      </c>
      <c r="Q346">
        <f t="shared" si="60"/>
        <v>0.83343991487397173</v>
      </c>
      <c r="R346">
        <f t="shared" si="61"/>
        <v>-0.57940400062790998</v>
      </c>
      <c r="T346" s="21">
        <f>(M346-M345)/(H346-H345)</f>
        <v>4.6800896165138939E-4</v>
      </c>
      <c r="W346">
        <v>231</v>
      </c>
      <c r="X346">
        <v>9.3471879999999992</v>
      </c>
      <c r="Y346">
        <v>1</v>
      </c>
      <c r="Z346">
        <f t="shared" si="58"/>
        <v>1</v>
      </c>
      <c r="AA346" s="21">
        <f>IF(X346&gt;$B$8+$B$9,0,ABS(X346-O346)/X346)</f>
        <v>2.3777656004797212E-2</v>
      </c>
    </row>
    <row r="347" spans="7:27" x14ac:dyDescent="0.2">
      <c r="G347" s="21"/>
      <c r="H347" s="21">
        <v>232</v>
      </c>
      <c r="I347">
        <f t="shared" si="64"/>
        <v>1.2759942870302497E-2</v>
      </c>
      <c r="J347">
        <f t="shared" si="65"/>
        <v>0.8330504316191909</v>
      </c>
      <c r="K347">
        <f t="shared" si="59"/>
        <v>35.721192979755081</v>
      </c>
      <c r="L347">
        <f>0.5*Z347*K347/J347/$B$7</f>
        <v>21.439994281213078</v>
      </c>
      <c r="M347">
        <f t="shared" si="62"/>
        <v>0.18266109648800391</v>
      </c>
      <c r="N347" s="21">
        <f t="shared" si="66"/>
        <v>3.6653460221905042E-2</v>
      </c>
      <c r="O347" s="21">
        <f t="shared" si="67"/>
        <v>9.5822021637464694</v>
      </c>
      <c r="P347">
        <f t="shared" si="63"/>
        <v>0.24746660488369795</v>
      </c>
      <c r="Q347">
        <f t="shared" si="60"/>
        <v>0.8330504316191909</v>
      </c>
      <c r="R347">
        <f t="shared" si="61"/>
        <v>-0.58064175988651356</v>
      </c>
      <c r="T347" s="21">
        <f>(M347-M346)/(H347-H346)</f>
        <v>4.6742936458282758E-4</v>
      </c>
      <c r="W347">
        <v>232</v>
      </c>
      <c r="X347">
        <v>9.3634120000000003</v>
      </c>
      <c r="Y347">
        <v>1</v>
      </c>
      <c r="Z347">
        <f t="shared" si="58"/>
        <v>1</v>
      </c>
      <c r="AA347" s="21">
        <f>IF(X347&gt;$B$8+$B$9,0,ABS(X347-O347)/X347)</f>
        <v>2.3366499706140142E-2</v>
      </c>
    </row>
    <row r="348" spans="7:27" x14ac:dyDescent="0.2">
      <c r="G348" s="21"/>
      <c r="H348" s="21">
        <v>233</v>
      </c>
      <c r="I348">
        <f t="shared" si="64"/>
        <v>1.2729740999294468E-2</v>
      </c>
      <c r="J348">
        <f t="shared" si="65"/>
        <v>0.83266160913258369</v>
      </c>
      <c r="K348">
        <f t="shared" si="59"/>
        <v>35.682542285138666</v>
      </c>
      <c r="L348">
        <f>0.5*Z348*K348/J348/$B$7</f>
        <v>21.426796848668555</v>
      </c>
      <c r="M348">
        <f t="shared" si="62"/>
        <v>0.18312795088318956</v>
      </c>
      <c r="N348" s="21">
        <f t="shared" si="66"/>
        <v>3.6695144747728128E-2</v>
      </c>
      <c r="O348" s="21">
        <f t="shared" si="67"/>
        <v>9.5949319047457635</v>
      </c>
      <c r="P348">
        <f t="shared" si="63"/>
        <v>0.24804295007342403</v>
      </c>
      <c r="Q348">
        <f t="shared" si="60"/>
        <v>0.83266160913258369</v>
      </c>
      <c r="R348">
        <f t="shared" si="61"/>
        <v>-0.58188270543698006</v>
      </c>
      <c r="T348" s="21">
        <f>(M348-M347)/(H348-H347)</f>
        <v>4.6685439518565075E-4</v>
      </c>
      <c r="W348">
        <v>233</v>
      </c>
      <c r="X348">
        <v>9.3763919999999992</v>
      </c>
      <c r="Y348">
        <v>1</v>
      </c>
      <c r="Z348">
        <f t="shared" si="58"/>
        <v>1</v>
      </c>
      <c r="AA348" s="21">
        <f>IF(X348&gt;$B$8+$B$9,0,ABS(X348-O348)/X348)</f>
        <v>2.3307462480852376E-2</v>
      </c>
    </row>
    <row r="349" spans="7:27" x14ac:dyDescent="0.2">
      <c r="G349" s="21"/>
      <c r="H349" s="21">
        <v>234</v>
      </c>
      <c r="I349">
        <f t="shared" si="64"/>
        <v>1.2699774158227446E-2</v>
      </c>
      <c r="J349">
        <f t="shared" si="65"/>
        <v>0.83227344284800608</v>
      </c>
      <c r="K349">
        <f t="shared" si="59"/>
        <v>35.644101444269154</v>
      </c>
      <c r="L349">
        <f>0.5*Z349*K349/J349/$B$7</f>
        <v>21.4136962740854</v>
      </c>
      <c r="M349">
        <f t="shared" si="62"/>
        <v>0.18359423488766025</v>
      </c>
      <c r="N349" s="21">
        <f t="shared" si="66"/>
        <v>3.6736709331955088E-2</v>
      </c>
      <c r="O349" s="21">
        <f t="shared" si="67"/>
        <v>9.6076316789039904</v>
      </c>
      <c r="P349">
        <f t="shared" si="63"/>
        <v>0.24861832258565256</v>
      </c>
      <c r="Q349">
        <f t="shared" si="60"/>
        <v>0.83227344284800608</v>
      </c>
      <c r="R349">
        <f t="shared" si="61"/>
        <v>-0.58312685886877713</v>
      </c>
      <c r="T349" s="21">
        <f>(M349-M348)/(H349-H348)</f>
        <v>4.6628400447068508E-4</v>
      </c>
      <c r="W349">
        <v>234</v>
      </c>
      <c r="X349">
        <v>9.4023520000000005</v>
      </c>
      <c r="Y349">
        <v>1</v>
      </c>
      <c r="Z349">
        <f t="shared" si="58"/>
        <v>1</v>
      </c>
      <c r="AA349" s="21">
        <f>IF(X349&gt;$B$8+$B$9,0,ABS(X349-O349)/X349)</f>
        <v>2.1832800867696709E-2</v>
      </c>
    </row>
    <row r="350" spans="7:27" x14ac:dyDescent="0.2">
      <c r="G350" s="21"/>
      <c r="H350" s="21">
        <v>235</v>
      </c>
      <c r="I350">
        <f t="shared" si="64"/>
        <v>1.2670039622706755E-2</v>
      </c>
      <c r="J350">
        <f t="shared" si="65"/>
        <v>0.83188592824804042</v>
      </c>
      <c r="K350">
        <f t="shared" si="59"/>
        <v>35.605868448232201</v>
      </c>
      <c r="L350">
        <f>0.5*Z350*K350/J350/$B$7</f>
        <v>21.400691632817072</v>
      </c>
      <c r="M350">
        <f t="shared" si="62"/>
        <v>0.18405995303184802</v>
      </c>
      <c r="N350" s="21">
        <f t="shared" si="66"/>
        <v>3.6778154893996072E-2</v>
      </c>
      <c r="O350" s="21">
        <f t="shared" si="67"/>
        <v>9.6203017185266972</v>
      </c>
      <c r="P350">
        <f t="shared" si="63"/>
        <v>0.24919272911647763</v>
      </c>
      <c r="Q350">
        <f t="shared" si="60"/>
        <v>0.83188592824804042</v>
      </c>
      <c r="R350">
        <f t="shared" si="61"/>
        <v>-0.5843742418549458</v>
      </c>
      <c r="T350" s="21">
        <f>(M350-M349)/(H350-H349)</f>
        <v>4.6571814418777668E-4</v>
      </c>
      <c r="W350">
        <v>235</v>
      </c>
      <c r="X350">
        <v>9.395862000000001</v>
      </c>
      <c r="Y350">
        <v>1</v>
      </c>
      <c r="Z350">
        <f t="shared" si="58"/>
        <v>1</v>
      </c>
      <c r="AA350" s="21">
        <f>IF(X350&gt;$B$8+$B$9,0,ABS(X350-O350)/X350)</f>
        <v>2.3887081198797532E-2</v>
      </c>
    </row>
    <row r="351" spans="7:27" x14ac:dyDescent="0.2">
      <c r="G351" s="21"/>
      <c r="H351" s="21">
        <v>236</v>
      </c>
      <c r="I351">
        <f t="shared" si="64"/>
        <v>1.2640534711569089E-2</v>
      </c>
      <c r="J351">
        <f t="shared" si="65"/>
        <v>0.83149906086326753</v>
      </c>
      <c r="K351">
        <f t="shared" si="59"/>
        <v>35.567841315795143</v>
      </c>
      <c r="L351">
        <f>0.5*Z351*K351/J351/$B$7</f>
        <v>21.387782013168113</v>
      </c>
      <c r="M351">
        <f t="shared" si="62"/>
        <v>0.18452510979865899</v>
      </c>
      <c r="N351" s="21">
        <f t="shared" si="66"/>
        <v>3.6819482342563513E-2</v>
      </c>
      <c r="O351" s="21">
        <f t="shared" si="67"/>
        <v>9.6329422532382658</v>
      </c>
      <c r="P351">
        <f t="shared" si="63"/>
        <v>0.24976617629084605</v>
      </c>
      <c r="Q351">
        <f t="shared" si="60"/>
        <v>0.83149906086326753</v>
      </c>
      <c r="R351">
        <f t="shared" si="61"/>
        <v>-0.58562487615369996</v>
      </c>
      <c r="T351" s="21">
        <f>(M351-M350)/(H351-H350)</f>
        <v>4.6515676681097018E-4</v>
      </c>
      <c r="W351">
        <v>236</v>
      </c>
      <c r="X351">
        <v>9.4169540000000005</v>
      </c>
      <c r="Y351">
        <v>1</v>
      </c>
      <c r="Z351">
        <f t="shared" si="58"/>
        <v>1</v>
      </c>
      <c r="AA351" s="21">
        <f>IF(X351&gt;$B$8+$B$9,0,ABS(X351-O351)/X351)</f>
        <v>2.2936105797932677E-2</v>
      </c>
    </row>
    <row r="352" spans="7:27" x14ac:dyDescent="0.2">
      <c r="G352" s="21"/>
      <c r="H352" s="21">
        <v>237</v>
      </c>
      <c r="I352">
        <f t="shared" si="64"/>
        <v>1.2611256786016725E-2</v>
      </c>
      <c r="J352">
        <f t="shared" si="65"/>
        <v>0.83111283627155164</v>
      </c>
      <c r="K352">
        <f t="shared" si="59"/>
        <v>35.530018092910382</v>
      </c>
      <c r="L352">
        <f>0.5*Z352*K352/J352/$B$7</f>
        <v>21.374966516160008</v>
      </c>
      <c r="M352">
        <f t="shared" si="62"/>
        <v>0.18498970962418507</v>
      </c>
      <c r="N352" s="21">
        <f t="shared" si="66"/>
        <v>3.6860692575841923E-2</v>
      </c>
      <c r="O352" s="21">
        <f t="shared" si="67"/>
        <v>9.645553510024282</v>
      </c>
      <c r="P352">
        <f t="shared" si="63"/>
        <v>0.25033867066361665</v>
      </c>
      <c r="Q352">
        <f t="shared" si="60"/>
        <v>0.83111283627155164</v>
      </c>
      <c r="R352">
        <f t="shared" si="61"/>
        <v>-0.58687878361002577</v>
      </c>
      <c r="T352" s="21">
        <f>(M352-M351)/(H352-H351)</f>
        <v>4.6459982552607415E-4</v>
      </c>
      <c r="W352">
        <v>237</v>
      </c>
      <c r="X352">
        <v>9.4364239999999988</v>
      </c>
      <c r="Y352">
        <v>1</v>
      </c>
      <c r="Z352">
        <f t="shared" si="58"/>
        <v>1</v>
      </c>
      <c r="AA352" s="21">
        <f>IF(X352&gt;$B$8+$B$9,0,ABS(X352-O352)/X352)</f>
        <v>2.2161945035988544E-2</v>
      </c>
    </row>
    <row r="353" spans="7:27" x14ac:dyDescent="0.2">
      <c r="G353" s="21"/>
      <c r="H353" s="21">
        <v>238</v>
      </c>
      <c r="I353">
        <f t="shared" si="64"/>
        <v>1.2582203248772572E-2</v>
      </c>
      <c r="J353">
        <f t="shared" si="65"/>
        <v>0.83072725009734116</v>
      </c>
      <c r="K353">
        <f t="shared" si="59"/>
        <v>35.492396852229824</v>
      </c>
      <c r="L353">
        <f>0.5*Z353*K353/J353/$B$7</f>
        <v>21.362244255302191</v>
      </c>
      <c r="M353">
        <f t="shared" si="62"/>
        <v>0.18545375689839941</v>
      </c>
      <c r="N353" s="21">
        <f t="shared" si="66"/>
        <v>3.6901786481654118E-2</v>
      </c>
      <c r="O353" s="21">
        <f t="shared" si="67"/>
        <v>9.6581357132730545</v>
      </c>
      <c r="P353">
        <f t="shared" si="63"/>
        <v>0.25091021872059832</v>
      </c>
      <c r="Q353">
        <f t="shared" si="60"/>
        <v>0.83072725009734116</v>
      </c>
      <c r="R353">
        <f t="shared" si="61"/>
        <v>-0.58813598615727958</v>
      </c>
      <c r="T353" s="21">
        <f>(M353-M352)/(H353-H352)</f>
        <v>4.6404727421434089E-4</v>
      </c>
      <c r="W353">
        <v>238</v>
      </c>
      <c r="X353">
        <v>9.4396689999999985</v>
      </c>
      <c r="Y353">
        <v>1</v>
      </c>
      <c r="Z353">
        <f t="shared" si="58"/>
        <v>1</v>
      </c>
      <c r="AA353" s="21">
        <f>IF(X353&gt;$B$8+$B$9,0,ABS(X353-O353)/X353)</f>
        <v>2.3143471796845422E-2</v>
      </c>
    </row>
    <row r="354" spans="7:27" x14ac:dyDescent="0.2">
      <c r="G354" s="21"/>
      <c r="H354" s="21">
        <v>239</v>
      </c>
      <c r="I354">
        <f t="shared" si="64"/>
        <v>1.2553371543255726E-2</v>
      </c>
      <c r="J354">
        <f t="shared" si="65"/>
        <v>0.8303422980109797</v>
      </c>
      <c r="K354">
        <f t="shared" si="59"/>
        <v>35.454975692629922</v>
      </c>
      <c r="L354">
        <f>0.5*Z354*K354/J354/$B$7</f>
        <v>21.349614356368185</v>
      </c>
      <c r="M354">
        <f t="shared" si="62"/>
        <v>0.18591725596584244</v>
      </c>
      <c r="N354" s="21">
        <f t="shared" si="66"/>
        <v>3.6942764937624287E-2</v>
      </c>
      <c r="O354" s="21">
        <f t="shared" si="67"/>
        <v>9.6706890848163098</v>
      </c>
      <c r="P354">
        <f t="shared" si="63"/>
        <v>0.25148082687956924</v>
      </c>
      <c r="Q354">
        <f t="shared" si="60"/>
        <v>0.8303422980109797</v>
      </c>
      <c r="R354">
        <f t="shared" si="61"/>
        <v>-0.58939650581878489</v>
      </c>
      <c r="T354" s="21">
        <f>(M354-M353)/(H354-H353)</f>
        <v>4.6349906744302949E-4</v>
      </c>
      <c r="W354">
        <v>239</v>
      </c>
      <c r="X354">
        <v>9.4494039999999977</v>
      </c>
      <c r="Y354">
        <v>1</v>
      </c>
      <c r="Z354">
        <f t="shared" si="58"/>
        <v>1</v>
      </c>
      <c r="AA354" s="21">
        <f>IF(X354&gt;$B$8+$B$9,0,ABS(X354-O354)/X354)</f>
        <v>2.3417888029373304E-2</v>
      </c>
    </row>
    <row r="355" spans="7:27" x14ac:dyDescent="0.2">
      <c r="G355" s="21"/>
      <c r="H355" s="21">
        <v>240</v>
      </c>
      <c r="I355">
        <f t="shared" si="64"/>
        <v>1.2524759152776687E-2</v>
      </c>
      <c r="J355">
        <f t="shared" si="65"/>
        <v>0.82995797572803243</v>
      </c>
      <c r="K355">
        <f t="shared" si="59"/>
        <v>35.417752738747112</v>
      </c>
      <c r="L355">
        <f>0.5*Z355*K355/J355/$B$7</f>
        <v>21.337075957176594</v>
      </c>
      <c r="M355">
        <f t="shared" si="62"/>
        <v>0.18638021112629183</v>
      </c>
      <c r="N355" s="21">
        <f t="shared" si="66"/>
        <v>3.6983628811337869E-2</v>
      </c>
      <c r="O355" s="21">
        <f t="shared" si="67"/>
        <v>9.6832138439690869</v>
      </c>
      <c r="P355">
        <f t="shared" si="63"/>
        <v>0.25205050149127695</v>
      </c>
      <c r="Q355">
        <f t="shared" si="60"/>
        <v>0.82995797572803243</v>
      </c>
      <c r="R355">
        <f t="shared" si="61"/>
        <v>-0.59066036470943117</v>
      </c>
      <c r="T355" s="21">
        <f>(M355-M354)/(H355-H354)</f>
        <v>4.6295516044939089E-4</v>
      </c>
      <c r="W355">
        <v>240</v>
      </c>
      <c r="X355">
        <v>9.4623840000000001</v>
      </c>
      <c r="Y355">
        <v>1</v>
      </c>
      <c r="Z355">
        <f t="shared" si="58"/>
        <v>1</v>
      </c>
      <c r="AA355" s="21">
        <f>IF(X355&gt;$B$8+$B$9,0,ABS(X355-O355)/X355)</f>
        <v>2.3337654017115218E-2</v>
      </c>
    </row>
    <row r="356" spans="7:27" x14ac:dyDescent="0.2">
      <c r="G356" s="21"/>
      <c r="H356" s="21">
        <v>241</v>
      </c>
      <c r="I356">
        <f t="shared" si="64"/>
        <v>1.2496363599751694E-2</v>
      </c>
      <c r="J356">
        <f t="shared" si="65"/>
        <v>0.82957427900862457</v>
      </c>
      <c r="K356">
        <f t="shared" si="59"/>
        <v>35.380726140523436</v>
      </c>
      <c r="L356">
        <f>0.5*Z356*K356/J356/$B$7</f>
        <v>21.324628207376957</v>
      </c>
      <c r="M356">
        <f t="shared" si="62"/>
        <v>0.18684262663542076</v>
      </c>
      <c r="N356" s="21">
        <f t="shared" si="66"/>
        <v>3.7024378960497983E-2</v>
      </c>
      <c r="O356" s="21">
        <f t="shared" si="67"/>
        <v>9.6957102075688386</v>
      </c>
      <c r="P356">
        <f t="shared" si="63"/>
        <v>0.25261924884041831</v>
      </c>
      <c r="Q356">
        <f t="shared" si="60"/>
        <v>0.82957427900862457</v>
      </c>
      <c r="R356">
        <f t="shared" si="61"/>
        <v>-0.59192758503726983</v>
      </c>
      <c r="T356" s="21">
        <f>(M356-M355)/(H356-H355)</f>
        <v>4.6241550912892726E-4</v>
      </c>
      <c r="W356">
        <v>241</v>
      </c>
      <c r="X356">
        <v>9.4834759999999996</v>
      </c>
      <c r="Y356">
        <v>1</v>
      </c>
      <c r="Z356">
        <f t="shared" si="58"/>
        <v>1</v>
      </c>
      <c r="AA356" s="21">
        <f>IF(X356&gt;$B$8+$B$9,0,ABS(X356-O356)/X356)</f>
        <v>2.2379368869477716E-2</v>
      </c>
    </row>
    <row r="357" spans="7:27" x14ac:dyDescent="0.2">
      <c r="G357" s="21"/>
      <c r="H357" s="21">
        <v>242</v>
      </c>
      <c r="I357">
        <f t="shared" si="64"/>
        <v>1.2468182444935919E-2</v>
      </c>
      <c r="J357">
        <f t="shared" si="65"/>
        <v>0.82919120365679133</v>
      </c>
      <c r="K357">
        <f t="shared" si="59"/>
        <v>35.343894072761991</v>
      </c>
      <c r="L357">
        <f>0.5*Z357*K357/J357/$B$7</f>
        <v>21.312270268240269</v>
      </c>
      <c r="M357">
        <f t="shared" si="62"/>
        <v>0.18730450670544477</v>
      </c>
      <c r="N357" s="21">
        <f t="shared" si="66"/>
        <v>3.7065016233079152E-2</v>
      </c>
      <c r="O357" s="21">
        <f t="shared" si="67"/>
        <v>9.7081783900137744</v>
      </c>
      <c r="P357">
        <f t="shared" si="63"/>
        <v>0.25318707514660299</v>
      </c>
      <c r="Q357">
        <f t="shared" si="60"/>
        <v>0.82919120365679133</v>
      </c>
      <c r="R357">
        <f t="shared" si="61"/>
        <v>-0.59319818910511479</v>
      </c>
      <c r="T357" s="21">
        <f>(M357-M356)/(H357-H356)</f>
        <v>4.6188007002401221E-4</v>
      </c>
      <c r="W357">
        <v>242</v>
      </c>
      <c r="X357">
        <v>9.4997009999999982</v>
      </c>
      <c r="Y357">
        <v>1</v>
      </c>
      <c r="Z357">
        <f t="shared" si="58"/>
        <v>1</v>
      </c>
      <c r="AA357" s="21">
        <f>IF(X357&gt;$B$8+$B$9,0,ABS(X357-O357)/X357)</f>
        <v>2.1945679133877606E-2</v>
      </c>
    </row>
    <row r="358" spans="7:27" x14ac:dyDescent="0.2">
      <c r="G358" s="21"/>
      <c r="H358" s="21">
        <v>243</v>
      </c>
      <c r="I358">
        <f t="shared" si="64"/>
        <v>1.2440213286674712E-2</v>
      </c>
      <c r="J358">
        <f t="shared" si="65"/>
        <v>0.82880874551984096</v>
      </c>
      <c r="K358">
        <f t="shared" si="59"/>
        <v>35.307254734691909</v>
      </c>
      <c r="L358">
        <f>0.5*Z358*K358/J358/$B$7</f>
        <v>21.300001312453986</v>
      </c>
      <c r="M358">
        <f t="shared" si="62"/>
        <v>0.18776585550575556</v>
      </c>
      <c r="N358" s="21">
        <f t="shared" si="66"/>
        <v>3.7105541467477798E-2</v>
      </c>
      <c r="O358" s="21">
        <f t="shared" si="67"/>
        <v>9.7206186033004496</v>
      </c>
      <c r="P358">
        <f t="shared" si="63"/>
        <v>0.25375398656529774</v>
      </c>
      <c r="Q358">
        <f t="shared" si="60"/>
        <v>0.82880874551984096</v>
      </c>
      <c r="R358">
        <f t="shared" si="61"/>
        <v>-0.59447219931214124</v>
      </c>
      <c r="T358" s="21">
        <f>(M358-M357)/(H358-H357)</f>
        <v>4.6134880031079017E-4</v>
      </c>
      <c r="W358">
        <v>243</v>
      </c>
      <c r="X358">
        <v>9.5143039999999992</v>
      </c>
      <c r="Y358">
        <v>1</v>
      </c>
      <c r="Z358">
        <f t="shared" si="58"/>
        <v>1</v>
      </c>
      <c r="AA358" s="21">
        <f>IF(X358&gt;$B$8+$B$9,0,ABS(X358-O358)/X358)</f>
        <v>2.1684676388356982E-2</v>
      </c>
    </row>
    <row r="359" spans="7:27" x14ac:dyDescent="0.2">
      <c r="G359" s="21"/>
      <c r="H359" s="21">
        <v>244</v>
      </c>
      <c r="I359">
        <f t="shared" si="64"/>
        <v>1.2412453760172384E-2</v>
      </c>
      <c r="J359">
        <f t="shared" si="65"/>
        <v>0.82842690048772938</v>
      </c>
      <c r="K359">
        <f t="shared" si="59"/>
        <v>35.270806349542838</v>
      </c>
      <c r="L359">
        <f>0.5*Z359*K359/J359/$B$7</f>
        <v>21.287820523921571</v>
      </c>
      <c r="M359">
        <f t="shared" si="62"/>
        <v>0.18822667716354302</v>
      </c>
      <c r="N359" s="21">
        <f t="shared" si="66"/>
        <v>3.7145955492659803E-2</v>
      </c>
      <c r="O359" s="21">
        <f t="shared" si="67"/>
        <v>9.7330310570606215</v>
      </c>
      <c r="P359">
        <f t="shared" si="63"/>
        <v>0.2543199891887537</v>
      </c>
      <c r="Q359">
        <f t="shared" si="60"/>
        <v>0.82842690048772938</v>
      </c>
      <c r="R359">
        <f t="shared" si="61"/>
        <v>-0.59574963815548798</v>
      </c>
      <c r="T359" s="21">
        <f>(M359-M358)/(H359-H358)</f>
        <v>4.6082165778746353E-4</v>
      </c>
      <c r="W359">
        <v>244</v>
      </c>
      <c r="X359">
        <v>9.5321509999999989</v>
      </c>
      <c r="Y359">
        <v>1</v>
      </c>
      <c r="Z359">
        <f t="shared" si="58"/>
        <v>1</v>
      </c>
      <c r="AA359" s="21">
        <f>IF(X359&gt;$B$8+$B$9,0,ABS(X359-O359)/X359)</f>
        <v>2.1073948268404755E-2</v>
      </c>
    </row>
    <row r="360" spans="7:27" x14ac:dyDescent="0.2">
      <c r="G360" s="21"/>
      <c r="H360" s="21">
        <v>245</v>
      </c>
      <c r="I360">
        <f t="shared" si="64"/>
        <v>1.2384901536778365E-2</v>
      </c>
      <c r="J360">
        <f t="shared" si="65"/>
        <v>0.82804566449244577</v>
      </c>
      <c r="K360">
        <f t="shared" si="59"/>
        <v>35.234547164128458</v>
      </c>
      <c r="L360">
        <f>0.5*Z360*K360/J360/$B$7</f>
        <v>21.27572709756631</v>
      </c>
      <c r="M360">
        <f t="shared" si="62"/>
        <v>0.18868697576440679</v>
      </c>
      <c r="N360" s="21">
        <f t="shared" si="66"/>
        <v>3.7186259128305289E-2</v>
      </c>
      <c r="O360" s="21">
        <f t="shared" si="67"/>
        <v>9.7454159585974001</v>
      </c>
      <c r="P360">
        <f t="shared" si="63"/>
        <v>0.2548850890469162</v>
      </c>
      <c r="Q360">
        <f t="shared" si="60"/>
        <v>0.82804566449244577</v>
      </c>
      <c r="R360">
        <f t="shared" si="61"/>
        <v>-0.5970305282318592</v>
      </c>
      <c r="T360" s="21">
        <f>(M360-M359)/(H360-H359)</f>
        <v>4.6029860086377328E-4</v>
      </c>
      <c r="W360">
        <v>245</v>
      </c>
      <c r="X360">
        <v>9.5402629999999995</v>
      </c>
      <c r="Y360">
        <v>1</v>
      </c>
      <c r="Z360">
        <f t="shared" si="58"/>
        <v>1</v>
      </c>
      <c r="AA360" s="21">
        <f>IF(X360&gt;$B$8+$B$9,0,ABS(X360-O360)/X360)</f>
        <v>2.1503910174950163E-2</v>
      </c>
    </row>
    <row r="361" spans="7:27" x14ac:dyDescent="0.2">
      <c r="G361" s="21"/>
      <c r="H361" s="21">
        <v>246</v>
      </c>
      <c r="I361">
        <f t="shared" si="64"/>
        <v>1.2357554323289896E-2</v>
      </c>
      <c r="J361">
        <f t="shared" si="65"/>
        <v>0.8276650335074105</v>
      </c>
      <c r="K361">
        <f t="shared" si="59"/>
        <v>35.198475448438892</v>
      </c>
      <c r="L361">
        <f>0.5*Z361*K361/J361/$B$7</f>
        <v>21.263720239139317</v>
      </c>
      <c r="M361">
        <f t="shared" si="62"/>
        <v>0.18914675535295503</v>
      </c>
      <c r="N361" s="21">
        <f t="shared" si="66"/>
        <v>3.7226453184950554E-2</v>
      </c>
      <c r="O361" s="21">
        <f t="shared" si="67"/>
        <v>9.7577735129206893</v>
      </c>
      <c r="P361">
        <f t="shared" si="63"/>
        <v>0.25544929210831824</v>
      </c>
      <c r="Q361">
        <f t="shared" si="60"/>
        <v>0.8276650335074105</v>
      </c>
      <c r="R361">
        <f t="shared" si="61"/>
        <v>-0.59831489223913092</v>
      </c>
      <c r="T361" s="21">
        <f>(M361-M360)/(H361-H360)</f>
        <v>4.5977958854823142E-4</v>
      </c>
      <c r="W361">
        <v>246</v>
      </c>
      <c r="X361">
        <v>9.5548660000000005</v>
      </c>
      <c r="Y361">
        <v>1</v>
      </c>
      <c r="Z361">
        <f t="shared" si="58"/>
        <v>1</v>
      </c>
      <c r="AA361" s="21">
        <f>IF(X361&gt;$B$8+$B$9,0,ABS(X361-O361)/X361)</f>
        <v>2.1236039618000791E-2</v>
      </c>
    </row>
    <row r="362" spans="7:27" x14ac:dyDescent="0.2">
      <c r="G362" s="21"/>
      <c r="H362" s="21">
        <v>247</v>
      </c>
      <c r="I362">
        <f t="shared" si="64"/>
        <v>1.2330409861270975E-2</v>
      </c>
      <c r="J362">
        <f t="shared" si="65"/>
        <v>0.82728500354688339</v>
      </c>
      <c r="K362">
        <f t="shared" si="59"/>
        <v>35.162589495241818</v>
      </c>
      <c r="L362">
        <f>0.5*Z362*K362/J362/$B$7</f>
        <v>21.251799165031706</v>
      </c>
      <c r="M362">
        <f t="shared" si="62"/>
        <v>0.18960601993339316</v>
      </c>
      <c r="N362" s="21">
        <f t="shared" si="66"/>
        <v>3.7266538464127232E-2</v>
      </c>
      <c r="O362" s="21">
        <f t="shared" si="67"/>
        <v>9.7701039227819599</v>
      </c>
      <c r="P362">
        <f t="shared" si="63"/>
        <v>0.25601260428095723</v>
      </c>
      <c r="Q362">
        <f t="shared" si="60"/>
        <v>0.82728500354688339</v>
      </c>
      <c r="R362">
        <f t="shared" si="61"/>
        <v>-0.59960275297795806</v>
      </c>
      <c r="T362" s="21">
        <f>(M362-M361)/(H362-H361)</f>
        <v>4.5926458043812901E-4</v>
      </c>
      <c r="W362">
        <v>247</v>
      </c>
      <c r="X362">
        <v>9.5646009999999997</v>
      </c>
      <c r="Y362">
        <v>1</v>
      </c>
      <c r="Z362">
        <f t="shared" si="58"/>
        <v>1</v>
      </c>
      <c r="AA362" s="21">
        <f>IF(X362&gt;$B$8+$B$9,0,ABS(X362-O362)/X362)</f>
        <v>2.1485781035921966E-2</v>
      </c>
    </row>
    <row r="363" spans="7:27" x14ac:dyDescent="0.2">
      <c r="G363" s="21"/>
      <c r="H363" s="21">
        <v>248</v>
      </c>
      <c r="I363">
        <f t="shared" si="64"/>
        <v>1.2303465926387177E-2</v>
      </c>
      <c r="J363">
        <f t="shared" si="65"/>
        <v>0.82690557066538251</v>
      </c>
      <c r="K363">
        <f t="shared" si="59"/>
        <v>35.126887619691999</v>
      </c>
      <c r="L363">
        <f>0.5*Z363*K363/J363/$B$7</f>
        <v>21.239963102090726</v>
      </c>
      <c r="M363">
        <f t="shared" si="62"/>
        <v>0.1900647734701022</v>
      </c>
      <c r="N363" s="21">
        <f t="shared" si="66"/>
        <v>3.730651575849888E-2</v>
      </c>
      <c r="O363" s="21">
        <f t="shared" si="67"/>
        <v>9.7824073887083465</v>
      </c>
      <c r="P363">
        <f t="shared" si="63"/>
        <v>0.25657503141315607</v>
      </c>
      <c r="Q363">
        <f t="shared" si="60"/>
        <v>0.82690557066538251</v>
      </c>
      <c r="R363">
        <f t="shared" si="61"/>
        <v>-0.60089413335338593</v>
      </c>
      <c r="T363" s="21">
        <f>(M363-M362)/(H363-H362)</f>
        <v>4.5875353670904451E-4</v>
      </c>
      <c r="W363">
        <v>248</v>
      </c>
      <c r="X363">
        <v>9.598672999999998</v>
      </c>
      <c r="Y363">
        <v>1</v>
      </c>
      <c r="Z363">
        <f t="shared" si="58"/>
        <v>1</v>
      </c>
      <c r="AA363" s="21">
        <f>IF(X363&gt;$B$8+$B$9,0,ABS(X363-O363)/X363)</f>
        <v>1.9141644757389744E-2</v>
      </c>
    </row>
    <row r="364" spans="7:27" x14ac:dyDescent="0.2">
      <c r="G364" s="21"/>
      <c r="H364" s="21">
        <v>249</v>
      </c>
      <c r="I364">
        <f t="shared" si="64"/>
        <v>1.2276720327755722E-2</v>
      </c>
      <c r="J364">
        <f t="shared" si="65"/>
        <v>0.8265267309571146</v>
      </c>
      <c r="K364">
        <f t="shared" si="59"/>
        <v>35.091368158949059</v>
      </c>
      <c r="L364">
        <f>0.5*Z364*K364/J364/$B$7</f>
        <v>21.228211287439787</v>
      </c>
      <c r="M364">
        <f t="shared" si="62"/>
        <v>0.19052301988820536</v>
      </c>
      <c r="N364" s="21">
        <f t="shared" si="66"/>
        <v>3.7346385851994859E-2</v>
      </c>
      <c r="O364" s="21">
        <f t="shared" si="67"/>
        <v>9.794684109036103</v>
      </c>
      <c r="P364">
        <f t="shared" si="63"/>
        <v>0.25713657929440825</v>
      </c>
      <c r="Q364">
        <f t="shared" si="60"/>
        <v>0.8265267309571146</v>
      </c>
      <c r="R364">
        <f t="shared" si="61"/>
        <v>-0.60218905637646303</v>
      </c>
      <c r="T364" s="21">
        <f>(M364-M363)/(H364-H363)</f>
        <v>4.5824641810315869E-4</v>
      </c>
      <c r="W364">
        <v>249</v>
      </c>
      <c r="X364">
        <v>9.5873150000000003</v>
      </c>
      <c r="Y364">
        <v>1</v>
      </c>
      <c r="Z364">
        <f t="shared" si="58"/>
        <v>1</v>
      </c>
      <c r="AA364" s="21">
        <f>IF(X364&gt;$B$8+$B$9,0,ABS(X364-O364)/X364)</f>
        <v>2.1629529126361523E-2</v>
      </c>
    </row>
    <row r="365" spans="7:27" x14ac:dyDescent="0.2">
      <c r="G365" s="21"/>
      <c r="H365" s="21">
        <v>250</v>
      </c>
      <c r="I365">
        <f t="shared" si="64"/>
        <v>1.225017090731057E-2</v>
      </c>
      <c r="J365">
        <f t="shared" si="65"/>
        <v>0.82614848055541446</v>
      </c>
      <c r="K365">
        <f t="shared" si="59"/>
        <v>35.056029471803299</v>
      </c>
      <c r="L365">
        <f>0.5*Z365*K365/J365/$B$7</f>
        <v>21.216542968302349</v>
      </c>
      <c r="M365">
        <f t="shared" si="62"/>
        <v>0.19098076307412573</v>
      </c>
      <c r="N365" s="21">
        <f t="shared" si="66"/>
        <v>3.7386149519941694E-2</v>
      </c>
      <c r="O365" s="21">
        <f t="shared" si="67"/>
        <v>9.8069342799434143</v>
      </c>
      <c r="P365">
        <f t="shared" si="63"/>
        <v>0.25769725365620777</v>
      </c>
      <c r="Q365">
        <f t="shared" si="60"/>
        <v>0.82614848055541446</v>
      </c>
      <c r="R365">
        <f t="shared" si="61"/>
        <v>-0.60348754516585923</v>
      </c>
      <c r="T365" s="21">
        <f>(M365-M364)/(H365-H364)</f>
        <v>4.5774318592037289E-4</v>
      </c>
      <c r="W365">
        <v>250</v>
      </c>
      <c r="X365">
        <v>9.6019179999999977</v>
      </c>
      <c r="Y365">
        <v>1</v>
      </c>
      <c r="Z365">
        <f t="shared" si="58"/>
        <v>1</v>
      </c>
      <c r="AA365" s="21">
        <f>IF(X365&gt;$B$8+$B$9,0,ABS(X365-O365)/X365)</f>
        <v>2.1351596623030586E-2</v>
      </c>
    </row>
    <row r="366" spans="7:27" x14ac:dyDescent="0.2">
      <c r="G366" s="21"/>
      <c r="H366" s="21">
        <v>251</v>
      </c>
      <c r="I366">
        <f t="shared" si="64"/>
        <v>1.2223815539182037E-2</v>
      </c>
      <c r="J366">
        <f t="shared" si="65"/>
        <v>0.8257708156321959</v>
      </c>
      <c r="K366">
        <f t="shared" si="59"/>
        <v>35.02086993830931</v>
      </c>
      <c r="L366">
        <f>0.5*Z366*K366/J366/$B$7</f>
        <v>21.204957401829425</v>
      </c>
      <c r="M366">
        <f t="shared" si="62"/>
        <v>0.19143800687613238</v>
      </c>
      <c r="N366" s="21">
        <f t="shared" si="66"/>
        <v>3.7425807529191994E-2</v>
      </c>
      <c r="O366" s="21">
        <f t="shared" si="67"/>
        <v>9.8191580954825959</v>
      </c>
      <c r="P366">
        <f t="shared" si="63"/>
        <v>0.25825706017286432</v>
      </c>
      <c r="Q366">
        <f t="shared" si="60"/>
        <v>0.8257708156321959</v>
      </c>
      <c r="R366">
        <f t="shared" si="61"/>
        <v>-0.60478962294948657</v>
      </c>
      <c r="T366" s="21">
        <f>(M366-M365)/(H366-H365)</f>
        <v>4.572438020066516E-4</v>
      </c>
      <c r="W366">
        <v>251</v>
      </c>
      <c r="X366">
        <v>9.6165199999999977</v>
      </c>
      <c r="Y366">
        <v>1</v>
      </c>
      <c r="Z366">
        <f t="shared" si="58"/>
        <v>1</v>
      </c>
      <c r="AA366" s="21">
        <f>IF(X366&gt;$B$8+$B$9,0,ABS(X366-O366)/X366)</f>
        <v>2.1071873763336236E-2</v>
      </c>
    </row>
    <row r="367" spans="7:27" x14ac:dyDescent="0.2">
      <c r="G367" s="21"/>
      <c r="H367" s="21">
        <v>252</v>
      </c>
      <c r="I367">
        <f t="shared" si="64"/>
        <v>1.2197652129090509E-2</v>
      </c>
      <c r="J367">
        <f t="shared" si="65"/>
        <v>0.82539373239741087</v>
      </c>
      <c r="K367">
        <f t="shared" si="59"/>
        <v>34.985887959427252</v>
      </c>
      <c r="L367">
        <f>0.5*Z367*K367/J367/$B$7</f>
        <v>21.193453854930798</v>
      </c>
      <c r="M367">
        <f t="shared" si="62"/>
        <v>0.19189475510487863</v>
      </c>
      <c r="N367" s="21">
        <f t="shared" si="66"/>
        <v>3.7465360638250879E-2</v>
      </c>
      <c r="O367" s="21">
        <f t="shared" si="67"/>
        <v>9.8313557476116866</v>
      </c>
      <c r="P367">
        <f t="shared" si="63"/>
        <v>0.25881600446230357</v>
      </c>
      <c r="Q367">
        <f t="shared" si="60"/>
        <v>0.82539373239741087</v>
      </c>
      <c r="R367">
        <f t="shared" si="61"/>
        <v>-0.60609531306612541</v>
      </c>
      <c r="T367" s="21">
        <f>(M367-M366)/(H367-H366)</f>
        <v>4.5674822874625098E-4</v>
      </c>
      <c r="W367">
        <v>252</v>
      </c>
      <c r="X367">
        <v>9.6295000000000002</v>
      </c>
      <c r="Y367">
        <v>1</v>
      </c>
      <c r="Z367">
        <f t="shared" si="58"/>
        <v>1</v>
      </c>
      <c r="AA367" s="21">
        <f>IF(X367&gt;$B$8+$B$9,0,ABS(X367-O367)/X367)</f>
        <v>2.096222520501443E-2</v>
      </c>
    </row>
    <row r="368" spans="7:27" x14ac:dyDescent="0.2">
      <c r="G368" s="21"/>
      <c r="H368" s="21">
        <v>253</v>
      </c>
      <c r="I368">
        <f t="shared" si="64"/>
        <v>1.2171678613754072E-2</v>
      </c>
      <c r="J368">
        <f t="shared" si="65"/>
        <v>0.82501722709852021</v>
      </c>
      <c r="K368">
        <f t="shared" si="59"/>
        <v>34.951081956671587</v>
      </c>
      <c r="L368">
        <f>0.5*Z368*K368/J368/$B$7</f>
        <v>21.182031604109685</v>
      </c>
      <c r="M368">
        <f t="shared" si="62"/>
        <v>0.19235101153392839</v>
      </c>
      <c r="N368" s="21">
        <f t="shared" si="66"/>
        <v>3.7504809597400011E-2</v>
      </c>
      <c r="O368" s="21">
        <f t="shared" si="67"/>
        <v>9.8435274262254406</v>
      </c>
      <c r="P368">
        <f t="shared" si="63"/>
        <v>0.25937409208685297</v>
      </c>
      <c r="Q368">
        <f t="shared" si="60"/>
        <v>0.82501722709852021</v>
      </c>
      <c r="R368">
        <f t="shared" si="61"/>
        <v>-0.60740463896705266</v>
      </c>
      <c r="T368" s="21">
        <f>(M368-M367)/(H368-H367)</f>
        <v>4.5625642904975616E-4</v>
      </c>
      <c r="W368">
        <v>253</v>
      </c>
      <c r="X368">
        <v>9.6441020000000002</v>
      </c>
      <c r="Y368">
        <v>1</v>
      </c>
      <c r="Z368">
        <f t="shared" si="58"/>
        <v>1</v>
      </c>
      <c r="AA368" s="21">
        <f>IF(X368&gt;$B$8+$B$9,0,ABS(X368-O368)/X368)</f>
        <v>2.0678485796338575E-2</v>
      </c>
    </row>
    <row r="369" spans="7:27" x14ac:dyDescent="0.2">
      <c r="G369" s="21"/>
      <c r="H369" s="21">
        <v>254</v>
      </c>
      <c r="I369">
        <f t="shared" si="64"/>
        <v>1.2145892960309398E-2</v>
      </c>
      <c r="J369">
        <f t="shared" si="65"/>
        <v>0.82464129601997194</v>
      </c>
      <c r="K369">
        <f t="shared" si="59"/>
        <v>34.916450371767027</v>
      </c>
      <c r="L369">
        <f>0.5*Z369*K369/J369/$B$7</f>
        <v>21.170689935300903</v>
      </c>
      <c r="M369">
        <f t="shared" si="62"/>
        <v>0.19280677990027506</v>
      </c>
      <c r="N369" s="21">
        <f t="shared" si="66"/>
        <v>3.7544155148819376E-2</v>
      </c>
      <c r="O369" s="21">
        <f t="shared" si="67"/>
        <v>9.8556733191857493</v>
      </c>
      <c r="P369">
        <f t="shared" si="63"/>
        <v>0.25993132855401418</v>
      </c>
      <c r="Q369">
        <f t="shared" si="60"/>
        <v>0.82464129601997194</v>
      </c>
      <c r="R369">
        <f t="shared" si="61"/>
        <v>-0.60871762421767872</v>
      </c>
      <c r="T369" s="21">
        <f>(M369-M368)/(H369-H368)</f>
        <v>4.5576836634667051E-4</v>
      </c>
      <c r="W369">
        <v>254</v>
      </c>
      <c r="X369">
        <v>9.6603269999999988</v>
      </c>
      <c r="Y369">
        <v>1</v>
      </c>
      <c r="Z369">
        <f t="shared" si="58"/>
        <v>1</v>
      </c>
      <c r="AA369" s="21">
        <f>IF(X369&gt;$B$8+$B$9,0,ABS(X369-O369)/X369)</f>
        <v>2.0221501734439273E-2</v>
      </c>
    </row>
    <row r="370" spans="7:27" x14ac:dyDescent="0.2">
      <c r="G370" s="21"/>
      <c r="H370" s="21">
        <v>255</v>
      </c>
      <c r="I370">
        <f t="shared" si="64"/>
        <v>1.2120293165745812E-2</v>
      </c>
      <c r="J370">
        <f t="shared" si="65"/>
        <v>0.82426593548269</v>
      </c>
      <c r="K370">
        <f t="shared" si="59"/>
        <v>34.881991666311627</v>
      </c>
      <c r="L370">
        <f>0.5*Z370*K370/J370/$B$7</f>
        <v>21.159428143712343</v>
      </c>
      <c r="M370">
        <f t="shared" si="62"/>
        <v>0.19326206390485026</v>
      </c>
      <c r="N370" s="21">
        <f t="shared" si="66"/>
        <v>3.7583398026706766E-2</v>
      </c>
      <c r="O370" s="21">
        <f t="shared" si="67"/>
        <v>9.8677936123514947</v>
      </c>
      <c r="P370">
        <f t="shared" si="63"/>
        <v>0.26048771931722114</v>
      </c>
      <c r="Q370">
        <f t="shared" si="60"/>
        <v>0.82426593548269</v>
      </c>
      <c r="R370">
        <f t="shared" si="61"/>
        <v>-0.61003429249918562</v>
      </c>
      <c r="T370" s="21">
        <f>(M370-M369)/(H370-H369)</f>
        <v>4.5528400457520157E-4</v>
      </c>
      <c r="W370">
        <v>255</v>
      </c>
      <c r="X370">
        <v>9.6651950000000006</v>
      </c>
      <c r="Y370">
        <v>1</v>
      </c>
      <c r="Z370">
        <f t="shared" si="58"/>
        <v>1</v>
      </c>
      <c r="AA370" s="21">
        <f>IF(X370&gt;$B$8+$B$9,0,ABS(X370-O370)/X370)</f>
        <v>2.0961668373115493E-2</v>
      </c>
    </row>
    <row r="371" spans="7:27" x14ac:dyDescent="0.2">
      <c r="G371" s="21"/>
      <c r="H371" s="21">
        <v>256</v>
      </c>
      <c r="I371">
        <f t="shared" si="64"/>
        <v>1.2094877256351923E-2</v>
      </c>
      <c r="J371">
        <f t="shared" si="65"/>
        <v>0.82389114184357193</v>
      </c>
      <c r="K371">
        <f t="shared" si="59"/>
        <v>34.847704321446741</v>
      </c>
      <c r="L371">
        <f>0.5*Z371*K371/J371/$B$7</f>
        <v>21.148245533669726</v>
      </c>
      <c r="M371">
        <f t="shared" si="62"/>
        <v>0.19371686721302336</v>
      </c>
      <c r="N371" s="21">
        <f t="shared" si="66"/>
        <v>3.7622538957394938E-2</v>
      </c>
      <c r="O371" s="21">
        <f t="shared" si="67"/>
        <v>9.8798884896078469</v>
      </c>
      <c r="P371">
        <f t="shared" si="63"/>
        <v>0.2610432697765851</v>
      </c>
      <c r="Q371">
        <f t="shared" si="60"/>
        <v>0.82389114184357193</v>
      </c>
      <c r="R371">
        <f t="shared" si="61"/>
        <v>-0.61135466761017332</v>
      </c>
      <c r="T371" s="21">
        <f>(M371-M370)/(H371-H370)</f>
        <v>4.5480330817310177E-4</v>
      </c>
      <c r="W371">
        <v>256</v>
      </c>
      <c r="X371">
        <v>9.6716850000000001</v>
      </c>
      <c r="Y371">
        <v>1</v>
      </c>
      <c r="Z371">
        <f t="shared" si="58"/>
        <v>1</v>
      </c>
      <c r="AA371" s="21">
        <f>IF(X371&gt;$B$8+$B$9,0,ABS(X371-O371)/X371)</f>
        <v>2.1527116485684433E-2</v>
      </c>
    </row>
    <row r="372" spans="7:27" x14ac:dyDescent="0.2">
      <c r="G372" s="21"/>
      <c r="H372" s="21">
        <v>257</v>
      </c>
      <c r="I372">
        <f t="shared" si="64"/>
        <v>1.2069643287174867E-2</v>
      </c>
      <c r="J372">
        <f t="shared" si="65"/>
        <v>0.82351691149499451</v>
      </c>
      <c r="K372">
        <f t="shared" si="59"/>
        <v>34.813586837533734</v>
      </c>
      <c r="L372">
        <f>0.5*Z372*K372/J372/$B$7</f>
        <v>21.137141418464566</v>
      </c>
      <c r="M372">
        <f t="shared" si="62"/>
        <v>0.19417119345509337</v>
      </c>
      <c r="N372" s="21">
        <f t="shared" si="66"/>
        <v>3.7661578659466829E-2</v>
      </c>
      <c r="O372" s="21">
        <f t="shared" si="67"/>
        <v>9.8919581328950219</v>
      </c>
      <c r="P372">
        <f t="shared" si="63"/>
        <v>0.26159798527962635</v>
      </c>
      <c r="Q372">
        <f t="shared" si="60"/>
        <v>0.82351691149499451</v>
      </c>
      <c r="R372">
        <f t="shared" si="61"/>
        <v>-0.61267877346831034</v>
      </c>
      <c r="T372" s="21">
        <f>(M372-M371)/(H372-H371)</f>
        <v>4.5432624207000782E-4</v>
      </c>
      <c r="W372">
        <v>257</v>
      </c>
      <c r="X372">
        <v>9.6927769999999995</v>
      </c>
      <c r="Y372">
        <v>1</v>
      </c>
      <c r="Z372">
        <f t="shared" si="58"/>
        <v>1</v>
      </c>
      <c r="AA372" s="21">
        <f>IF(X372&gt;$B$8+$B$9,0,ABS(X372-O372)/X372)</f>
        <v>2.054943932941224E-2</v>
      </c>
    </row>
    <row r="373" spans="7:27" x14ac:dyDescent="0.2">
      <c r="G373" s="21"/>
      <c r="H373" s="21">
        <v>258</v>
      </c>
      <c r="I373">
        <f t="shared" si="64"/>
        <v>1.2044589341491255E-2</v>
      </c>
      <c r="J373">
        <f t="shared" si="65"/>
        <v>0.82314324086432966</v>
      </c>
      <c r="K373">
        <f t="shared" si="59"/>
        <v>34.779637733837326</v>
      </c>
      <c r="L373">
        <f>0.5*Z373*K373/J373/$B$7</f>
        <v>21.126115120205245</v>
      </c>
      <c r="M373">
        <f t="shared" si="62"/>
        <v>0.19462504622677013</v>
      </c>
      <c r="N373" s="21">
        <f t="shared" si="66"/>
        <v>3.7700517843868367E-2</v>
      </c>
      <c r="O373" s="21">
        <f t="shared" si="67"/>
        <v>9.9040027222365126</v>
      </c>
      <c r="P373">
        <f t="shared" si="63"/>
        <v>0.26215187112199317</v>
      </c>
      <c r="Q373">
        <f t="shared" si="60"/>
        <v>0.82314324086432966</v>
      </c>
      <c r="R373">
        <f t="shared" si="61"/>
        <v>-0.61400663411199063</v>
      </c>
      <c r="T373" s="21">
        <f>(M373-M372)/(H373-H372)</f>
        <v>4.5385277167675486E-4</v>
      </c>
      <c r="W373">
        <v>258</v>
      </c>
      <c r="X373">
        <v>9.7187370000000008</v>
      </c>
      <c r="Y373">
        <v>1</v>
      </c>
      <c r="Z373">
        <f t="shared" si="58"/>
        <v>1</v>
      </c>
      <c r="AA373" s="21">
        <f>IF(X373&gt;$B$8+$B$9,0,ABS(X373-O373)/X373)</f>
        <v>1.906273646838182E-2</v>
      </c>
    </row>
    <row r="374" spans="7:27" x14ac:dyDescent="0.2">
      <c r="G374" s="21"/>
      <c r="H374" s="21">
        <v>259</v>
      </c>
      <c r="I374">
        <f t="shared" si="64"/>
        <v>1.2019713530290299E-2</v>
      </c>
      <c r="J374">
        <f t="shared" si="65"/>
        <v>0.82277012641346692</v>
      </c>
      <c r="K374">
        <f t="shared" si="59"/>
        <v>34.745855548215253</v>
      </c>
      <c r="L374">
        <f>0.5*Z374*K374/J374/$B$7</f>
        <v>21.1151659696711</v>
      </c>
      <c r="M374">
        <f t="shared" si="62"/>
        <v>0.19507842908964967</v>
      </c>
      <c r="N374" s="21">
        <f t="shared" si="66"/>
        <v>3.7739357214019442E-2</v>
      </c>
      <c r="O374" s="21">
        <f t="shared" si="67"/>
        <v>9.9160224357668021</v>
      </c>
      <c r="P374">
        <f t="shared" si="63"/>
        <v>0.26270493254816857</v>
      </c>
      <c r="Q374">
        <f t="shared" si="60"/>
        <v>0.82277012641346692</v>
      </c>
      <c r="R374">
        <f t="shared" si="61"/>
        <v>-0.61533827370199867</v>
      </c>
      <c r="T374" s="21">
        <f>(M374-M373)/(H374-H373)</f>
        <v>4.5338286287954777E-4</v>
      </c>
      <c r="W374">
        <v>259</v>
      </c>
      <c r="X374">
        <v>9.7219820000000006</v>
      </c>
      <c r="Y374">
        <v>1</v>
      </c>
      <c r="Z374">
        <f t="shared" si="58"/>
        <v>1</v>
      </c>
      <c r="AA374" s="21">
        <f>IF(X374&gt;$B$8+$B$9,0,ABS(X374-O374)/X374)</f>
        <v>1.9958937978572837E-2</v>
      </c>
    </row>
    <row r="375" spans="7:27" x14ac:dyDescent="0.2">
      <c r="G375" s="21"/>
      <c r="H375" s="21">
        <v>260</v>
      </c>
      <c r="I375">
        <f t="shared" si="64"/>
        <v>1.199501399176793E-2</v>
      </c>
      <c r="J375">
        <f t="shared" si="65"/>
        <v>0.82239756463834568</v>
      </c>
      <c r="K375">
        <f t="shared" si="59"/>
        <v>34.712238836814308</v>
      </c>
      <c r="L375">
        <f>0.5*Z375*K375/J375/$B$7</f>
        <v>21.10429330616952</v>
      </c>
      <c r="M375">
        <f t="shared" si="62"/>
        <v>0.19553134557167928</v>
      </c>
      <c r="N375" s="21">
        <f t="shared" si="66"/>
        <v>3.7778097465922734E-2</v>
      </c>
      <c r="O375" s="21">
        <f t="shared" si="67"/>
        <v>9.9280174497585705</v>
      </c>
      <c r="P375">
        <f t="shared" si="63"/>
        <v>0.26325717475216398</v>
      </c>
      <c r="Q375">
        <f t="shared" si="60"/>
        <v>0.82239756463834568</v>
      </c>
      <c r="R375">
        <f t="shared" si="61"/>
        <v>-0.61667371652317793</v>
      </c>
      <c r="T375" s="21">
        <f>(M375-M374)/(H375-H374)</f>
        <v>4.5291648202960832E-4</v>
      </c>
      <c r="W375">
        <v>260</v>
      </c>
      <c r="X375">
        <v>9.7365840000000006</v>
      </c>
      <c r="Y375">
        <v>1</v>
      </c>
      <c r="Z375">
        <f t="shared" si="58"/>
        <v>1</v>
      </c>
      <c r="AA375" s="21">
        <f>IF(X375&gt;$B$8+$B$9,0,ABS(X375-O375)/X375)</f>
        <v>1.9661253860550055E-2</v>
      </c>
    </row>
    <row r="376" spans="7:27" x14ac:dyDescent="0.2">
      <c r="G376" s="21"/>
      <c r="H376" s="21">
        <v>261</v>
      </c>
      <c r="I376">
        <f t="shared" si="64"/>
        <v>1.1970488890832413E-2</v>
      </c>
      <c r="J376">
        <f t="shared" si="65"/>
        <v>0.82202555206849492</v>
      </c>
      <c r="K376">
        <f t="shared" si="59"/>
        <v>34.67878617377243</v>
      </c>
      <c r="L376">
        <f>0.5*Z376*K376/J376/$B$7</f>
        <v>21.093496477395895</v>
      </c>
      <c r="M376">
        <f t="shared" si="62"/>
        <v>0.19598379916761524</v>
      </c>
      <c r="N376" s="21">
        <f t="shared" si="66"/>
        <v>3.7816739288270541E-2</v>
      </c>
      <c r="O376" s="21">
        <f t="shared" si="67"/>
        <v>9.9399879386494021</v>
      </c>
      <c r="P376">
        <f t="shared" si="63"/>
        <v>0.26380860287820157</v>
      </c>
      <c r="Q376">
        <f t="shared" si="60"/>
        <v>0.82202555206849492</v>
      </c>
      <c r="R376">
        <f t="shared" si="61"/>
        <v>-0.61801298698610929</v>
      </c>
      <c r="T376" s="21">
        <f>(M376-M375)/(H376-H375)</f>
        <v>4.524535959359588E-4</v>
      </c>
      <c r="W376">
        <v>261</v>
      </c>
      <c r="X376">
        <v>9.7414519999999989</v>
      </c>
      <c r="Y376">
        <v>1</v>
      </c>
      <c r="Z376">
        <f t="shared" si="58"/>
        <v>1</v>
      </c>
      <c r="AA376" s="21">
        <f>IF(X376&gt;$B$8+$B$9,0,ABS(X376-O376)/X376)</f>
        <v>2.0380528349305961E-2</v>
      </c>
    </row>
    <row r="377" spans="7:27" x14ac:dyDescent="0.2">
      <c r="G377" s="21"/>
      <c r="H377" s="21">
        <v>262</v>
      </c>
      <c r="I377">
        <f t="shared" si="64"/>
        <v>1.1946136418620541E-2</v>
      </c>
      <c r="J377">
        <f t="shared" si="65"/>
        <v>0.82165408526658124</v>
      </c>
      <c r="K377">
        <f t="shared" si="59"/>
        <v>34.645496150926746</v>
      </c>
      <c r="L377">
        <f>0.5*Z377*K377/J377/$B$7</f>
        <v>21.082774839296395</v>
      </c>
      <c r="M377">
        <f t="shared" si="62"/>
        <v>0.19643579333947239</v>
      </c>
      <c r="N377" s="21">
        <f t="shared" si="66"/>
        <v>3.7855283362549744E-2</v>
      </c>
      <c r="O377" s="21">
        <f t="shared" si="67"/>
        <v>9.9519340750680225</v>
      </c>
      <c r="P377">
        <f t="shared" si="63"/>
        <v>0.26435922202138457</v>
      </c>
      <c r="Q377">
        <f t="shared" si="60"/>
        <v>0.82165408526658124</v>
      </c>
      <c r="R377">
        <f t="shared" si="61"/>
        <v>-0.61935610962879517</v>
      </c>
      <c r="T377" s="21">
        <f>(M377-M376)/(H377-H376)</f>
        <v>4.5199417185715074E-4</v>
      </c>
      <c r="W377">
        <v>262</v>
      </c>
      <c r="X377">
        <v>9.7592989999999986</v>
      </c>
      <c r="Y377">
        <v>1</v>
      </c>
      <c r="Z377">
        <f t="shared" si="58"/>
        <v>1</v>
      </c>
      <c r="AA377" s="21">
        <f>IF(X377&gt;$B$8+$B$9,0,ABS(X377-O377)/X377)</f>
        <v>1.9738618016316944E-2</v>
      </c>
    </row>
    <row r="378" spans="7:27" x14ac:dyDescent="0.2">
      <c r="G378" s="21"/>
      <c r="H378" s="21">
        <v>263</v>
      </c>
      <c r="I378">
        <f t="shared" si="64"/>
        <v>1.1921954792024609E-2</v>
      </c>
      <c r="J378">
        <f t="shared" si="65"/>
        <v>0.8212831608279636</v>
      </c>
      <c r="K378">
        <f t="shared" si="59"/>
        <v>34.612367377527555</v>
      </c>
      <c r="L378">
        <f>0.5*Z378*K378/J378/$B$7</f>
        <v>21.072127755933561</v>
      </c>
      <c r="M378">
        <f t="shared" si="62"/>
        <v>0.19688733151696711</v>
      </c>
      <c r="N378" s="21">
        <f t="shared" si="66"/>
        <v>3.7893730363144806E-2</v>
      </c>
      <c r="O378" s="21">
        <f t="shared" si="67"/>
        <v>9.9638560298600467</v>
      </c>
      <c r="P378">
        <f t="shared" si="63"/>
        <v>0.2649090372283559</v>
      </c>
      <c r="Q378">
        <f t="shared" si="60"/>
        <v>0.8212831608279636</v>
      </c>
      <c r="R378">
        <f t="shared" si="61"/>
        <v>-0.62070310911835236</v>
      </c>
      <c r="T378" s="21">
        <f>(M378-M377)/(H378-H377)</f>
        <v>4.515381774947147E-4</v>
      </c>
      <c r="W378">
        <v>263</v>
      </c>
      <c r="X378">
        <v>9.7820140000000002</v>
      </c>
      <c r="Y378">
        <v>1</v>
      </c>
      <c r="Z378">
        <f t="shared" si="58"/>
        <v>1</v>
      </c>
      <c r="AA378" s="21">
        <f>IF(X378&gt;$B$8+$B$9,0,ABS(X378-O378)/X378)</f>
        <v>1.8589426457582915E-2</v>
      </c>
    </row>
    <row r="379" spans="7:27" x14ac:dyDescent="0.2">
      <c r="G379" s="21"/>
      <c r="H379" s="21">
        <v>264</v>
      </c>
      <c r="I379">
        <f t="shared" si="64"/>
        <v>1.1897942253229566E-2</v>
      </c>
      <c r="J379">
        <f t="shared" si="65"/>
        <v>0.82091277538025764</v>
      </c>
      <c r="K379">
        <f t="shared" si="59"/>
        <v>34.579398479957824</v>
      </c>
      <c r="L379">
        <f>0.5*Z379*K379/J379/$B$7</f>
        <v>21.061554599354473</v>
      </c>
      <c r="M379">
        <f t="shared" si="62"/>
        <v>0.19733841709795033</v>
      </c>
      <c r="N379" s="21">
        <f t="shared" si="66"/>
        <v>3.7932080957438982E-2</v>
      </c>
      <c r="O379" s="21">
        <f t="shared" si="67"/>
        <v>9.9757539721132762</v>
      </c>
      <c r="P379">
        <f t="shared" si="63"/>
        <v>0.26545805349794604</v>
      </c>
      <c r="Q379">
        <f t="shared" si="60"/>
        <v>0.82091277538025764</v>
      </c>
      <c r="R379">
        <f t="shared" si="61"/>
        <v>-0.62205401025271201</v>
      </c>
      <c r="T379" s="21">
        <f>(M379-M378)/(H379-H378)</f>
        <v>4.5108558098322371E-4</v>
      </c>
      <c r="W379">
        <v>264</v>
      </c>
      <c r="X379">
        <v>9.7836359999999978</v>
      </c>
      <c r="Y379">
        <v>1</v>
      </c>
      <c r="Z379">
        <f t="shared" si="58"/>
        <v>1</v>
      </c>
      <c r="AA379" s="21">
        <f>IF(X379&gt;$B$8+$B$9,0,ABS(X379-O379)/X379)</f>
        <v>1.9636663926711751E-2</v>
      </c>
    </row>
    <row r="380" spans="7:27" x14ac:dyDescent="0.2">
      <c r="G380" s="21"/>
      <c r="H380" s="21">
        <v>265</v>
      </c>
      <c r="I380">
        <f t="shared" si="64"/>
        <v>1.1874097069260197E-2</v>
      </c>
      <c r="J380">
        <f t="shared" si="65"/>
        <v>0.82054292558290576</v>
      </c>
      <c r="K380">
        <f t="shared" si="59"/>
        <v>34.546588101458447</v>
      </c>
      <c r="L380">
        <f>0.5*Z380*K380/J380/$B$7</f>
        <v>21.051054749461695</v>
      </c>
      <c r="M380">
        <f t="shared" si="62"/>
        <v>0.19778905344883541</v>
      </c>
      <c r="N380" s="21">
        <f t="shared" si="66"/>
        <v>3.797033580591358E-2</v>
      </c>
      <c r="O380" s="21">
        <f t="shared" si="67"/>
        <v>9.9876280691825361</v>
      </c>
      <c r="P380">
        <f t="shared" si="63"/>
        <v>0.2660062757818088</v>
      </c>
      <c r="Q380">
        <f t="shared" si="60"/>
        <v>0.82054292558290576</v>
      </c>
      <c r="R380">
        <f t="shared" si="61"/>
        <v>-0.62340883796232727</v>
      </c>
      <c r="T380" s="21">
        <f>(M380-M379)/(H380-H379)</f>
        <v>4.5063635088507525E-4</v>
      </c>
      <c r="W380">
        <v>265</v>
      </c>
      <c r="X380">
        <v>9.7998609999999999</v>
      </c>
      <c r="Y380">
        <v>1</v>
      </c>
      <c r="Z380">
        <f t="shared" si="58"/>
        <v>1</v>
      </c>
      <c r="AA380" s="21">
        <f>IF(X380&gt;$B$8+$B$9,0,ABS(X380-O380)/X380)</f>
        <v>1.9160176780317208E-2</v>
      </c>
    </row>
    <row r="381" spans="7:27" x14ac:dyDescent="0.2">
      <c r="G381" s="21"/>
      <c r="H381" s="21">
        <v>266</v>
      </c>
      <c r="I381">
        <f t="shared" si="64"/>
        <v>1.1850417531538244E-2</v>
      </c>
      <c r="J381">
        <f t="shared" si="65"/>
        <v>0.82017360812675444</v>
      </c>
      <c r="K381">
        <f t="shared" si="59"/>
        <v>34.513934901858747</v>
      </c>
      <c r="L381">
        <f>0.5*Z381*K381/J381/$B$7</f>
        <v>21.040627593886661</v>
      </c>
      <c r="M381">
        <f t="shared" si="62"/>
        <v>0.19823924390501835</v>
      </c>
      <c r="N381" s="21">
        <f t="shared" si="66"/>
        <v>3.8008495562245614E-2</v>
      </c>
      <c r="O381" s="21">
        <f t="shared" si="67"/>
        <v>9.9994784867140751</v>
      </c>
      <c r="P381">
        <f t="shared" si="63"/>
        <v>0.26655370898504754</v>
      </c>
      <c r="Q381">
        <f t="shared" si="60"/>
        <v>0.82017360812675444</v>
      </c>
      <c r="R381">
        <f t="shared" si="61"/>
        <v>-0.62476761731189145</v>
      </c>
      <c r="T381" s="21">
        <f>(M381-M380)/(H381-H380)</f>
        <v>4.5019045618294173E-4</v>
      </c>
      <c r="W381">
        <v>266</v>
      </c>
      <c r="X381">
        <v>9.8160859999999985</v>
      </c>
      <c r="Y381">
        <v>1</v>
      </c>
      <c r="Z381">
        <f t="shared" si="58"/>
        <v>1</v>
      </c>
      <c r="AA381" s="21">
        <f>IF(X381&gt;$B$8+$B$9,0,ABS(X381-O381)/X381)</f>
        <v>1.8682852484592803E-2</v>
      </c>
    </row>
    <row r="382" spans="7:27" x14ac:dyDescent="0.2">
      <c r="G382" s="21"/>
      <c r="H382" s="21">
        <v>267</v>
      </c>
      <c r="I382">
        <f t="shared" si="64"/>
        <v>1.1826901955448865E-2</v>
      </c>
      <c r="J382">
        <f t="shared" si="65"/>
        <v>0.81980481973364061</v>
      </c>
      <c r="K382">
        <f t="shared" si="59"/>
        <v>34.481437557312383</v>
      </c>
      <c r="L382">
        <f>0.5*Z382*K382/J382/$B$7</f>
        <v>21.030272527865598</v>
      </c>
      <c r="M382">
        <f t="shared" si="62"/>
        <v>0.19868899177128913</v>
      </c>
      <c r="N382" s="21">
        <f t="shared" si="66"/>
        <v>3.804656087340362E-2</v>
      </c>
      <c r="O382" s="21">
        <f t="shared" si="67"/>
        <v>10.011305388669523</v>
      </c>
      <c r="P382">
        <f t="shared" si="63"/>
        <v>0.26710035796683002</v>
      </c>
      <c r="Q382">
        <f t="shared" si="60"/>
        <v>0.81980481973364061</v>
      </c>
      <c r="R382">
        <f t="shared" si="61"/>
        <v>-0.6261303735020638</v>
      </c>
      <c r="T382" s="21">
        <f>(M382-M381)/(H382-H381)</f>
        <v>4.4974786627077767E-4</v>
      </c>
      <c r="W382">
        <v>267</v>
      </c>
      <c r="X382">
        <v>9.829066000000001</v>
      </c>
      <c r="Y382">
        <v>1</v>
      </c>
      <c r="Z382">
        <f t="shared" ref="Z382:Z445" si="68">Y382</f>
        <v>1</v>
      </c>
      <c r="AA382" s="21">
        <f>IF(X382&gt;$B$8+$B$9,0,ABS(X382-O382)/X382)</f>
        <v>1.8540865293764672E-2</v>
      </c>
    </row>
    <row r="383" spans="7:27" x14ac:dyDescent="0.2">
      <c r="G383" s="21"/>
      <c r="H383" s="21">
        <v>268</v>
      </c>
      <c r="I383">
        <f t="shared" si="64"/>
        <v>1.1803548679916476E-2</v>
      </c>
      <c r="J383">
        <f t="shared" si="65"/>
        <v>0.81943655715598296</v>
      </c>
      <c r="K383">
        <f t="shared" si="59"/>
        <v>34.44909476003842</v>
      </c>
      <c r="L383">
        <f>0.5*Z383*K383/J383/$B$7</f>
        <v>21.019988954117956</v>
      </c>
      <c r="M383">
        <f t="shared" si="62"/>
        <v>0.19913830032223817</v>
      </c>
      <c r="N383" s="21">
        <f t="shared" si="66"/>
        <v>3.8084532379741763E-2</v>
      </c>
      <c r="O383" s="21">
        <f t="shared" si="67"/>
        <v>10.02310893734944</v>
      </c>
      <c r="P383">
        <f t="shared" si="63"/>
        <v>0.26764622754099265</v>
      </c>
      <c r="Q383">
        <f t="shared" si="60"/>
        <v>0.81943655715598296</v>
      </c>
      <c r="R383">
        <f t="shared" si="61"/>
        <v>-0.62749713187120293</v>
      </c>
      <c r="T383" s="21">
        <f>(M383-M382)/(H383-H382)</f>
        <v>4.4930855094904576E-4</v>
      </c>
      <c r="W383">
        <v>268</v>
      </c>
      <c r="X383">
        <v>9.8420459999999999</v>
      </c>
      <c r="Y383">
        <v>1</v>
      </c>
      <c r="Z383">
        <f t="shared" si="68"/>
        <v>1</v>
      </c>
      <c r="AA383" s="21">
        <f>IF(X383&gt;$B$8+$B$9,0,ABS(X383-O383)/X383)</f>
        <v>1.8396879810299575E-2</v>
      </c>
    </row>
    <row r="384" spans="7:27" x14ac:dyDescent="0.2">
      <c r="G384" s="21"/>
      <c r="H384" s="21">
        <v>269</v>
      </c>
      <c r="I384">
        <f t="shared" si="64"/>
        <v>1.1780356066989739E-2</v>
      </c>
      <c r="J384">
        <f t="shared" si="65"/>
        <v>0.81906881717638069</v>
      </c>
      <c r="K384">
        <f t="shared" si="59"/>
        <v>34.416905218067399</v>
      </c>
      <c r="L384">
        <f>0.5*Z384*K384/J384/$B$7</f>
        <v>21.009776282727145</v>
      </c>
      <c r="M384">
        <f t="shared" si="62"/>
        <v>0.19958717280265548</v>
      </c>
      <c r="N384" s="21">
        <f t="shared" si="66"/>
        <v>3.8122410715092314E-2</v>
      </c>
      <c r="O384" s="21">
        <f t="shared" si="67"/>
        <v>10.034889293416429</v>
      </c>
      <c r="P384">
        <f t="shared" si="63"/>
        <v>0.26819132247663574</v>
      </c>
      <c r="Q384">
        <f t="shared" si="60"/>
        <v>0.81906881717638069</v>
      </c>
      <c r="R384">
        <f t="shared" si="61"/>
        <v>-0.62886791789711349</v>
      </c>
      <c r="T384" s="21">
        <f>(M384-M383)/(H384-H383)</f>
        <v>4.488724804173061E-4</v>
      </c>
      <c r="W384">
        <v>269</v>
      </c>
      <c r="X384">
        <v>9.8485359999999993</v>
      </c>
      <c r="Y384">
        <v>1</v>
      </c>
      <c r="Z384">
        <f t="shared" si="68"/>
        <v>1</v>
      </c>
      <c r="AA384" s="21">
        <f>IF(X384&gt;$B$8+$B$9,0,ABS(X384-O384)/X384)</f>
        <v>1.8921928438544507E-2</v>
      </c>
    </row>
    <row r="385" spans="7:28" x14ac:dyDescent="0.2">
      <c r="G385" s="21"/>
      <c r="H385" s="21">
        <v>270</v>
      </c>
      <c r="I385">
        <f t="shared" si="64"/>
        <v>1.1757322501435241E-2</v>
      </c>
      <c r="J385">
        <f t="shared" si="65"/>
        <v>0.81870159660721986</v>
      </c>
      <c r="K385">
        <f t="shared" si="59"/>
        <v>34.384867654992433</v>
      </c>
      <c r="L385">
        <f>0.5*Z385*K385/J385/$B$7</f>
        <v>20.999633931023656</v>
      </c>
      <c r="M385">
        <f t="shared" si="62"/>
        <v>0.20003561242792189</v>
      </c>
      <c r="N385" s="21">
        <f t="shared" si="66"/>
        <v>3.8160196506856515E-2</v>
      </c>
      <c r="O385" s="21">
        <f t="shared" si="67"/>
        <v>10.046646615917863</v>
      </c>
      <c r="P385">
        <f t="shared" si="63"/>
        <v>0.2687356474987071</v>
      </c>
      <c r="Q385">
        <f t="shared" si="60"/>
        <v>0.81870159660721986</v>
      </c>
      <c r="R385">
        <f t="shared" si="61"/>
        <v>-0.63024275719879852</v>
      </c>
      <c r="T385" s="21">
        <f>(M385-M384)/(H385-H384)</f>
        <v>4.484396252664169E-4</v>
      </c>
      <c r="W385">
        <v>270</v>
      </c>
      <c r="X385">
        <v>9.8598929999999996</v>
      </c>
      <c r="Y385">
        <v>1</v>
      </c>
      <c r="Z385">
        <f t="shared" si="68"/>
        <v>1</v>
      </c>
      <c r="AA385" s="21">
        <f>IF(X385&gt;$B$8+$B$9,0,ABS(X385-O385)/X385)</f>
        <v>1.8940734541223091E-2</v>
      </c>
    </row>
    <row r="386" spans="7:28" x14ac:dyDescent="0.2">
      <c r="G386" s="21"/>
      <c r="H386" s="21">
        <v>271</v>
      </c>
      <c r="I386">
        <f t="shared" si="64"/>
        <v>1.1734446390339843E-2</v>
      </c>
      <c r="J386">
        <f t="shared" si="65"/>
        <v>0.81833489229028522</v>
      </c>
      <c r="K386">
        <f t="shared" si="59"/>
        <v>34.352980809725047</v>
      </c>
      <c r="L386">
        <f>0.5*Z386*K386/J386/$B$7</f>
        <v>20.989561323470447</v>
      </c>
      <c r="M386">
        <f t="shared" si="62"/>
        <v>0.20048362238439529</v>
      </c>
      <c r="N386" s="21">
        <f t="shared" si="66"/>
        <v>3.8197890376093779E-2</v>
      </c>
      <c r="O386" s="21">
        <f t="shared" si="67"/>
        <v>10.058381062308204</v>
      </c>
      <c r="P386">
        <f t="shared" si="63"/>
        <v>0.2692792072885774</v>
      </c>
      <c r="Q386">
        <f t="shared" si="60"/>
        <v>0.81833489229028522</v>
      </c>
      <c r="R386">
        <f t="shared" si="61"/>
        <v>-0.63162167553822468</v>
      </c>
      <c r="T386" s="21">
        <f>(M386-M385)/(H386-H385)</f>
        <v>4.480099564733997E-4</v>
      </c>
      <c r="W386">
        <v>271</v>
      </c>
      <c r="X386">
        <v>9.8761179999999982</v>
      </c>
      <c r="Y386">
        <v>1</v>
      </c>
      <c r="Z386">
        <f t="shared" si="68"/>
        <v>1</v>
      </c>
      <c r="AA386" s="21">
        <f>IF(X386&gt;$B$8+$B$9,0,ABS(X386-O386)/X386)</f>
        <v>1.8454929589561971E-2</v>
      </c>
    </row>
    <row r="387" spans="7:28" x14ac:dyDescent="0.2">
      <c r="G387" s="21"/>
      <c r="H387" s="21">
        <v>272</v>
      </c>
      <c r="I387">
        <f t="shared" si="64"/>
        <v>1.1711726162721552E-2</v>
      </c>
      <c r="J387">
        <f t="shared" si="65"/>
        <v>0.81796870109637909</v>
      </c>
      <c r="K387">
        <f t="shared" ref="K387:K450" si="69">IF(O387&lt;$B$8+$B$9,0.5*(($B$8+$B$9)^2+O387^2)/O387-$B$9,$B$8)</f>
        <v>34.32124343625577</v>
      </c>
      <c r="L387">
        <f>0.5*Z387*K387/J387/$B$7</f>
        <v>20.979557891550542</v>
      </c>
      <c r="M387">
        <f t="shared" si="62"/>
        <v>0.20093120582978943</v>
      </c>
      <c r="N387" s="21">
        <f t="shared" si="66"/>
        <v>3.8235492937609382E-2</v>
      </c>
      <c r="O387" s="21">
        <f t="shared" si="67"/>
        <v>10.070092788470925</v>
      </c>
      <c r="P387">
        <f t="shared" si="63"/>
        <v>0.26982200648460497</v>
      </c>
      <c r="Q387">
        <f t="shared" ref="Q387:Q450" si="70">1-B$15*P387</f>
        <v>0.81796870109637909</v>
      </c>
      <c r="R387">
        <f t="shared" ref="R387:R450" si="71">$E$15/(P387+$E$16)</f>
        <v>-0.63300469882209587</v>
      </c>
      <c r="T387" s="21">
        <f>(M387-M386)/(H387-H386)</f>
        <v>4.4758344539413963E-4</v>
      </c>
      <c r="W387">
        <v>272</v>
      </c>
      <c r="X387">
        <v>9.8988329999999998</v>
      </c>
      <c r="Y387">
        <v>1</v>
      </c>
      <c r="Z387">
        <f t="shared" si="68"/>
        <v>1</v>
      </c>
      <c r="AA387" s="21">
        <f>IF(X387&gt;$B$8+$B$9,0,ABS(X387-O387)/X387)</f>
        <v>1.7301007954263401E-2</v>
      </c>
    </row>
    <row r="388" spans="7:28" x14ac:dyDescent="0.2">
      <c r="G388" s="21"/>
      <c r="H388" s="21">
        <v>273</v>
      </c>
      <c r="I388">
        <f t="shared" si="64"/>
        <v>1.1689160269148333E-2</v>
      </c>
      <c r="J388">
        <f t="shared" si="65"/>
        <v>0.81760301992494622</v>
      </c>
      <c r="K388">
        <f t="shared" si="69"/>
        <v>34.289654303419333</v>
      </c>
      <c r="L388">
        <f>0.5*Z388*K388/J388/$B$7</f>
        <v>20.969623073656841</v>
      </c>
      <c r="M388">
        <f t="shared" ref="M388:M451" si="72">-LN(J388)</f>
        <v>0.20137836589354716</v>
      </c>
      <c r="N388" s="21">
        <f t="shared" si="66"/>
        <v>3.8273004800040658E-2</v>
      </c>
      <c r="O388" s="21">
        <f t="shared" si="67"/>
        <v>10.081781948740073</v>
      </c>
      <c r="P388">
        <f t="shared" ref="P388:P451" si="73">MIN(O388/(K388+$B$9),1)</f>
        <v>0.27036404968269195</v>
      </c>
      <c r="Q388">
        <f t="shared" si="70"/>
        <v>0.81760301992494622</v>
      </c>
      <c r="R388">
        <f t="shared" si="71"/>
        <v>-0.63439185310363955</v>
      </c>
      <c r="T388" s="21">
        <f>(M388-M387)/(H388-H387)</f>
        <v>4.4716006375772333E-4</v>
      </c>
      <c r="W388">
        <v>273</v>
      </c>
      <c r="X388">
        <v>9.8939649999999979</v>
      </c>
      <c r="Y388">
        <v>1</v>
      </c>
      <c r="Z388">
        <f t="shared" si="68"/>
        <v>1</v>
      </c>
      <c r="AA388" s="21">
        <f>IF(X388&gt;$B$8+$B$9,0,ABS(X388-O388)/X388)</f>
        <v>1.8982980912109024E-2</v>
      </c>
    </row>
    <row r="389" spans="7:28" x14ac:dyDescent="0.2">
      <c r="G389" s="21"/>
      <c r="H389" s="21">
        <v>274</v>
      </c>
      <c r="I389">
        <f t="shared" ref="I389:I452" si="74">IF(P388&lt;0.999,MAX(0,MIN(10000000,(L388/$E$8/M388^$E$10)^(1/$E$9)/N388)),0.1)</f>
        <v>1.1666747181365174E-2</v>
      </c>
      <c r="J389">
        <f t="shared" ref="J389:J452" si="75">Q389</f>
        <v>0.81723784570370517</v>
      </c>
      <c r="K389">
        <f t="shared" si="69"/>
        <v>34.258212194664345</v>
      </c>
      <c r="L389">
        <f>0.5*Z389*K389/J389/$B$7</f>
        <v>20.959756314984023</v>
      </c>
      <c r="M389">
        <f t="shared" si="72"/>
        <v>0.20182510567720674</v>
      </c>
      <c r="N389" s="21">
        <f t="shared" ref="N389:N452" si="76">-$B$15*(O389-2*(K389+$B$9))/(K389+$B$9)^2/J389</f>
        <v>3.8310426565941573E-2</v>
      </c>
      <c r="O389" s="21">
        <f t="shared" ref="O389:O452" si="77">O388+I389*(H389-H388)</f>
        <v>10.093448695921438</v>
      </c>
      <c r="P389">
        <f t="shared" si="73"/>
        <v>0.27090534143683082</v>
      </c>
      <c r="Q389">
        <f t="shared" si="70"/>
        <v>0.81723784570370517</v>
      </c>
      <c r="R389">
        <f t="shared" si="71"/>
        <v>-0.63578316458440232</v>
      </c>
      <c r="T389" s="21">
        <f>(M389-M388)/(H389-H388)</f>
        <v>4.4673978365958322E-4</v>
      </c>
      <c r="W389">
        <v>274</v>
      </c>
      <c r="X389">
        <v>9.9085679999999989</v>
      </c>
      <c r="Y389">
        <v>1</v>
      </c>
      <c r="Z389">
        <f t="shared" si="68"/>
        <v>1</v>
      </c>
      <c r="AA389" s="21">
        <f>IF(X389&gt;$B$8+$B$9,0,ABS(X389-O389)/X389)</f>
        <v>1.8658669539477282E-2</v>
      </c>
    </row>
    <row r="390" spans="7:28" x14ac:dyDescent="0.2">
      <c r="G390" s="21"/>
      <c r="H390" s="21">
        <v>275</v>
      </c>
      <c r="I390">
        <f t="shared" si="74"/>
        <v>1.1644485391928779E-2</v>
      </c>
      <c r="J390">
        <f t="shared" si="75"/>
        <v>0.81687317538828563</v>
      </c>
      <c r="K390">
        <f t="shared" si="69"/>
        <v>34.226915907827419</v>
      </c>
      <c r="L390">
        <f>0.5*Z390*K390/J390/$B$7</f>
        <v>20.949957067422542</v>
      </c>
      <c r="M390">
        <f t="shared" si="72"/>
        <v>0.20227142825476269</v>
      </c>
      <c r="N390" s="21">
        <f t="shared" si="76"/>
        <v>3.8347758831865995E-2</v>
      </c>
      <c r="O390" s="21">
        <f t="shared" si="77"/>
        <v>10.105093181313366</v>
      </c>
      <c r="P390">
        <f t="shared" si="73"/>
        <v>0.27144588625964167</v>
      </c>
      <c r="Q390">
        <f t="shared" si="70"/>
        <v>0.81687317538828563</v>
      </c>
      <c r="R390">
        <f t="shared" si="71"/>
        <v>-0.63717865961605702</v>
      </c>
      <c r="T390" s="21">
        <f>(M390-M389)/(H390-H389)</f>
        <v>4.4632257755594651E-4</v>
      </c>
      <c r="W390">
        <v>275</v>
      </c>
      <c r="X390">
        <v>9.9215470000000003</v>
      </c>
      <c r="Y390">
        <v>1</v>
      </c>
      <c r="Z390">
        <f t="shared" si="68"/>
        <v>1</v>
      </c>
      <c r="AA390" s="21">
        <f>IF(X390&gt;$B$8+$B$9,0,ABS(X390-O390)/X390)</f>
        <v>1.8499754253380633E-2</v>
      </c>
      <c r="AB390">
        <f>IF(OR(Z387&lt;&gt;Z393,X390&gt;$B$8+$B$9),0,((X393-X387)/(W393-W387)-(O393-O387)/(W393-W387))^2)</f>
        <v>6.4862376831037654E-7</v>
      </c>
    </row>
    <row r="391" spans="7:28" x14ac:dyDescent="0.2">
      <c r="G391" s="21"/>
      <c r="H391" s="21">
        <v>276</v>
      </c>
      <c r="I391">
        <f t="shared" si="74"/>
        <v>1.1622373413849994E-2</v>
      </c>
      <c r="J391">
        <f t="shared" si="75"/>
        <v>0.81650900596187126</v>
      </c>
      <c r="K391">
        <f t="shared" si="69"/>
        <v>34.195764254911509</v>
      </c>
      <c r="L391">
        <f>0.5*Z391*K391/J391/$B$7</f>
        <v>20.940224789454653</v>
      </c>
      <c r="M391">
        <f t="shared" si="72"/>
        <v>0.20271733667302089</v>
      </c>
      <c r="N391" s="21">
        <f t="shared" si="76"/>
        <v>3.8385002188449403E-2</v>
      </c>
      <c r="O391" s="21">
        <f t="shared" si="77"/>
        <v>10.116715554727216</v>
      </c>
      <c r="P391">
        <f t="shared" si="73"/>
        <v>0.27198568862290162</v>
      </c>
      <c r="Q391">
        <f t="shared" si="70"/>
        <v>0.81650900596187126</v>
      </c>
      <c r="R391">
        <f t="shared" si="71"/>
        <v>-0.63857836470222207</v>
      </c>
      <c r="T391" s="21">
        <f>(M391-M390)/(H391-H390)</f>
        <v>4.4590841825820071E-4</v>
      </c>
      <c r="W391">
        <v>276</v>
      </c>
      <c r="X391">
        <v>9.9393950000000011</v>
      </c>
      <c r="Y391">
        <v>1</v>
      </c>
      <c r="Z391">
        <f t="shared" si="68"/>
        <v>1</v>
      </c>
      <c r="AA391" s="21">
        <f>IF(X391&gt;$B$8+$B$9,0,ABS(X391-O391)/X391)</f>
        <v>1.7840175858512029E-2</v>
      </c>
      <c r="AB391">
        <f>IF(OR(Z388&lt;&gt;Z394,X391&gt;$B$8+$B$9),0,((X394-X388)/(W394-W388)-(O394-O388)/(W394-W388))^2)</f>
        <v>8.9445550680960035E-6</v>
      </c>
    </row>
    <row r="392" spans="7:28" x14ac:dyDescent="0.2">
      <c r="G392" s="21"/>
      <c r="H392" s="21">
        <v>277</v>
      </c>
      <c r="I392">
        <f t="shared" si="74"/>
        <v>1.1600409780243506E-2</v>
      </c>
      <c r="J392">
        <f t="shared" si="75"/>
        <v>0.81614533443484938</v>
      </c>
      <c r="K392">
        <f t="shared" si="69"/>
        <v>34.164756061868523</v>
      </c>
      <c r="L392">
        <f>0.5*Z392*K392/J392/$B$7</f>
        <v>20.930558946052397</v>
      </c>
      <c r="M392">
        <f t="shared" si="72"/>
        <v>0.20316283395194679</v>
      </c>
      <c r="N392" s="21">
        <f t="shared" si="76"/>
        <v>3.8422157220489285E-2</v>
      </c>
      <c r="O392" s="21">
        <f t="shared" si="77"/>
        <v>10.128315964507459</v>
      </c>
      <c r="P392">
        <f t="shared" si="73"/>
        <v>0.27252475295806478</v>
      </c>
      <c r="Q392">
        <f t="shared" si="70"/>
        <v>0.81614533443484938</v>
      </c>
      <c r="R392">
        <f t="shared" si="71"/>
        <v>-0.63998230650029275</v>
      </c>
      <c r="T392" s="21">
        <f>(M392-M391)/(H392-H391)</f>
        <v>4.454972789258993E-4</v>
      </c>
      <c r="W392">
        <v>277</v>
      </c>
      <c r="X392">
        <v>9.9491300000000003</v>
      </c>
      <c r="Y392">
        <v>1</v>
      </c>
      <c r="Z392">
        <f t="shared" si="68"/>
        <v>1</v>
      </c>
      <c r="AA392" s="21">
        <f>IF(X392&gt;$B$8+$B$9,0,ABS(X392-O392)/X392)</f>
        <v>1.8010214411456997E-2</v>
      </c>
      <c r="AB392">
        <f>IF(OR(Z389&lt;&gt;Z395,X392&gt;$B$8+$B$9),0,((X395-X389)/(W395-W389)-(O395-O389)/(W395-W389))^2)</f>
        <v>3.3501368856157587E-7</v>
      </c>
    </row>
    <row r="393" spans="7:28" x14ac:dyDescent="0.2">
      <c r="G393" s="21"/>
      <c r="H393" s="21">
        <v>278</v>
      </c>
      <c r="I393">
        <f t="shared" si="74"/>
        <v>1.1578593043984854E-2</v>
      </c>
      <c r="J393">
        <f t="shared" si="75"/>
        <v>0.81578215784446528</v>
      </c>
      <c r="K393">
        <f t="shared" si="69"/>
        <v>34.133890168386039</v>
      </c>
      <c r="L393">
        <f>0.5*Z393*K393/J393/$B$7</f>
        <v>20.920959008577576</v>
      </c>
      <c r="M393">
        <f t="shared" si="72"/>
        <v>0.20360792308500919</v>
      </c>
      <c r="N393" s="21">
        <f t="shared" si="76"/>
        <v>3.8459224507024055E-2</v>
      </c>
      <c r="O393" s="21">
        <f t="shared" si="77"/>
        <v>10.139894557551445</v>
      </c>
      <c r="P393">
        <f t="shared" si="73"/>
        <v>0.27306308365677373</v>
      </c>
      <c r="Q393">
        <f t="shared" si="70"/>
        <v>0.81578215784446528</v>
      </c>
      <c r="R393">
        <f t="shared" si="71"/>
        <v>-0.64139051182328299</v>
      </c>
      <c r="T393" s="21">
        <f>(M393-M392)/(H393-H392)</f>
        <v>4.4508913306240405E-4</v>
      </c>
      <c r="W393">
        <v>278</v>
      </c>
      <c r="X393">
        <v>9.9734669999999994</v>
      </c>
      <c r="Y393">
        <v>1</v>
      </c>
      <c r="Z393">
        <f t="shared" si="68"/>
        <v>1</v>
      </c>
      <c r="AA393" s="21">
        <f>IF(X393&gt;$B$8+$B$9,0,ABS(X393-O393)/X393)</f>
        <v>1.6687031455705981E-2</v>
      </c>
      <c r="AB393">
        <f>IF(OR(Z390&lt;&gt;Z396,X393&gt;$B$8+$B$9),0,((X396-X390)/(W396-W390)-(O396-O390)/(W396-W390))^2)</f>
        <v>4.942690401833723E-6</v>
      </c>
    </row>
    <row r="394" spans="7:28" x14ac:dyDescent="0.2">
      <c r="G394" s="21"/>
      <c r="H394" s="21">
        <v>279</v>
      </c>
      <c r="I394">
        <f t="shared" si="74"/>
        <v>1.1556921777374623E-2</v>
      </c>
      <c r="J394">
        <f t="shared" si="75"/>
        <v>0.81541947325448261</v>
      </c>
      <c r="K394">
        <f t="shared" si="69"/>
        <v>34.103165427677986</v>
      </c>
      <c r="L394">
        <f>0.5*Z394*K394/J394/$B$7</f>
        <v>20.911424454683583</v>
      </c>
      <c r="M394">
        <f t="shared" si="72"/>
        <v>0.20405260703951811</v>
      </c>
      <c r="N394" s="21">
        <f t="shared" si="76"/>
        <v>3.8496204621410728E-2</v>
      </c>
      <c r="O394" s="21">
        <f t="shared" si="77"/>
        <v>10.15145147932882</v>
      </c>
      <c r="P394">
        <f t="shared" si="73"/>
        <v>0.27360068507136331</v>
      </c>
      <c r="Q394">
        <f t="shared" si="70"/>
        <v>0.81541947325448261</v>
      </c>
      <c r="R394">
        <f t="shared" si="71"/>
        <v>-0.64280300764168163</v>
      </c>
      <c r="T394" s="21">
        <f>(M394-M393)/(H394-H393)</f>
        <v>4.4468395450891762E-4</v>
      </c>
      <c r="W394">
        <v>279</v>
      </c>
      <c r="X394">
        <v>9.981579</v>
      </c>
      <c r="Y394">
        <v>1</v>
      </c>
      <c r="Z394">
        <f t="shared" si="68"/>
        <v>1</v>
      </c>
      <c r="AA394" s="21">
        <f>IF(X394&gt;$B$8+$B$9,0,ABS(X394-O394)/X394)</f>
        <v>1.7018597892058961E-2</v>
      </c>
      <c r="AB394">
        <f>IF(OR(Z391&lt;&gt;Z397,X394&gt;$B$8+$B$9),0,((X397-X391)/(W397-W391)-(O397-O391)/(W397-W391))^2)</f>
        <v>1.7120153020296543E-5</v>
      </c>
    </row>
    <row r="395" spans="7:28" x14ac:dyDescent="0.2">
      <c r="G395" s="21"/>
      <c r="H395" s="21">
        <v>280</v>
      </c>
      <c r="I395">
        <f t="shared" si="74"/>
        <v>1.1535394571809307E-2</v>
      </c>
      <c r="J395">
        <f t="shared" si="75"/>
        <v>0.81505727775484949</v>
      </c>
      <c r="K395">
        <f t="shared" si="69"/>
        <v>34.072580706279297</v>
      </c>
      <c r="L395">
        <f>0.5*Z395*K395/J395/$B$7</f>
        <v>20.901954768219092</v>
      </c>
      <c r="M395">
        <f t="shared" si="72"/>
        <v>0.2044968887569564</v>
      </c>
      <c r="N395" s="21">
        <f t="shared" si="76"/>
        <v>3.8533098131401218E-2</v>
      </c>
      <c r="O395" s="21">
        <f t="shared" si="77"/>
        <v>10.16298687390063</v>
      </c>
      <c r="P395">
        <f t="shared" si="73"/>
        <v>0.27413756151535573</v>
      </c>
      <c r="Q395">
        <f t="shared" si="70"/>
        <v>0.81505727775484949</v>
      </c>
      <c r="R395">
        <f t="shared" si="71"/>
        <v>-0.6442198210853205</v>
      </c>
      <c r="T395" s="21">
        <f>(M395-M394)/(H395-H394)</f>
        <v>4.4428171743829403E-4</v>
      </c>
      <c r="W395">
        <v>280</v>
      </c>
      <c r="X395">
        <v>9.981579</v>
      </c>
      <c r="Y395">
        <v>1</v>
      </c>
      <c r="Z395">
        <f t="shared" si="68"/>
        <v>1</v>
      </c>
      <c r="AA395" s="21">
        <f>IF(X395&gt;$B$8+$B$9,0,ABS(X395-O395)/X395)</f>
        <v>1.8174266205840797E-2</v>
      </c>
      <c r="AB395">
        <f>IF(OR(Z392&lt;&gt;Z398,X395&gt;$B$8+$B$9),0,((X398-X392)/(W398-W392)-(O398-O392)/(W398-W392))^2)</f>
        <v>1.3933425689955433E-7</v>
      </c>
    </row>
    <row r="396" spans="7:28" x14ac:dyDescent="0.2">
      <c r="G396" s="21"/>
      <c r="H396" s="21">
        <v>281</v>
      </c>
      <c r="I396">
        <f t="shared" si="74"/>
        <v>1.1514010037459083E-2</v>
      </c>
      <c r="J396">
        <f t="shared" si="75"/>
        <v>0.81469556846136959</v>
      </c>
      <c r="K396">
        <f t="shared" si="69"/>
        <v>34.042134883844369</v>
      </c>
      <c r="L396">
        <f>0.5*Z396*K396/J396/$B$7</f>
        <v>20.89254943913356</v>
      </c>
      <c r="M396">
        <f t="shared" si="72"/>
        <v>0.20494077115330711</v>
      </c>
      <c r="N396" s="21">
        <f t="shared" si="76"/>
        <v>3.8569905599217365E-2</v>
      </c>
      <c r="O396" s="21">
        <f t="shared" si="77"/>
        <v>10.174500883938089</v>
      </c>
      <c r="P396">
        <f t="shared" si="73"/>
        <v>0.2746737172639479</v>
      </c>
      <c r="Q396">
        <f t="shared" si="70"/>
        <v>0.81469556846136959</v>
      </c>
      <c r="R396">
        <f t="shared" si="71"/>
        <v>-0.64564097944525534</v>
      </c>
      <c r="T396" s="21">
        <f>(M396-M395)/(H396-H395)</f>
        <v>4.4388239635070881E-4</v>
      </c>
      <c r="W396">
        <v>281</v>
      </c>
      <c r="X396">
        <v>10.004293999999998</v>
      </c>
      <c r="Y396">
        <v>1</v>
      </c>
      <c r="Z396">
        <f t="shared" si="68"/>
        <v>1</v>
      </c>
      <c r="AA396" s="21">
        <f>IF(X396&gt;$B$8+$B$9,0,ABS(X396-O396)/X396)</f>
        <v>1.7013382847214511E-2</v>
      </c>
      <c r="AB396">
        <f>IF(OR(Z393&lt;&gt;Z399,X396&gt;$B$8+$B$9),0,((X399-X393)/(W399-W393)-(O399-O393)/(W399-W393))^2)</f>
        <v>2.138689528012374E-8</v>
      </c>
    </row>
    <row r="397" spans="7:28" x14ac:dyDescent="0.2">
      <c r="G397" s="21"/>
      <c r="H397" s="21">
        <v>282</v>
      </c>
      <c r="I397">
        <f t="shared" si="74"/>
        <v>1.1492766802952043E-2</v>
      </c>
      <c r="J397">
        <f t="shared" si="75"/>
        <v>0.81433434251537862</v>
      </c>
      <c r="K397">
        <f t="shared" si="69"/>
        <v>34.011826852949305</v>
      </c>
      <c r="L397">
        <f>0.5*Z397*K397/J397/$B$7</f>
        <v>20.883207963384521</v>
      </c>
      <c r="M397">
        <f t="shared" si="72"/>
        <v>0.20538425711937494</v>
      </c>
      <c r="N397" s="21">
        <f t="shared" si="76"/>
        <v>3.860662758162467E-2</v>
      </c>
      <c r="O397" s="21">
        <f t="shared" si="77"/>
        <v>10.185993650741041</v>
      </c>
      <c r="P397">
        <f t="shared" si="73"/>
        <v>0.27520915655449107</v>
      </c>
      <c r="Q397">
        <f t="shared" si="70"/>
        <v>0.81433434251537862</v>
      </c>
      <c r="R397">
        <f t="shared" si="71"/>
        <v>-0.64706651017566086</v>
      </c>
      <c r="T397" s="21">
        <f>(M397-M396)/(H397-H396)</f>
        <v>4.4348596606783031E-4</v>
      </c>
      <c r="W397">
        <v>282</v>
      </c>
      <c r="X397">
        <v>10.033498999999999</v>
      </c>
      <c r="Y397">
        <v>1</v>
      </c>
      <c r="Z397">
        <f t="shared" si="68"/>
        <v>1</v>
      </c>
      <c r="AA397" s="21">
        <f>IF(X397&gt;$B$8+$B$9,0,ABS(X397-O397)/X397)</f>
        <v>1.5198551446613221E-2</v>
      </c>
      <c r="AB397">
        <f>IF(OR(Z394&lt;&gt;Z400,X397&gt;$B$8+$B$9),0,((X400-X394)/(W400-W394)-(O400-O394)/(W400-W394))^2)</f>
        <v>4.1552069069629468E-6</v>
      </c>
    </row>
    <row r="398" spans="7:28" x14ac:dyDescent="0.2">
      <c r="G398" s="21"/>
      <c r="H398" s="21">
        <v>283</v>
      </c>
      <c r="I398">
        <f t="shared" si="74"/>
        <v>1.1471663515064923E-2</v>
      </c>
      <c r="J398">
        <f t="shared" si="75"/>
        <v>0.81397359708342565</v>
      </c>
      <c r="K398">
        <f t="shared" si="69"/>
        <v>33.981655518897796</v>
      </c>
      <c r="L398">
        <f>0.5*Z398*K398/J398/$B$7</f>
        <v>20.873929842846582</v>
      </c>
      <c r="M398">
        <f t="shared" si="72"/>
        <v>0.20582734952110329</v>
      </c>
      <c r="N398" s="21">
        <f t="shared" si="76"/>
        <v>3.8643264630004844E-2</v>
      </c>
      <c r="O398" s="21">
        <f t="shared" si="77"/>
        <v>10.197465314256107</v>
      </c>
      <c r="P398">
        <f t="shared" si="73"/>
        <v>0.27574388358696261</v>
      </c>
      <c r="Q398">
        <f t="shared" si="70"/>
        <v>0.81397359708342565</v>
      </c>
      <c r="R398">
        <f t="shared" si="71"/>
        <v>-0.64849644089573921</v>
      </c>
      <c r="T398" s="21">
        <f>(M398-M397)/(H398-H397)</f>
        <v>4.4309240172835107E-4</v>
      </c>
      <c r="W398">
        <v>283</v>
      </c>
      <c r="X398">
        <v>10.020519</v>
      </c>
      <c r="Y398">
        <v>1</v>
      </c>
      <c r="Z398">
        <f t="shared" si="68"/>
        <v>1</v>
      </c>
      <c r="AA398" s="21">
        <f>IF(X398&gt;$B$8+$B$9,0,ABS(X398-O398)/X398)</f>
        <v>1.7658398158429369E-2</v>
      </c>
      <c r="AB398">
        <f>IF(OR(Z395&lt;&gt;Z401,X398&gt;$B$8+$B$9),0,((X401-X395)/(W401-W395)-(O401-O395)/(W401-W395))^2)</f>
        <v>2.0188261059032539E-5</v>
      </c>
    </row>
    <row r="399" spans="7:28" x14ac:dyDescent="0.2">
      <c r="G399" s="21"/>
      <c r="H399" s="21">
        <v>284</v>
      </c>
      <c r="I399">
        <f t="shared" si="74"/>
        <v>1.1450698838420028E-2</v>
      </c>
      <c r="J399">
        <f t="shared" si="75"/>
        <v>0.81361332935696096</v>
      </c>
      <c r="K399">
        <f t="shared" si="69"/>
        <v>33.951619799530619</v>
      </c>
      <c r="L399">
        <f>0.5*Z399*K399/J399/$B$7</f>
        <v>20.864714585222117</v>
      </c>
      <c r="M399">
        <f t="shared" si="72"/>
        <v>0.20627005119988431</v>
      </c>
      <c r="N399" s="21">
        <f t="shared" si="76"/>
        <v>3.8679817290427056E-2</v>
      </c>
      <c r="O399" s="21">
        <f t="shared" si="77"/>
        <v>10.208916013094527</v>
      </c>
      <c r="P399">
        <f t="shared" si="73"/>
        <v>0.27627790252443024</v>
      </c>
      <c r="Q399">
        <f t="shared" si="70"/>
        <v>0.81361332935696096</v>
      </c>
      <c r="R399">
        <f t="shared" si="71"/>
        <v>-0.64993079939164144</v>
      </c>
      <c r="T399" s="21">
        <f>(M399-M398)/(H399-H398)</f>
        <v>4.4270167878102118E-4</v>
      </c>
      <c r="W399">
        <v>284</v>
      </c>
      <c r="X399">
        <v>10.041611</v>
      </c>
      <c r="Y399">
        <v>1</v>
      </c>
      <c r="Z399">
        <f t="shared" si="68"/>
        <v>1</v>
      </c>
      <c r="AA399" s="21">
        <f>IF(X399&gt;$B$8+$B$9,0,ABS(X399-O399)/X399)</f>
        <v>1.6661172504544047E-2</v>
      </c>
      <c r="AB399">
        <f>IF(OR(Z396&lt;&gt;Z402,X399&gt;$B$8+$B$9),0,((X402-X396)/(W402-W396)-(O402-O396)/(W402-W396))^2)</f>
        <v>3.2756149017137754E-6</v>
      </c>
    </row>
    <row r="400" spans="7:28" x14ac:dyDescent="0.2">
      <c r="G400" s="21"/>
      <c r="H400" s="21">
        <v>285</v>
      </c>
      <c r="I400">
        <f t="shared" si="74"/>
        <v>1.142987145518827E-2</v>
      </c>
      <c r="J400">
        <f t="shared" si="75"/>
        <v>0.81325353655202637</v>
      </c>
      <c r="K400">
        <f t="shared" si="69"/>
        <v>33.921718625038629</v>
      </c>
      <c r="L400">
        <f>0.5*Z400*K400/J400/$B$7</f>
        <v>20.855561703953654</v>
      </c>
      <c r="M400">
        <f t="shared" si="72"/>
        <v>0.20671236497286713</v>
      </c>
      <c r="N400" s="21">
        <f t="shared" si="76"/>
        <v>3.8716286103718099E-2</v>
      </c>
      <c r="O400" s="21">
        <f t="shared" si="77"/>
        <v>10.220345884549715</v>
      </c>
      <c r="P400">
        <f t="shared" si="73"/>
        <v>0.27681121749350912</v>
      </c>
      <c r="Q400">
        <f t="shared" si="70"/>
        <v>0.81325353655202637</v>
      </c>
      <c r="R400">
        <f t="shared" si="71"/>
        <v>-0.65136961361840495</v>
      </c>
      <c r="T400" s="21">
        <f>(M400-M399)/(H400-H399)</f>
        <v>4.4231377298281638E-4</v>
      </c>
      <c r="W400">
        <v>285</v>
      </c>
      <c r="X400">
        <v>10.062704</v>
      </c>
      <c r="Y400">
        <v>1</v>
      </c>
      <c r="Z400">
        <f t="shared" si="68"/>
        <v>1</v>
      </c>
      <c r="AA400" s="21">
        <f>IF(X400&gt;$B$8+$B$9,0,ABS(X400-O400)/X400)</f>
        <v>1.566595664045322E-2</v>
      </c>
      <c r="AB400">
        <f>IF(OR(Z397&lt;&gt;Z403,X400&gt;$B$8+$B$9),0,((X403-X397)/(W403-W397)-(O403-O397)/(W403-W397))^2)</f>
        <v>3.822831416145542E-6</v>
      </c>
    </row>
    <row r="401" spans="7:28" x14ac:dyDescent="0.2">
      <c r="G401" s="21"/>
      <c r="H401" s="21">
        <v>286</v>
      </c>
      <c r="I401">
        <f t="shared" si="74"/>
        <v>1.1409180064798262E-2</v>
      </c>
      <c r="J401">
        <f t="shared" si="75"/>
        <v>0.81289421590895272</v>
      </c>
      <c r="K401">
        <f t="shared" si="69"/>
        <v>33.891950937779185</v>
      </c>
      <c r="L401">
        <f>0.5*Z401*K401/J401/$B$7</f>
        <v>20.84647071813783</v>
      </c>
      <c r="M401">
        <f t="shared" si="72"/>
        <v>0.20715429363325832</v>
      </c>
      <c r="N401" s="21">
        <f t="shared" si="76"/>
        <v>3.875267160553128E-2</v>
      </c>
      <c r="O401" s="21">
        <f t="shared" si="77"/>
        <v>10.231755064614514</v>
      </c>
      <c r="P401">
        <f t="shared" si="73"/>
        <v>0.2773438325848116</v>
      </c>
      <c r="Q401">
        <f t="shared" si="70"/>
        <v>0.81289421590895272</v>
      </c>
      <c r="R401">
        <f t="shared" si="71"/>
        <v>-0.65281291170190459</v>
      </c>
      <c r="T401" s="21">
        <f>(M401-M400)/(H401-H400)</f>
        <v>4.4192866039119427E-4</v>
      </c>
      <c r="W401">
        <v>286</v>
      </c>
      <c r="X401">
        <v>10.077306</v>
      </c>
      <c r="Y401">
        <v>1</v>
      </c>
      <c r="Z401">
        <f t="shared" si="68"/>
        <v>1</v>
      </c>
      <c r="AA401" s="21">
        <f>IF(X401&gt;$B$8+$B$9,0,ABS(X401-O401)/X401)</f>
        <v>1.5326424008015063E-2</v>
      </c>
      <c r="AB401">
        <f>IF(OR(Z398&lt;&gt;Z404,X401&gt;$B$8+$B$9),0,((X404-X398)/(W404-W398)-(O404-O398)/(W404-W398))^2)</f>
        <v>8.6020168083619278E-6</v>
      </c>
    </row>
    <row r="402" spans="7:28" x14ac:dyDescent="0.2">
      <c r="G402" s="21"/>
      <c r="H402" s="21">
        <v>287</v>
      </c>
      <c r="I402">
        <f t="shared" si="74"/>
        <v>1.1388623383651103E-2</v>
      </c>
      <c r="J402">
        <f t="shared" si="75"/>
        <v>0.81253536469206122</v>
      </c>
      <c r="K402">
        <f t="shared" si="69"/>
        <v>33.862315692095947</v>
      </c>
      <c r="L402">
        <f>0.5*Z402*K402/J402/$B$7</f>
        <v>20.837441152440952</v>
      </c>
      <c r="M402">
        <f t="shared" si="72"/>
        <v>0.20759583995061898</v>
      </c>
      <c r="N402" s="21">
        <f t="shared" si="76"/>
        <v>3.8788974326414268E-2</v>
      </c>
      <c r="O402" s="21">
        <f t="shared" si="77"/>
        <v>10.243143687998165</v>
      </c>
      <c r="P402">
        <f t="shared" si="73"/>
        <v>0.27787575185338964</v>
      </c>
      <c r="Q402">
        <f t="shared" si="70"/>
        <v>0.81253536469206122</v>
      </c>
      <c r="R402">
        <f t="shared" si="71"/>
        <v>-0.6542607219408183</v>
      </c>
      <c r="T402" s="21">
        <f>(M402-M401)/(H402-H401)</f>
        <v>4.4154631736065264E-4</v>
      </c>
      <c r="W402">
        <v>287</v>
      </c>
      <c r="X402">
        <v>10.083796</v>
      </c>
      <c r="Y402">
        <v>1</v>
      </c>
      <c r="Z402">
        <f t="shared" si="68"/>
        <v>1</v>
      </c>
      <c r="AA402" s="21">
        <f>IF(X402&gt;$B$8+$B$9,0,ABS(X402-O402)/X402)</f>
        <v>1.5802351415891938E-2</v>
      </c>
      <c r="AB402">
        <f>IF(OR(Z399&lt;&gt;Z405,X402&gt;$B$8+$B$9),0,((X405-X399)/(W405-W399)-(O405-O399)/(W405-W399))^2)</f>
        <v>6.212280791961043E-8</v>
      </c>
    </row>
    <row r="403" spans="7:28" x14ac:dyDescent="0.2">
      <c r="G403" s="21"/>
      <c r="H403" s="21">
        <v>288</v>
      </c>
      <c r="I403">
        <f t="shared" si="74"/>
        <v>1.1368200144840919E-2</v>
      </c>
      <c r="J403">
        <f t="shared" si="75"/>
        <v>0.8121769801893689</v>
      </c>
      <c r="K403">
        <f t="shared" si="69"/>
        <v>33.832811854141937</v>
      </c>
      <c r="L403">
        <f>0.5*Z403*K403/J403/$B$7</f>
        <v>20.828472537016136</v>
      </c>
      <c r="M403">
        <f t="shared" si="72"/>
        <v>0.20803700667115757</v>
      </c>
      <c r="N403" s="21">
        <f t="shared" si="76"/>
        <v>3.8825194791875739E-2</v>
      </c>
      <c r="O403" s="21">
        <f t="shared" si="77"/>
        <v>10.254511888143005</v>
      </c>
      <c r="P403">
        <f t="shared" si="73"/>
        <v>0.27840697931917086</v>
      </c>
      <c r="Q403">
        <f t="shared" si="70"/>
        <v>0.8121769801893689</v>
      </c>
      <c r="R403">
        <f t="shared" si="71"/>
        <v>-0.65571307280860924</v>
      </c>
      <c r="T403" s="21">
        <f>(M403-M402)/(H403-H402)</f>
        <v>4.4116672053859385E-4</v>
      </c>
      <c r="W403">
        <v>288</v>
      </c>
      <c r="X403">
        <v>10.090285999999999</v>
      </c>
      <c r="Y403">
        <v>1</v>
      </c>
      <c r="Z403">
        <f t="shared" si="68"/>
        <v>1</v>
      </c>
      <c r="AA403" s="21">
        <f>IF(X403&gt;$B$8+$B$9,0,ABS(X403-O403)/X403)</f>
        <v>1.6275642547991836E-2</v>
      </c>
      <c r="AB403">
        <f>IF(OR(Z400&lt;&gt;Z406,X403&gt;$B$8+$B$9),0,((X406-X400)/(W406-W400)-(O406-O400)/(W406-W400))^2)</f>
        <v>1.1719434997413665E-6</v>
      </c>
    </row>
    <row r="404" spans="7:28" x14ac:dyDescent="0.2">
      <c r="G404" s="21"/>
      <c r="H404" s="21">
        <v>289</v>
      </c>
      <c r="I404">
        <f t="shared" si="74"/>
        <v>1.1347909097880984E-2</v>
      </c>
      <c r="J404">
        <f t="shared" si="75"/>
        <v>0.81181905971229984</v>
      </c>
      <c r="K404">
        <f t="shared" si="69"/>
        <v>33.80343840170584</v>
      </c>
      <c r="L404">
        <f>0.5*Z404*K404/J404/$B$7</f>
        <v>20.819564407421911</v>
      </c>
      <c r="M404">
        <f t="shared" si="72"/>
        <v>0.20847779651801698</v>
      </c>
      <c r="N404" s="21">
        <f t="shared" si="76"/>
        <v>3.8861333522450955E-2</v>
      </c>
      <c r="O404" s="21">
        <f t="shared" si="77"/>
        <v>10.265859797240886</v>
      </c>
      <c r="P404">
        <f t="shared" si="73"/>
        <v>0.27893751896738711</v>
      </c>
      <c r="Q404">
        <f t="shared" si="70"/>
        <v>0.81181905971229984</v>
      </c>
      <c r="R404">
        <f t="shared" si="71"/>
        <v>-0.65716999295552236</v>
      </c>
      <c r="T404" s="21">
        <f>(M404-M403)/(H404-H403)</f>
        <v>4.4078984685941291E-4</v>
      </c>
      <c r="W404">
        <v>289</v>
      </c>
      <c r="X404">
        <v>10.106511000000001</v>
      </c>
      <c r="Y404">
        <v>1</v>
      </c>
      <c r="Z404">
        <f t="shared" si="68"/>
        <v>1</v>
      </c>
      <c r="AA404" s="21">
        <f>IF(X404&gt;$B$8+$B$9,0,ABS(X404-O404)/X404)</f>
        <v>1.5766944422351537E-2</v>
      </c>
      <c r="AB404">
        <f>IF(OR(Z401&lt;&gt;Z407,X404&gt;$B$8+$B$9),0,((X407-X401)/(W407-W401)-(O407-O401)/(W407-W401))^2)</f>
        <v>1.2121947108081487E-6</v>
      </c>
    </row>
    <row r="405" spans="7:28" x14ac:dyDescent="0.2">
      <c r="G405" s="21"/>
      <c r="H405" s="21">
        <v>290</v>
      </c>
      <c r="I405">
        <f t="shared" si="74"/>
        <v>1.1327749008435301E-2</v>
      </c>
      <c r="J405">
        <f t="shared" si="75"/>
        <v>0.81146160059540051</v>
      </c>
      <c r="K405">
        <f t="shared" si="69"/>
        <v>33.774194324041432</v>
      </c>
      <c r="L405">
        <f>0.5*Z405*K405/J405/$B$7</f>
        <v>20.810716304542328</v>
      </c>
      <c r="M405">
        <f t="shared" si="72"/>
        <v>0.20891821219155735</v>
      </c>
      <c r="N405" s="21">
        <f t="shared" si="76"/>
        <v>3.8897391033766285E-2</v>
      </c>
      <c r="O405" s="21">
        <f t="shared" si="77"/>
        <v>10.277187546249321</v>
      </c>
      <c r="P405">
        <f t="shared" si="73"/>
        <v>0.27946737474899691</v>
      </c>
      <c r="Q405">
        <f t="shared" si="70"/>
        <v>0.81146160059540051</v>
      </c>
      <c r="R405">
        <f t="shared" si="71"/>
        <v>-0.6586315112105976</v>
      </c>
      <c r="T405" s="21">
        <f>(M405-M404)/(H405-H404)</f>
        <v>4.4041567354036193E-4</v>
      </c>
      <c r="W405">
        <v>290</v>
      </c>
      <c r="X405">
        <v>10.111377999999998</v>
      </c>
      <c r="Y405">
        <v>1</v>
      </c>
      <c r="Z405">
        <f t="shared" si="68"/>
        <v>1</v>
      </c>
      <c r="AA405" s="21">
        <f>IF(X405&gt;$B$8+$B$9,0,ABS(X405-O405)/X405)</f>
        <v>1.6398313488954975E-2</v>
      </c>
      <c r="AB405">
        <f>IF(OR(Z402&lt;&gt;Z408,X405&gt;$B$8+$B$9),0,((X408-X402)/(W408-W402)-(O408-O402)/(W408-W402))^2)</f>
        <v>1.0787462763730419E-5</v>
      </c>
    </row>
    <row r="406" spans="7:28" x14ac:dyDescent="0.2">
      <c r="G406" s="21"/>
      <c r="H406" s="21">
        <v>291</v>
      </c>
      <c r="I406">
        <f t="shared" si="74"/>
        <v>1.1307718658055297E-2</v>
      </c>
      <c r="J406">
        <f t="shared" si="75"/>
        <v>0.81110460019605846</v>
      </c>
      <c r="K406">
        <f t="shared" si="69"/>
        <v>33.745078621700102</v>
      </c>
      <c r="L406">
        <f>0.5*Z406*K406/J406/$B$7</f>
        <v>20.801927774508563</v>
      </c>
      <c r="M406">
        <f t="shared" si="72"/>
        <v>0.20935825636963609</v>
      </c>
      <c r="N406" s="21">
        <f t="shared" si="76"/>
        <v>3.8933367836602707E-2</v>
      </c>
      <c r="O406" s="21">
        <f t="shared" si="77"/>
        <v>10.288495264907377</v>
      </c>
      <c r="P406">
        <f t="shared" si="73"/>
        <v>0.27999655058110079</v>
      </c>
      <c r="Q406">
        <f t="shared" si="70"/>
        <v>0.81110460019605846</v>
      </c>
      <c r="R406">
        <f t="shared" si="71"/>
        <v>-0.66009765658369834</v>
      </c>
      <c r="T406" s="21">
        <f>(M406-M405)/(H406-H405)</f>
        <v>4.4004417807874674E-4</v>
      </c>
      <c r="W406">
        <v>291</v>
      </c>
      <c r="X406">
        <v>10.124358000000001</v>
      </c>
      <c r="Y406">
        <v>1</v>
      </c>
      <c r="Z406">
        <f t="shared" si="68"/>
        <v>1</v>
      </c>
      <c r="AA406" s="21">
        <f>IF(X406&gt;$B$8+$B$9,0,ABS(X406-O406)/X406)</f>
        <v>1.621211586032183E-2</v>
      </c>
      <c r="AB406">
        <f>IF(OR(Z403&lt;&gt;Z409,X406&gt;$B$8+$B$9),0,((X409-X403)/(W409-W403)-(O409-O403)/(W409-W403))^2)</f>
        <v>4.4494985858203466E-8</v>
      </c>
    </row>
    <row r="407" spans="7:28" x14ac:dyDescent="0.2">
      <c r="G407" s="21"/>
      <c r="H407" s="21">
        <v>292</v>
      </c>
      <c r="I407">
        <f t="shared" si="74"/>
        <v>1.1287816843921933E-2</v>
      </c>
      <c r="J407">
        <f t="shared" si="75"/>
        <v>0.81074805589422727</v>
      </c>
      <c r="K407">
        <f t="shared" si="69"/>
        <v>33.716090306366368</v>
      </c>
      <c r="L407">
        <f>0.5*Z407*K407/J407/$B$7</f>
        <v>20.793198368621852</v>
      </c>
      <c r="M407">
        <f t="shared" si="72"/>
        <v>0.209797931707881</v>
      </c>
      <c r="N407" s="21">
        <f t="shared" si="76"/>
        <v>3.8969264436958112E-2</v>
      </c>
      <c r="O407" s="21">
        <f t="shared" si="77"/>
        <v>10.299783081751299</v>
      </c>
      <c r="P407">
        <f t="shared" si="73"/>
        <v>0.28052505034735065</v>
      </c>
      <c r="Q407">
        <f t="shared" si="70"/>
        <v>0.81074805589422727</v>
      </c>
      <c r="R407">
        <f t="shared" si="71"/>
        <v>-0.6615684582675575</v>
      </c>
      <c r="T407" s="21">
        <f>(M407-M406)/(H407-H406)</f>
        <v>4.3967533824490479E-4</v>
      </c>
      <c r="W407">
        <v>292</v>
      </c>
      <c r="X407">
        <v>10.15194</v>
      </c>
      <c r="Y407">
        <v>1</v>
      </c>
      <c r="Z407">
        <f t="shared" si="68"/>
        <v>1</v>
      </c>
      <c r="AA407" s="21">
        <f>IF(X407&gt;$B$8+$B$9,0,ABS(X407-O407)/X407)</f>
        <v>1.4563037385100681E-2</v>
      </c>
      <c r="AB407">
        <f>IF(OR(Z404&lt;&gt;Z410,X407&gt;$B$8+$B$9),0,((X410-X404)/(W410-W404)-(O410-O404)/(W410-W404))^2)</f>
        <v>7.931114223700974E-7</v>
      </c>
    </row>
    <row r="408" spans="7:28" x14ac:dyDescent="0.2">
      <c r="G408" s="21"/>
      <c r="H408" s="21">
        <v>293</v>
      </c>
      <c r="I408">
        <f t="shared" si="74"/>
        <v>1.1268042378592732E-2</v>
      </c>
      <c r="J408">
        <f t="shared" si="75"/>
        <v>0.81039196509215439</v>
      </c>
      <c r="K408">
        <f t="shared" si="69"/>
        <v>33.687228400696348</v>
      </c>
      <c r="L408">
        <f>0.5*Z408*K408/J408/$B$7</f>
        <v>20.78452764327789</v>
      </c>
      <c r="M408">
        <f t="shared" si="72"/>
        <v>0.21023724083996093</v>
      </c>
      <c r="N408" s="21">
        <f t="shared" si="76"/>
        <v>3.9005081336108798E-2</v>
      </c>
      <c r="O408" s="21">
        <f t="shared" si="77"/>
        <v>10.311051124129891</v>
      </c>
      <c r="P408">
        <f t="shared" si="73"/>
        <v>0.28105287789835276</v>
      </c>
      <c r="Q408">
        <f t="shared" si="70"/>
        <v>0.81039196509215439</v>
      </c>
      <c r="R408">
        <f t="shared" si="71"/>
        <v>-0.66304394563984004</v>
      </c>
      <c r="T408" s="21">
        <f>(M408-M407)/(H408-H407)</f>
        <v>4.3930913207992917E-4</v>
      </c>
      <c r="W408">
        <v>293</v>
      </c>
      <c r="X408">
        <v>10.171409999999998</v>
      </c>
      <c r="Y408">
        <v>1</v>
      </c>
      <c r="Z408">
        <f t="shared" si="68"/>
        <v>1</v>
      </c>
      <c r="AA408" s="21">
        <f>IF(X408&gt;$B$8+$B$9,0,ABS(X408-O408)/X408)</f>
        <v>1.3728787270387604E-2</v>
      </c>
      <c r="AB408">
        <f>IF(OR(Z405&lt;&gt;Z411,X408&gt;$B$8+$B$9),0,((X411-X405)/(W411-W405)-(O411-O405)/(W411-W405))^2)</f>
        <v>3.9924886636821958E-5</v>
      </c>
    </row>
    <row r="409" spans="7:28" x14ac:dyDescent="0.2">
      <c r="G409" s="21"/>
      <c r="H409" s="21">
        <v>294</v>
      </c>
      <c r="I409">
        <f t="shared" si="74"/>
        <v>1.1248394089753838E-2</v>
      </c>
      <c r="J409">
        <f t="shared" si="75"/>
        <v>0.81003632521411317</v>
      </c>
      <c r="K409">
        <f t="shared" si="69"/>
        <v>33.658491938159138</v>
      </c>
      <c r="L409">
        <f>0.5*Z409*K409/J409/$B$7</f>
        <v>20.775915159892577</v>
      </c>
      <c r="M409">
        <f t="shared" si="72"/>
        <v>0.21067618637785226</v>
      </c>
      <c r="N409" s="21">
        <f t="shared" si="76"/>
        <v>3.9040819030669846E-2</v>
      </c>
      <c r="O409" s="21">
        <f t="shared" si="77"/>
        <v>10.322299518219644</v>
      </c>
      <c r="P409">
        <f t="shared" si="73"/>
        <v>0.28158003705206414</v>
      </c>
      <c r="Q409">
        <f t="shared" si="70"/>
        <v>0.81003632521411317</v>
      </c>
      <c r="R409">
        <f t="shared" si="71"/>
        <v>-0.66452414826522221</v>
      </c>
      <c r="T409" s="21">
        <f>(M409-M408)/(H409-H408)</f>
        <v>4.3894553789133872E-4</v>
      </c>
      <c r="W409">
        <v>294</v>
      </c>
      <c r="X409">
        <v>10.156807999999998</v>
      </c>
      <c r="Y409">
        <v>1</v>
      </c>
      <c r="Z409">
        <f t="shared" si="68"/>
        <v>1</v>
      </c>
      <c r="AA409" s="21">
        <f>IF(X409&gt;$B$8+$B$9,0,ABS(X409-O409)/X409)</f>
        <v>1.6293654287808351E-2</v>
      </c>
      <c r="AB409">
        <f>IF(OR(Z406&lt;&gt;Z412,X409&gt;$B$8+$B$9),0,((X412-X406)/(W412-W406)-(O412-O406)/(W412-W406))^2)</f>
        <v>1.1313367315451101E-5</v>
      </c>
    </row>
    <row r="410" spans="7:28" x14ac:dyDescent="0.2">
      <c r="G410" s="21"/>
      <c r="H410" s="21">
        <v>295</v>
      </c>
      <c r="I410">
        <f t="shared" si="74"/>
        <v>1.1228870819976769E-2</v>
      </c>
      <c r="J410">
        <f t="shared" si="75"/>
        <v>0.80968113370613992</v>
      </c>
      <c r="K410">
        <f t="shared" si="69"/>
        <v>33.629879962880949</v>
      </c>
      <c r="L410">
        <f>0.5*Z410*K410/J410/$B$7</f>
        <v>20.767360484829048</v>
      </c>
      <c r="M410">
        <f t="shared" si="72"/>
        <v>0.21111477091210015</v>
      </c>
      <c r="N410" s="21">
        <f t="shared" si="76"/>
        <v>3.9076478012654584E-2</v>
      </c>
      <c r="O410" s="21">
        <f t="shared" si="77"/>
        <v>10.333528389039621</v>
      </c>
      <c r="P410">
        <f t="shared" si="73"/>
        <v>0.28210653159418342</v>
      </c>
      <c r="Q410">
        <f t="shared" si="70"/>
        <v>0.80968113370613992</v>
      </c>
      <c r="R410">
        <f t="shared" si="71"/>
        <v>-0.66600909589748936</v>
      </c>
      <c r="T410" s="21">
        <f>(M410-M409)/(H410-H409)</f>
        <v>4.3858453424788779E-4</v>
      </c>
      <c r="W410">
        <v>295</v>
      </c>
      <c r="X410">
        <v>10.179523</v>
      </c>
      <c r="Y410">
        <v>1</v>
      </c>
      <c r="Z410">
        <f t="shared" si="68"/>
        <v>1</v>
      </c>
      <c r="AA410" s="21">
        <f>IF(X410&gt;$B$8+$B$9,0,ABS(X410-O410)/X410)</f>
        <v>1.5128939640847766E-2</v>
      </c>
      <c r="AB410">
        <f>IF(OR(Z407&lt;&gt;Z413,X410&gt;$B$8+$B$9),0,((X413-X407)/(W413-W407)-(O413-O407)/(W413-W407))^2)</f>
        <v>1.6214222487181651E-7</v>
      </c>
    </row>
    <row r="411" spans="7:28" x14ac:dyDescent="0.2">
      <c r="G411" s="21"/>
      <c r="H411" s="21">
        <v>296</v>
      </c>
      <c r="I411">
        <f t="shared" si="74"/>
        <v>1.120947142648002E-2</v>
      </c>
      <c r="J411">
        <f t="shared" si="75"/>
        <v>0.80932638803577417</v>
      </c>
      <c r="K411">
        <f t="shared" si="69"/>
        <v>33.601391529492119</v>
      </c>
      <c r="L411">
        <f>0.5*Z411*K411/J411/$B$7</f>
        <v>20.758863189326071</v>
      </c>
      <c r="M411">
        <f t="shared" si="72"/>
        <v>0.21155299701207683</v>
      </c>
      <c r="N411" s="21">
        <f t="shared" si="76"/>
        <v>3.9112058769533012E-2</v>
      </c>
      <c r="O411" s="21">
        <f t="shared" si="77"/>
        <v>10.3447378604661</v>
      </c>
      <c r="P411">
        <f t="shared" si="73"/>
        <v>0.28263236527853519</v>
      </c>
      <c r="Q411">
        <f t="shared" si="70"/>
        <v>0.80932638803577417</v>
      </c>
      <c r="R411">
        <f t="shared" si="71"/>
        <v>-0.66749881848164971</v>
      </c>
      <c r="T411" s="21">
        <f>(M411-M410)/(H411-H410)</f>
        <v>4.3822609997667961E-4</v>
      </c>
      <c r="W411">
        <v>296</v>
      </c>
      <c r="X411">
        <v>10.216839999999998</v>
      </c>
      <c r="Y411">
        <v>1</v>
      </c>
      <c r="Z411">
        <f t="shared" si="68"/>
        <v>1</v>
      </c>
      <c r="AA411" s="21">
        <f>IF(X411&gt;$B$8+$B$9,0,ABS(X411-O411)/X411)</f>
        <v>1.2518338396813768E-2</v>
      </c>
      <c r="AB411">
        <f>IF(OR(Z408&lt;&gt;Z414,X411&gt;$B$8+$B$9),0,((X414-X408)/(W414-W408)-(O414-O408)/(W414-W408))^2)</f>
        <v>1.5200870400262799E-5</v>
      </c>
    </row>
    <row r="412" spans="7:28" x14ac:dyDescent="0.2">
      <c r="G412" s="21"/>
      <c r="H412" s="21">
        <v>297</v>
      </c>
      <c r="I412">
        <f t="shared" si="74"/>
        <v>1.11901947808953E-2</v>
      </c>
      <c r="J412">
        <f t="shared" si="75"/>
        <v>0.8089720856918029</v>
      </c>
      <c r="K412">
        <f t="shared" si="69"/>
        <v>33.573025702976707</v>
      </c>
      <c r="L412">
        <f>0.5*Z412*K412/J412/$B$7</f>
        <v>20.750422849427679</v>
      </c>
      <c r="M412">
        <f t="shared" si="72"/>
        <v>0.21199086722623584</v>
      </c>
      <c r="N412" s="21">
        <f t="shared" si="76"/>
        <v>3.9147561784289429E-2</v>
      </c>
      <c r="O412" s="21">
        <f t="shared" si="77"/>
        <v>10.355928055246995</v>
      </c>
      <c r="P412">
        <f t="shared" si="73"/>
        <v>0.28315754182744901</v>
      </c>
      <c r="Q412">
        <f t="shared" si="70"/>
        <v>0.8089720856918029</v>
      </c>
      <c r="R412">
        <f t="shared" si="71"/>
        <v>-0.66899334615606887</v>
      </c>
      <c r="T412" s="21">
        <f>(M412-M411)/(H412-H411)</f>
        <v>4.3787021415900296E-4</v>
      </c>
      <c r="W412">
        <v>297</v>
      </c>
      <c r="X412">
        <v>10.211971999999999</v>
      </c>
      <c r="Y412">
        <v>1</v>
      </c>
      <c r="Z412">
        <f t="shared" si="68"/>
        <v>1</v>
      </c>
      <c r="AA412" s="21">
        <f>IF(X412&gt;$B$8+$B$9,0,ABS(X412-O412)/X412)</f>
        <v>1.4096792984449588E-2</v>
      </c>
      <c r="AB412">
        <f>IF(OR(Z409&lt;&gt;Z415,X412&gt;$B$8+$B$9),0,((X415-X409)/(W415-W409)-(O415-O409)/(W415-W409))^2)</f>
        <v>2.0907580739534044E-6</v>
      </c>
    </row>
    <row r="413" spans="7:28" x14ac:dyDescent="0.2">
      <c r="G413" s="21"/>
      <c r="H413" s="21">
        <v>298</v>
      </c>
      <c r="I413">
        <f t="shared" si="74"/>
        <v>1.1171039769038087E-2</v>
      </c>
      <c r="J413">
        <f t="shared" si="75"/>
        <v>0.80861822418400942</v>
      </c>
      <c r="K413">
        <f t="shared" si="69"/>
        <v>33.544781558524804</v>
      </c>
      <c r="L413">
        <f>0.5*Z413*K413/J413/$B$7</f>
        <v>20.742039045914048</v>
      </c>
      <c r="M413">
        <f t="shared" si="72"/>
        <v>0.21242838408236162</v>
      </c>
      <c r="N413" s="21">
        <f t="shared" si="76"/>
        <v>3.9182987535479004E-2</v>
      </c>
      <c r="O413" s="21">
        <f t="shared" si="77"/>
        <v>10.367099095016034</v>
      </c>
      <c r="P413">
        <f t="shared" si="73"/>
        <v>0.28368206493213255</v>
      </c>
      <c r="Q413">
        <f t="shared" si="70"/>
        <v>0.80861822418400942</v>
      </c>
      <c r="R413">
        <f t="shared" si="71"/>
        <v>-0.67049270925462134</v>
      </c>
      <c r="T413" s="21">
        <f>(M413-M412)/(H413-H412)</f>
        <v>4.3751685612578028E-4</v>
      </c>
      <c r="W413">
        <v>298</v>
      </c>
      <c r="X413">
        <v>10.216839999999998</v>
      </c>
      <c r="Y413">
        <v>1</v>
      </c>
      <c r="Z413">
        <f t="shared" si="68"/>
        <v>1</v>
      </c>
      <c r="AA413" s="21">
        <f>IF(X413&gt;$B$8+$B$9,0,ABS(X413-O413)/X413)</f>
        <v>1.4707002851765918E-2</v>
      </c>
      <c r="AB413">
        <f>IF(OR(Z410&lt;&gt;Z416,X413&gt;$B$8+$B$9),0,((X416-X410)/(W416-W410)-(O416-O410)/(W416-W410))^2)</f>
        <v>5.4240889620761822E-7</v>
      </c>
    </row>
    <row r="414" spans="7:28" x14ac:dyDescent="0.2">
      <c r="G414" s="21"/>
      <c r="H414" s="21">
        <v>299</v>
      </c>
      <c r="I414">
        <f t="shared" si="74"/>
        <v>1.1152005290682812E-2</v>
      </c>
      <c r="J414">
        <f t="shared" si="75"/>
        <v>0.8082648010429252</v>
      </c>
      <c r="K414">
        <f t="shared" si="69"/>
        <v>33.51665818138747</v>
      </c>
      <c r="L414">
        <f>0.5*Z414*K414/J414/$B$7</f>
        <v>20.733711364233635</v>
      </c>
      <c r="M414">
        <f t="shared" si="72"/>
        <v>0.21286555008781621</v>
      </c>
      <c r="N414" s="21">
        <f t="shared" si="76"/>
        <v>3.9218336497283471E-2</v>
      </c>
      <c r="O414" s="21">
        <f t="shared" si="77"/>
        <v>10.378251100306716</v>
      </c>
      <c r="P414">
        <f t="shared" si="73"/>
        <v>0.28420593825303841</v>
      </c>
      <c r="Q414">
        <f t="shared" si="70"/>
        <v>0.8082648010429252</v>
      </c>
      <c r="R414">
        <f t="shared" si="71"/>
        <v>-0.67199693830885954</v>
      </c>
      <c r="T414" s="21">
        <f>(M414-M413)/(H414-H413)</f>
        <v>4.3716600545459783E-4</v>
      </c>
      <c r="W414">
        <v>299</v>
      </c>
      <c r="X414">
        <v>10.215216999999999</v>
      </c>
      <c r="Y414">
        <v>1</v>
      </c>
      <c r="Z414">
        <f t="shared" si="68"/>
        <v>1</v>
      </c>
      <c r="AA414" s="21">
        <f>IF(X414&gt;$B$8+$B$9,0,ABS(X414-O414)/X414)</f>
        <v>1.5959925306209089E-2</v>
      </c>
      <c r="AB414">
        <f>IF(OR(Z411&lt;&gt;Z417,X414&gt;$B$8+$B$9),0,((X417-X411)/(W417-W411)-(O417-O411)/(W417-W411))^2)</f>
        <v>2.1649227093887852E-5</v>
      </c>
    </row>
    <row r="415" spans="7:28" x14ac:dyDescent="0.2">
      <c r="G415" s="21"/>
      <c r="H415" s="21">
        <v>300</v>
      </c>
      <c r="I415">
        <f t="shared" si="74"/>
        <v>1.1133090259342265E-2</v>
      </c>
      <c r="J415">
        <f t="shared" si="75"/>
        <v>0.80791181381958566</v>
      </c>
      <c r="K415">
        <f t="shared" si="69"/>
        <v>33.488654666734128</v>
      </c>
      <c r="L415">
        <f>0.5*Z415*K415/J415/$B$7</f>
        <v>20.725439394436471</v>
      </c>
      <c r="M415">
        <f t="shared" si="72"/>
        <v>0.21330236772978209</v>
      </c>
      <c r="N415" s="21">
        <f t="shared" si="76"/>
        <v>3.9253609139566062E-2</v>
      </c>
      <c r="O415" s="21">
        <f t="shared" si="77"/>
        <v>10.389384190566059</v>
      </c>
      <c r="P415">
        <f t="shared" si="73"/>
        <v>0.28472916542022642</v>
      </c>
      <c r="Q415">
        <f t="shared" si="70"/>
        <v>0.80791181381958566</v>
      </c>
      <c r="R415">
        <f t="shared" si="71"/>
        <v>-0.6735060640502053</v>
      </c>
      <c r="T415" s="21">
        <f>(M415-M414)/(H415-H414)</f>
        <v>4.3681764196587536E-4</v>
      </c>
      <c r="W415">
        <v>300</v>
      </c>
      <c r="X415">
        <v>10.215216999999999</v>
      </c>
      <c r="Y415">
        <v>1</v>
      </c>
      <c r="Z415">
        <f t="shared" si="68"/>
        <v>1</v>
      </c>
      <c r="AA415" s="21">
        <f>IF(X415&gt;$B$8+$B$9,0,ABS(X415-O415)/X415)</f>
        <v>1.7049778831527473E-2</v>
      </c>
      <c r="AB415">
        <f>IF(OR(Z412&lt;&gt;Z418,X415&gt;$B$8+$B$9),0,((X418-X412)/(W418-W412)-(O418-O412)/(W418-W412))^2)</f>
        <v>5.9982588851472345E-7</v>
      </c>
    </row>
    <row r="416" spans="7:28" x14ac:dyDescent="0.2">
      <c r="G416" s="21"/>
      <c r="H416" s="21">
        <v>301</v>
      </c>
      <c r="I416">
        <f t="shared" si="74"/>
        <v>1.1114293602051109E-2</v>
      </c>
      <c r="J416">
        <f t="shared" si="75"/>
        <v>0.80755926008528989</v>
      </c>
      <c r="K416">
        <f t="shared" si="69"/>
        <v>33.460770119512489</v>
      </c>
      <c r="L416">
        <f>0.5*Z416*K416/J416/$B$7</f>
        <v>20.717222731108642</v>
      </c>
      <c r="M416">
        <f t="shared" si="72"/>
        <v>0.21373883947550093</v>
      </c>
      <c r="N416" s="21">
        <f t="shared" si="76"/>
        <v>3.9288805927925427E-2</v>
      </c>
      <c r="O416" s="21">
        <f t="shared" si="77"/>
        <v>10.400498484168109</v>
      </c>
      <c r="P416">
        <f t="shared" si="73"/>
        <v>0.28525175003372016</v>
      </c>
      <c r="Q416">
        <f t="shared" si="70"/>
        <v>0.80755926008528989</v>
      </c>
      <c r="R416">
        <f t="shared" si="71"/>
        <v>-0.67502011741215884</v>
      </c>
      <c r="T416" s="21">
        <f>(M416-M415)/(H416-H415)</f>
        <v>4.3647174571884162E-4</v>
      </c>
      <c r="W416">
        <v>301</v>
      </c>
      <c r="X416">
        <v>10.250912</v>
      </c>
      <c r="Y416">
        <v>1</v>
      </c>
      <c r="Z416">
        <f t="shared" si="68"/>
        <v>1</v>
      </c>
      <c r="AA416" s="21">
        <f>IF(X416&gt;$B$8+$B$9,0,ABS(X416-O416)/X416)</f>
        <v>1.4592504956447717E-2</v>
      </c>
      <c r="AB416">
        <f>IF(OR(Z413&lt;&gt;Z419,X416&gt;$B$8+$B$9),0,((X419-X413)/(W419-W413)-(O419-O413)/(W419-W413))^2)</f>
        <v>2.7324004240193595E-7</v>
      </c>
    </row>
    <row r="417" spans="7:28" x14ac:dyDescent="0.2">
      <c r="G417" s="21"/>
      <c r="H417" s="21">
        <v>302</v>
      </c>
      <c r="I417">
        <f t="shared" si="74"/>
        <v>1.1095614259153713E-2</v>
      </c>
      <c r="J417">
        <f t="shared" si="75"/>
        <v>0.80720713743136407</v>
      </c>
      <c r="K417">
        <f t="shared" si="69"/>
        <v>33.433003654310944</v>
      </c>
      <c r="L417">
        <f>0.5*Z417*K417/J417/$B$7</f>
        <v>20.709060973307931</v>
      </c>
      <c r="M417">
        <f t="shared" si="72"/>
        <v>0.21417496777250875</v>
      </c>
      <c r="N417" s="21">
        <f t="shared" si="76"/>
        <v>3.9323927323748724E-2</v>
      </c>
      <c r="O417" s="21">
        <f t="shared" si="77"/>
        <v>10.411594098427262</v>
      </c>
      <c r="P417">
        <f t="shared" si="73"/>
        <v>0.28577369566385746</v>
      </c>
      <c r="Q417">
        <f t="shared" si="70"/>
        <v>0.80720713743136407</v>
      </c>
      <c r="R417">
        <f t="shared" si="71"/>
        <v>-0.67653912953252704</v>
      </c>
      <c r="T417" s="21">
        <f>(M417-M416)/(H417-H416)</f>
        <v>4.3612829700781508E-4</v>
      </c>
      <c r="W417">
        <v>302</v>
      </c>
      <c r="X417">
        <v>10.255779</v>
      </c>
      <c r="Y417">
        <v>1</v>
      </c>
      <c r="Z417">
        <f t="shared" si="68"/>
        <v>1</v>
      </c>
      <c r="AA417" s="21">
        <f>IF(X417&gt;$B$8+$B$9,0,ABS(X417-O417)/X417)</f>
        <v>1.5192907182112785E-2</v>
      </c>
      <c r="AB417">
        <f>IF(OR(Z414&lt;&gt;Z420,X417&gt;$B$8+$B$9),0,((X420-X414)/(W420-W414)-(O420-O414)/(W420-W414))^2)</f>
        <v>1.2361175013692009E-5</v>
      </c>
    </row>
    <row r="418" spans="7:28" x14ac:dyDescent="0.2">
      <c r="G418" s="21"/>
      <c r="H418" s="21">
        <v>303</v>
      </c>
      <c r="I418">
        <f t="shared" si="74"/>
        <v>1.1077051184095818E-2</v>
      </c>
      <c r="J418">
        <f t="shared" si="75"/>
        <v>0.80685544346892746</v>
      </c>
      <c r="K418">
        <f t="shared" si="69"/>
        <v>33.405354395223263</v>
      </c>
      <c r="L418">
        <f>0.5*Z418*K418/J418/$B$7</f>
        <v>20.700953724500543</v>
      </c>
      <c r="M418">
        <f t="shared" si="72"/>
        <v>0.21461075504886865</v>
      </c>
      <c r="N418" s="21">
        <f t="shared" si="76"/>
        <v>3.9358973784263979E-2</v>
      </c>
      <c r="O418" s="21">
        <f t="shared" si="77"/>
        <v>10.422671149611357</v>
      </c>
      <c r="P418">
        <f t="shared" si="73"/>
        <v>0.28629500585163686</v>
      </c>
      <c r="Q418">
        <f t="shared" si="70"/>
        <v>0.80685544346892746</v>
      </c>
      <c r="R418">
        <f t="shared" si="71"/>
        <v>-0.6780631317556739</v>
      </c>
      <c r="T418" s="21">
        <f>(M418-M417)/(H418-H417)</f>
        <v>4.3578727635990022E-4</v>
      </c>
      <c r="W418">
        <v>303</v>
      </c>
      <c r="X418">
        <v>10.283362</v>
      </c>
      <c r="Y418">
        <v>1</v>
      </c>
      <c r="Z418">
        <f t="shared" si="68"/>
        <v>1</v>
      </c>
      <c r="AA418" s="21">
        <f>IF(X418&gt;$B$8+$B$9,0,ABS(X418-O418)/X418)</f>
        <v>1.354704323463056E-2</v>
      </c>
      <c r="AB418">
        <f>IF(OR(Z415&lt;&gt;Z421,X418&gt;$B$8+$B$9),0,((X421-X415)/(W421-W415)-(O421-O415)/(W421-W415))^2)</f>
        <v>2.6593133900551296E-5</v>
      </c>
    </row>
    <row r="419" spans="7:28" x14ac:dyDescent="0.2">
      <c r="G419" s="21"/>
      <c r="H419" s="21">
        <v>304</v>
      </c>
      <c r="I419">
        <f t="shared" si="74"/>
        <v>1.1058603343220294E-2</v>
      </c>
      <c r="J419">
        <f t="shared" si="75"/>
        <v>0.80650417582866307</v>
      </c>
      <c r="K419">
        <f t="shared" si="69"/>
        <v>33.377821475715692</v>
      </c>
      <c r="L419">
        <f>0.5*Z419*K419/J419/$B$7</f>
        <v>20.692900592498983</v>
      </c>
      <c r="M419">
        <f t="shared" si="72"/>
        <v>0.21504620371339864</v>
      </c>
      <c r="N419" s="21">
        <f t="shared" si="76"/>
        <v>3.9393945762591573E-2</v>
      </c>
      <c r="O419" s="21">
        <f t="shared" si="77"/>
        <v>10.433729752954578</v>
      </c>
      <c r="P419">
        <f t="shared" si="73"/>
        <v>0.286815684109058</v>
      </c>
      <c r="Q419">
        <f t="shared" si="70"/>
        <v>0.80650417582866307</v>
      </c>
      <c r="R419">
        <f t="shared" si="71"/>
        <v>-0.6795921556347907</v>
      </c>
      <c r="T419" s="21">
        <f>(M419-M418)/(H419-H418)</f>
        <v>4.3544866452999154E-4</v>
      </c>
      <c r="W419">
        <v>304</v>
      </c>
      <c r="X419">
        <v>10.286607</v>
      </c>
      <c r="Y419">
        <v>1</v>
      </c>
      <c r="Z419">
        <f t="shared" si="68"/>
        <v>1</v>
      </c>
      <c r="AA419" s="21">
        <f>IF(X419&gt;$B$8+$B$9,0,ABS(X419-O419)/X419)</f>
        <v>1.4302359656063289E-2</v>
      </c>
      <c r="AB419">
        <f>IF(OR(Z416&lt;&gt;Z422,X419&gt;$B$8+$B$9),0,((X422-X416)/(W422-W416)-(O422-O416)/(W422-W416))^2)</f>
        <v>3.7258464850898231E-6</v>
      </c>
    </row>
    <row r="420" spans="7:28" x14ac:dyDescent="0.2">
      <c r="G420" s="21"/>
      <c r="H420" s="21">
        <v>305</v>
      </c>
      <c r="I420">
        <f t="shared" si="74"/>
        <v>1.1040269715566604E-2</v>
      </c>
      <c r="J420">
        <f t="shared" si="75"/>
        <v>0.80615333216059137</v>
      </c>
      <c r="K420">
        <f t="shared" si="69"/>
        <v>33.35040403849635</v>
      </c>
      <c r="L420">
        <f>0.5*Z420*K420/J420/$B$7</f>
        <v>20.684901189400975</v>
      </c>
      <c r="M420">
        <f t="shared" si="72"/>
        <v>0.21548131615589658</v>
      </c>
      <c r="N420" s="21">
        <f t="shared" si="76"/>
        <v>3.94288437077948E-2</v>
      </c>
      <c r="O420" s="21">
        <f t="shared" si="77"/>
        <v>10.444770022670145</v>
      </c>
      <c r="P420">
        <f t="shared" si="73"/>
        <v>0.28733573391945705</v>
      </c>
      <c r="Q420">
        <f t="shared" si="70"/>
        <v>0.80615333216059137</v>
      </c>
      <c r="R420">
        <f t="shared" si="71"/>
        <v>-0.6811262329341855</v>
      </c>
      <c r="T420" s="21">
        <f>(M420-M419)/(H420-H419)</f>
        <v>4.3511244249794245E-4</v>
      </c>
      <c r="W420">
        <v>305</v>
      </c>
      <c r="X420">
        <v>10.302830999999998</v>
      </c>
      <c r="Y420">
        <v>1</v>
      </c>
      <c r="Z420">
        <f t="shared" si="68"/>
        <v>1</v>
      </c>
      <c r="AA420" s="21">
        <f>IF(X420&gt;$B$8+$B$9,0,ABS(X420-O420)/X420)</f>
        <v>1.3776701051404938E-2</v>
      </c>
      <c r="AB420">
        <f>IF(OR(Z417&lt;&gt;Z423,X420&gt;$B$8+$B$9),0,((X423-X417)/(W423-W417)-(O423-O417)/(W423-W417))^2)</f>
        <v>1.2935806790713952E-6</v>
      </c>
    </row>
    <row r="421" spans="7:28" x14ac:dyDescent="0.2">
      <c r="G421" s="21"/>
      <c r="H421" s="21">
        <v>306</v>
      </c>
      <c r="I421">
        <f t="shared" si="74"/>
        <v>1.1022049292674179E-2</v>
      </c>
      <c r="J421">
        <f t="shared" si="75"/>
        <v>0.80580291013384686</v>
      </c>
      <c r="K421">
        <f t="shared" si="69"/>
        <v>33.323101235386808</v>
      </c>
      <c r="L421">
        <f>0.5*Z421*K421/J421/$B$7</f>
        <v>20.676955131529443</v>
      </c>
      <c r="M421">
        <f t="shared" si="72"/>
        <v>0.21591609474736234</v>
      </c>
      <c r="N421" s="21">
        <f t="shared" si="76"/>
        <v>3.9463668064929826E-2</v>
      </c>
      <c r="O421" s="21">
        <f t="shared" si="77"/>
        <v>10.455792071962819</v>
      </c>
      <c r="P421">
        <f t="shared" si="73"/>
        <v>0.28785515873783768</v>
      </c>
      <c r="Q421">
        <f t="shared" si="70"/>
        <v>0.80580291013384686</v>
      </c>
      <c r="R421">
        <f t="shared" si="71"/>
        <v>-0.68266539563159723</v>
      </c>
      <c r="T421" s="21">
        <f>(M421-M420)/(H421-H420)</f>
        <v>4.3477859146576203E-4</v>
      </c>
      <c r="W421">
        <v>306</v>
      </c>
      <c r="X421">
        <v>10.312566</v>
      </c>
      <c r="Y421">
        <v>1</v>
      </c>
      <c r="Z421">
        <f t="shared" si="68"/>
        <v>1</v>
      </c>
      <c r="AA421" s="21">
        <f>IF(X421&gt;$B$8+$B$9,0,ABS(X421-O421)/X421)</f>
        <v>1.3888499909995069E-2</v>
      </c>
      <c r="AB421">
        <f>IF(OR(Z418&lt;&gt;Z424,X421&gt;$B$8+$B$9),0,((X424-X418)/(W424-W418)-(O424-O418)/(W424-W418))^2)</f>
        <v>1.6340785312055331E-6</v>
      </c>
    </row>
    <row r="422" spans="7:28" x14ac:dyDescent="0.2">
      <c r="G422" s="21"/>
      <c r="H422" s="21">
        <v>307</v>
      </c>
      <c r="I422">
        <f t="shared" si="74"/>
        <v>1.1003941078389319E-2</v>
      </c>
      <c r="J422">
        <f t="shared" si="75"/>
        <v>0.80545290743645837</v>
      </c>
      <c r="K422">
        <f t="shared" si="69"/>
        <v>33.295912227195899</v>
      </c>
      <c r="L422">
        <f>0.5*Z422*K422/J422/$B$7</f>
        <v>20.669062039373539</v>
      </c>
      <c r="M422">
        <f t="shared" si="72"/>
        <v>0.21635054184021613</v>
      </c>
      <c r="N422" s="21">
        <f t="shared" si="76"/>
        <v>3.9498419275094836E-2</v>
      </c>
      <c r="O422" s="21">
        <f t="shared" si="77"/>
        <v>10.466796013041208</v>
      </c>
      <c r="P422">
        <f t="shared" si="73"/>
        <v>0.28837396199119686</v>
      </c>
      <c r="Q422">
        <f t="shared" si="70"/>
        <v>0.80545290743645837</v>
      </c>
      <c r="R422">
        <f t="shared" si="71"/>
        <v>-0.68420967592052928</v>
      </c>
      <c r="T422" s="21">
        <f>(M422-M421)/(H422-H421)</f>
        <v>4.3444709285378469E-4</v>
      </c>
      <c r="W422">
        <v>307</v>
      </c>
      <c r="X422">
        <v>10.328790999999999</v>
      </c>
      <c r="Y422">
        <v>1</v>
      </c>
      <c r="Z422">
        <f t="shared" si="68"/>
        <v>1</v>
      </c>
      <c r="AA422" s="21">
        <f>IF(X422&gt;$B$8+$B$9,0,ABS(X422-O422)/X422)</f>
        <v>1.3361197166368138E-2</v>
      </c>
      <c r="AB422">
        <f>IF(OR(Z419&lt;&gt;Z425,X422&gt;$B$8+$B$9),0,((X425-X419)/(W425-W419)-(O425-O419)/(W425-W419))^2)</f>
        <v>6.3785362928028084E-6</v>
      </c>
    </row>
    <row r="423" spans="7:28" x14ac:dyDescent="0.2">
      <c r="G423" s="21"/>
      <c r="H423" s="21">
        <v>308</v>
      </c>
      <c r="I423">
        <f t="shared" si="74"/>
        <v>1.0985944088675884E-2</v>
      </c>
      <c r="J423">
        <f t="shared" si="75"/>
        <v>0.80510332177513244</v>
      </c>
      <c r="K423">
        <f t="shared" si="69"/>
        <v>33.268836183595681</v>
      </c>
      <c r="L423">
        <f>0.5*Z423*K423/J423/$B$7</f>
        <v>20.661221537530658</v>
      </c>
      <c r="M423">
        <f t="shared" si="72"/>
        <v>0.21678465976851377</v>
      </c>
      <c r="N423" s="21">
        <f t="shared" si="76"/>
        <v>3.9533097775478303E-2</v>
      </c>
      <c r="O423" s="21">
        <f t="shared" si="77"/>
        <v>10.477781957129883</v>
      </c>
      <c r="P423">
        <f t="shared" si="73"/>
        <v>0.2888921470788457</v>
      </c>
      <c r="Q423">
        <f t="shared" si="70"/>
        <v>0.80510332177513244</v>
      </c>
      <c r="R423">
        <f t="shared" si="71"/>
        <v>-0.68575910621260494</v>
      </c>
      <c r="T423" s="21">
        <f>(M423-M422)/(H423-H422)</f>
        <v>4.3411792829764484E-4</v>
      </c>
      <c r="W423">
        <v>308</v>
      </c>
      <c r="X423">
        <v>10.328790999999999</v>
      </c>
      <c r="Y423">
        <v>1</v>
      </c>
      <c r="Z423">
        <f t="shared" si="68"/>
        <v>1</v>
      </c>
      <c r="AA423" s="21">
        <f>IF(X423&gt;$B$8+$B$9,0,ABS(X423-O423)/X423)</f>
        <v>1.4424820594189989E-2</v>
      </c>
      <c r="AB423">
        <f>IF(OR(Z420&lt;&gt;Z426,X423&gt;$B$8+$B$9),0,((X426-X420)/(W426-W420)-(O426-O420)/(W426-W420))^2)</f>
        <v>1.8574412270255945E-7</v>
      </c>
    </row>
    <row r="424" spans="7:28" x14ac:dyDescent="0.2">
      <c r="G424" s="21"/>
      <c r="H424" s="21">
        <v>309</v>
      </c>
      <c r="I424">
        <f t="shared" si="74"/>
        <v>1.0968057351429248E-2</v>
      </c>
      <c r="J424">
        <f t="shared" si="75"/>
        <v>0.80475415087504021</v>
      </c>
      <c r="K424">
        <f t="shared" si="69"/>
        <v>33.241872282999502</v>
      </c>
      <c r="L424">
        <f>0.5*Z424*K424/J424/$B$7</f>
        <v>20.653433254649467</v>
      </c>
      <c r="M424">
        <f t="shared" si="72"/>
        <v>0.21721845084815869</v>
      </c>
      <c r="N424" s="21">
        <f t="shared" si="76"/>
        <v>3.9567703999406657E-2</v>
      </c>
      <c r="O424" s="21">
        <f t="shared" si="77"/>
        <v>10.488750014481312</v>
      </c>
      <c r="P424">
        <f t="shared" si="73"/>
        <v>0.28940971737272581</v>
      </c>
      <c r="Q424">
        <f t="shared" si="70"/>
        <v>0.80475415087504021</v>
      </c>
      <c r="R424">
        <f t="shared" si="71"/>
        <v>-0.68731371913994688</v>
      </c>
      <c r="T424" s="21">
        <f>(M424-M423)/(H424-H423)</f>
        <v>4.3379107964491848E-4</v>
      </c>
      <c r="W424">
        <v>309</v>
      </c>
      <c r="X424">
        <v>10.341770999999998</v>
      </c>
      <c r="Y424">
        <v>1</v>
      </c>
      <c r="Z424">
        <f t="shared" si="68"/>
        <v>1</v>
      </c>
      <c r="AA424" s="21">
        <f>IF(X424&gt;$B$8+$B$9,0,ABS(X424-O424)/X424)</f>
        <v>1.4212170669928191E-2</v>
      </c>
      <c r="AB424">
        <f>IF(OR(Z421&lt;&gt;Z427,X424&gt;$B$8+$B$9),0,((X427-X421)/(W427-W421)-(O427-O421)/(W427-W421))^2)</f>
        <v>3.0631520042668807E-6</v>
      </c>
    </row>
    <row r="425" spans="7:28" x14ac:dyDescent="0.2">
      <c r="G425" s="21"/>
      <c r="H425" s="21">
        <v>310</v>
      </c>
      <c r="I425">
        <f t="shared" si="74"/>
        <v>1.0950279906293974E-2</v>
      </c>
      <c r="J425">
        <f t="shared" si="75"/>
        <v>0.80440539247960652</v>
      </c>
      <c r="K425">
        <f t="shared" si="69"/>
        <v>33.215019712442128</v>
      </c>
      <c r="L425">
        <f>0.5*Z425*K425/J425/$B$7</f>
        <v>20.645696823373921</v>
      </c>
      <c r="M425">
        <f t="shared" si="72"/>
        <v>0.21765191737711131</v>
      </c>
      <c r="N425" s="21">
        <f t="shared" si="76"/>
        <v>3.9602238376391131E-2</v>
      </c>
      <c r="O425" s="21">
        <f t="shared" si="77"/>
        <v>10.499700294387607</v>
      </c>
      <c r="P425">
        <f t="shared" si="73"/>
        <v>0.28992667621772139</v>
      </c>
      <c r="Q425">
        <f t="shared" si="70"/>
        <v>0.80440539247960652</v>
      </c>
      <c r="R425">
        <f t="shared" si="71"/>
        <v>-0.6888735475575789</v>
      </c>
      <c r="T425" s="21">
        <f>(M425-M424)/(H425-H424)</f>
        <v>4.3346652895262516E-4</v>
      </c>
      <c r="W425">
        <v>310</v>
      </c>
      <c r="X425">
        <v>10.367730999999999</v>
      </c>
      <c r="Y425">
        <v>1</v>
      </c>
      <c r="Z425">
        <f t="shared" si="68"/>
        <v>1</v>
      </c>
      <c r="AA425" s="21">
        <f>IF(X425&gt;$B$8+$B$9,0,ABS(X425-O425)/X425)</f>
        <v>1.2728850158979571E-2</v>
      </c>
      <c r="AB425">
        <f>IF(OR(Z422&lt;&gt;Z428,X425&gt;$B$8+$B$9),0,((X428-X422)/(W428-W422)-(O428-O422)/(W428-W422))^2)</f>
        <v>4.709310215153449E-7</v>
      </c>
    </row>
    <row r="426" spans="7:28" x14ac:dyDescent="0.2">
      <c r="G426" s="21"/>
      <c r="H426" s="21">
        <v>311</v>
      </c>
      <c r="I426">
        <f t="shared" si="74"/>
        <v>1.0932610804484683E-2</v>
      </c>
      <c r="J426">
        <f t="shared" si="75"/>
        <v>0.80405704435030356</v>
      </c>
      <c r="K426">
        <f t="shared" si="69"/>
        <v>33.188277667461918</v>
      </c>
      <c r="L426">
        <f>0.5*Z426*K426/J426/$B$7</f>
        <v>20.638011880288172</v>
      </c>
      <c r="M426">
        <f t="shared" si="72"/>
        <v>0.21808506163559427</v>
      </c>
      <c r="N426" s="21">
        <f t="shared" si="76"/>
        <v>3.9636701332173924E-2</v>
      </c>
      <c r="O426" s="21">
        <f t="shared" si="77"/>
        <v>10.510632905192091</v>
      </c>
      <c r="P426">
        <f t="shared" si="73"/>
        <v>0.29044302693196561</v>
      </c>
      <c r="Q426">
        <f t="shared" si="70"/>
        <v>0.80405704435030356</v>
      </c>
      <c r="R426">
        <f t="shared" si="71"/>
        <v>-0.6904386245458487</v>
      </c>
      <c r="T426" s="21">
        <f>(M426-M425)/(H426-H425)</f>
        <v>4.3314425848295368E-4</v>
      </c>
      <c r="W426">
        <v>311</v>
      </c>
      <c r="X426">
        <v>10.366108000000001</v>
      </c>
      <c r="Y426">
        <v>1</v>
      </c>
      <c r="Z426">
        <f t="shared" si="68"/>
        <v>1</v>
      </c>
      <c r="AA426" s="21">
        <f>IF(X426&gt;$B$8+$B$9,0,ABS(X426-O426)/X426)</f>
        <v>1.394206052957298E-2</v>
      </c>
      <c r="AB426">
        <f>IF(OR(Z423&lt;&gt;Z429,X426&gt;$B$8+$B$9),0,((X429-X423)/(W429-W423)-(O429-O423)/(W429-W423))^2)</f>
        <v>1.5492634422569666E-6</v>
      </c>
    </row>
    <row r="427" spans="7:28" x14ac:dyDescent="0.2">
      <c r="G427" s="21"/>
      <c r="H427" s="21">
        <v>312</v>
      </c>
      <c r="I427">
        <f t="shared" si="74"/>
        <v>1.0915049108610266E-2</v>
      </c>
      <c r="J427">
        <f t="shared" si="75"/>
        <v>0.80370910426644593</v>
      </c>
      <c r="K427">
        <f t="shared" si="69"/>
        <v>33.161645351984944</v>
      </c>
      <c r="L427">
        <f>0.5*Z427*K427/J427/$B$7</f>
        <v>20.630378065862487</v>
      </c>
      <c r="M427">
        <f t="shared" si="72"/>
        <v>0.2185178858862962</v>
      </c>
      <c r="N427" s="21">
        <f t="shared" si="76"/>
        <v>3.9671093288773655E-2</v>
      </c>
      <c r="O427" s="21">
        <f t="shared" si="77"/>
        <v>10.521547954300701</v>
      </c>
      <c r="P427">
        <f t="shared" si="73"/>
        <v>0.29095877280714394</v>
      </c>
      <c r="Q427">
        <f t="shared" si="70"/>
        <v>0.80370910426644593</v>
      </c>
      <c r="R427">
        <f t="shared" si="71"/>
        <v>-0.69200898341287775</v>
      </c>
      <c r="T427" s="21">
        <f>(M427-M426)/(H427-H426)</f>
        <v>4.3282425070192976E-4</v>
      </c>
      <c r="W427">
        <v>312</v>
      </c>
      <c r="X427">
        <v>10.388822999999999</v>
      </c>
      <c r="Y427">
        <v>1</v>
      </c>
      <c r="Z427">
        <f t="shared" si="68"/>
        <v>1</v>
      </c>
      <c r="AA427" s="21">
        <f>IF(X427&gt;$B$8+$B$9,0,ABS(X427-O427)/X427)</f>
        <v>1.2775745077252938E-2</v>
      </c>
      <c r="AB427">
        <f>IF(OR(Z424&lt;&gt;Z430,X427&gt;$B$8+$B$9),0,((X430-X424)/(W430-W424)-(O430-O424)/(W430-W424))^2)</f>
        <v>9.834764259664717E-7</v>
      </c>
    </row>
    <row r="428" spans="7:28" x14ac:dyDescent="0.2">
      <c r="G428" s="21"/>
      <c r="H428" s="21">
        <v>313</v>
      </c>
      <c r="I428">
        <f t="shared" si="74"/>
        <v>1.0897593892501355E-2</v>
      </c>
      <c r="J428">
        <f t="shared" si="75"/>
        <v>0.80336157002498931</v>
      </c>
      <c r="K428">
        <f t="shared" si="69"/>
        <v>33.135121978211053</v>
      </c>
      <c r="L428">
        <f>0.5*Z428*K428/J428/$B$7</f>
        <v>20.622795024400006</v>
      </c>
      <c r="M428">
        <f t="shared" si="72"/>
        <v>0.21895039237457167</v>
      </c>
      <c r="N428" s="21">
        <f t="shared" si="76"/>
        <v>3.9705414664530148E-2</v>
      </c>
      <c r="O428" s="21">
        <f t="shared" si="77"/>
        <v>10.532445548193202</v>
      </c>
      <c r="P428">
        <f t="shared" si="73"/>
        <v>0.29147391710879272</v>
      </c>
      <c r="Q428">
        <f t="shared" si="70"/>
        <v>0.80336157002498931</v>
      </c>
      <c r="R428">
        <f t="shared" si="71"/>
        <v>-0.69358465769703437</v>
      </c>
      <c r="T428" s="21">
        <f>(M428-M427)/(H428-H427)</f>
        <v>4.3250648827547478E-4</v>
      </c>
      <c r="W428">
        <v>313</v>
      </c>
      <c r="X428">
        <v>10.398557999999998</v>
      </c>
      <c r="Y428">
        <v>1</v>
      </c>
      <c r="Z428">
        <f t="shared" si="68"/>
        <v>1</v>
      </c>
      <c r="AA428" s="21">
        <f>IF(X428&gt;$B$8+$B$9,0,ABS(X428-O428)/X428)</f>
        <v>1.2875587960677268E-2</v>
      </c>
      <c r="AB428">
        <f>IF(OR(Z425&lt;&gt;Z431,X428&gt;$B$8+$B$9),0,((X431-X425)/(W431-W425)-(O431-O425)/(W431-W425))^2)</f>
        <v>5.2648404673843966E-9</v>
      </c>
    </row>
    <row r="429" spans="7:28" x14ac:dyDescent="0.2">
      <c r="G429" s="21"/>
      <c r="H429" s="21">
        <v>314</v>
      </c>
      <c r="I429">
        <f t="shared" si="74"/>
        <v>1.0880244241040893E-2</v>
      </c>
      <c r="J429">
        <f t="shared" si="75"/>
        <v>0.80301443944033291</v>
      </c>
      <c r="K429">
        <f t="shared" si="69"/>
        <v>33.108706766501918</v>
      </c>
      <c r="L429">
        <f>0.5*Z429*K429/J429/$B$7</f>
        <v>20.61526240398447</v>
      </c>
      <c r="M429">
        <f t="shared" si="72"/>
        <v>0.21938258332863764</v>
      </c>
      <c r="N429" s="21">
        <f t="shared" si="76"/>
        <v>3.973966587414849E-2</v>
      </c>
      <c r="O429" s="21">
        <f t="shared" si="77"/>
        <v>10.543325792434242</v>
      </c>
      <c r="P429">
        <f t="shared" si="73"/>
        <v>0.29198846307659226</v>
      </c>
      <c r="Q429">
        <f t="shared" si="70"/>
        <v>0.80301443944033291</v>
      </c>
      <c r="R429">
        <f t="shared" si="71"/>
        <v>-0.69516568116942701</v>
      </c>
      <c r="T429" s="21">
        <f>(M429-M428)/(H429-H428)</f>
        <v>4.3219095406596408E-4</v>
      </c>
      <c r="W429">
        <v>314</v>
      </c>
      <c r="X429">
        <v>10.401803000000001</v>
      </c>
      <c r="Y429">
        <v>1</v>
      </c>
      <c r="Z429">
        <f t="shared" si="68"/>
        <v>1</v>
      </c>
      <c r="AA429" s="21">
        <f>IF(X429&gt;$B$8+$B$9,0,ABS(X429-O429)/X429)</f>
        <v>1.360560207054883E-2</v>
      </c>
      <c r="AB429">
        <f>IF(OR(Z426&lt;&gt;Z432,X429&gt;$B$8+$B$9),0,((X432-X426)/(W432-W426)-(O432-O426)/(W432-W426))^2)</f>
        <v>1.01755000722352E-5</v>
      </c>
    </row>
    <row r="430" spans="7:28" x14ac:dyDescent="0.2">
      <c r="G430" s="21"/>
      <c r="H430" s="21">
        <v>315</v>
      </c>
      <c r="I430">
        <f t="shared" si="74"/>
        <v>1.086299924999783E-2</v>
      </c>
      <c r="J430">
        <f t="shared" si="75"/>
        <v>0.80266771034412288</v>
      </c>
      <c r="K430">
        <f t="shared" si="69"/>
        <v>33.082398945270825</v>
      </c>
      <c r="L430">
        <f>0.5*Z430*K430/J430/$B$7</f>
        <v>20.607779856428763</v>
      </c>
      <c r="M430">
        <f t="shared" si="72"/>
        <v>0.21981446095976886</v>
      </c>
      <c r="N430" s="21">
        <f t="shared" si="76"/>
        <v>3.9773847328742507E-2</v>
      </c>
      <c r="O430" s="21">
        <f t="shared" si="77"/>
        <v>10.55418879168424</v>
      </c>
      <c r="P430">
        <f t="shared" si="73"/>
        <v>0.2925024139246577</v>
      </c>
      <c r="Q430">
        <f t="shared" si="70"/>
        <v>0.80266771034412288</v>
      </c>
      <c r="R430">
        <f t="shared" si="71"/>
        <v>-0.69675208783642972</v>
      </c>
      <c r="T430" s="21">
        <f>(M430-M429)/(H430-H429)</f>
        <v>4.3187763113122779E-4</v>
      </c>
      <c r="W430">
        <v>315</v>
      </c>
      <c r="X430">
        <v>10.413159999999998</v>
      </c>
      <c r="Y430">
        <v>1</v>
      </c>
      <c r="Z430">
        <f t="shared" si="68"/>
        <v>1</v>
      </c>
      <c r="AA430" s="21">
        <f>IF(X430&gt;$B$8+$B$9,0,ABS(X430-O430)/X430)</f>
        <v>1.3543323226018051E-2</v>
      </c>
      <c r="AB430">
        <f>IF(OR(Z427&lt;&gt;Z433,X430&gt;$B$8+$B$9),0,((X433-X427)/(W433-W427)-(O433-O427)/(W433-W427))^2)</f>
        <v>1.2534289434294963E-6</v>
      </c>
    </row>
    <row r="431" spans="7:28" x14ac:dyDescent="0.2">
      <c r="G431" s="21"/>
      <c r="H431" s="21">
        <v>316</v>
      </c>
      <c r="I431">
        <f t="shared" si="74"/>
        <v>1.0845858025863847E-2</v>
      </c>
      <c r="J431">
        <f t="shared" si="75"/>
        <v>0.80232138058506042</v>
      </c>
      <c r="K431">
        <f t="shared" si="69"/>
        <v>33.056197750874396</v>
      </c>
      <c r="L431">
        <f>0.5*Z431*K431/J431/$B$7</f>
        <v>20.600347037224349</v>
      </c>
      <c r="M431">
        <f t="shared" si="72"/>
        <v>0.22024602746248856</v>
      </c>
      <c r="N431" s="21">
        <f t="shared" si="76"/>
        <v>3.9807959435877435E-2</v>
      </c>
      <c r="O431" s="21">
        <f t="shared" si="77"/>
        <v>10.565034649710103</v>
      </c>
      <c r="P431">
        <f t="shared" si="73"/>
        <v>0.29301577284182417</v>
      </c>
      <c r="Q431">
        <f t="shared" si="70"/>
        <v>0.80232138058506042</v>
      </c>
      <c r="R431">
        <f t="shared" si="71"/>
        <v>-0.698343911942226</v>
      </c>
      <c r="T431" s="21">
        <f>(M431-M430)/(H431-H430)</f>
        <v>4.3156650271969355E-4</v>
      </c>
      <c r="W431">
        <v>316</v>
      </c>
      <c r="X431">
        <v>10.43263</v>
      </c>
      <c r="Y431">
        <v>1</v>
      </c>
      <c r="Z431">
        <f t="shared" si="68"/>
        <v>1</v>
      </c>
      <c r="AA431" s="21">
        <f>IF(X431&gt;$B$8+$B$9,0,ABS(X431-O431)/X431)</f>
        <v>1.269139706000344E-2</v>
      </c>
      <c r="AB431">
        <f>IF(OR(Z428&lt;&gt;Z434,X431&gt;$B$8+$B$9),0,((X434-X428)/(W434-W428)-(O434-O428)/(W434-W428))^2)</f>
        <v>6.924605125558146E-7</v>
      </c>
    </row>
    <row r="432" spans="7:28" x14ac:dyDescent="0.2">
      <c r="G432" s="21"/>
      <c r="H432" s="21">
        <v>317</v>
      </c>
      <c r="I432">
        <f t="shared" si="74"/>
        <v>1.0828819685693051E-2</v>
      </c>
      <c r="J432">
        <f t="shared" si="75"/>
        <v>0.80197544802871135</v>
      </c>
      <c r="K432">
        <f t="shared" si="69"/>
        <v>33.030102427506073</v>
      </c>
      <c r="L432">
        <f>0.5*Z432*K432/J432/$B$7</f>
        <v>20.592963605491555</v>
      </c>
      <c r="M432">
        <f t="shared" si="72"/>
        <v>0.22067728501475767</v>
      </c>
      <c r="N432" s="21">
        <f t="shared" si="76"/>
        <v>3.9842002599612132E-2</v>
      </c>
      <c r="O432" s="21">
        <f t="shared" si="77"/>
        <v>10.575863469395797</v>
      </c>
      <c r="P432">
        <f t="shared" si="73"/>
        <v>0.29352854299192832</v>
      </c>
      <c r="Q432">
        <f t="shared" si="70"/>
        <v>0.80197544802871135</v>
      </c>
      <c r="R432">
        <f t="shared" si="71"/>
        <v>-0.69994118797138183</v>
      </c>
      <c r="T432" s="21">
        <f>(M432-M431)/(H432-H431)</f>
        <v>4.3125755226910978E-4</v>
      </c>
      <c r="W432">
        <v>317</v>
      </c>
      <c r="X432">
        <v>10.450478</v>
      </c>
      <c r="Y432">
        <v>1</v>
      </c>
      <c r="Z432">
        <f t="shared" si="68"/>
        <v>1</v>
      </c>
      <c r="AA432" s="21">
        <f>IF(X432&gt;$B$8+$B$9,0,ABS(X432-O432)/X432)</f>
        <v>1.1998060700744648E-2</v>
      </c>
      <c r="AB432">
        <f>IF(OR(Z429&lt;&gt;Z435,X432&gt;$B$8+$B$9),0,((X435-X429)/(W435-W429)-(O435-O429)/(W435-W429))^2)</f>
        <v>1.8685559802509935E-5</v>
      </c>
    </row>
    <row r="433" spans="7:28" x14ac:dyDescent="0.2">
      <c r="G433" s="21"/>
      <c r="H433" s="21">
        <v>318</v>
      </c>
      <c r="I433">
        <f t="shared" si="74"/>
        <v>1.0811883356944479E-2</v>
      </c>
      <c r="J433">
        <f t="shared" si="75"/>
        <v>0.80162991055731869</v>
      </c>
      <c r="K433">
        <f t="shared" si="69"/>
        <v>33.004112227091312</v>
      </c>
      <c r="L433">
        <f>0.5*Z433*K433/J433/$B$7</f>
        <v>20.585629223930653</v>
      </c>
      <c r="M433">
        <f t="shared" si="72"/>
        <v>0.22110823577816127</v>
      </c>
      <c r="N433" s="21">
        <f t="shared" si="76"/>
        <v>3.9875977220540613E-2</v>
      </c>
      <c r="O433" s="21">
        <f t="shared" si="77"/>
        <v>10.586675352752742</v>
      </c>
      <c r="P433">
        <f t="shared" si="73"/>
        <v>0.29404072751408639</v>
      </c>
      <c r="Q433">
        <f t="shared" si="70"/>
        <v>0.80162991055731869</v>
      </c>
      <c r="R433">
        <f t="shared" si="71"/>
        <v>-0.70154395065144459</v>
      </c>
      <c r="T433" s="21">
        <f>(M433-M432)/(H433-H432)</f>
        <v>4.3095076340360361E-4</v>
      </c>
      <c r="W433">
        <v>318</v>
      </c>
      <c r="X433">
        <v>10.447233000000001</v>
      </c>
      <c r="Y433">
        <v>1</v>
      </c>
      <c r="Z433">
        <f t="shared" si="68"/>
        <v>1</v>
      </c>
      <c r="AA433" s="21">
        <f>IF(X433&gt;$B$8+$B$9,0,ABS(X433-O433)/X433)</f>
        <v>1.3347299974332105E-2</v>
      </c>
      <c r="AB433">
        <f>IF(OR(Z430&lt;&gt;Z436,X433&gt;$B$8+$B$9),0,((X436-X430)/(W436-W430)-(O436-O430)/(W436-W430))^2)</f>
        <v>0</v>
      </c>
    </row>
    <row r="434" spans="7:28" x14ac:dyDescent="0.2">
      <c r="G434" s="21"/>
      <c r="H434" s="21">
        <v>319</v>
      </c>
      <c r="I434">
        <f t="shared" si="74"/>
        <v>1.0795048177327545E-2</v>
      </c>
      <c r="J434">
        <f t="shared" si="75"/>
        <v>0.80128476606961885</v>
      </c>
      <c r="K434">
        <f t="shared" si="69"/>
        <v>32.978226409184614</v>
      </c>
      <c r="L434">
        <f>0.5*Z434*K434/J434/$B$7</f>
        <v>20.578343558773796</v>
      </c>
      <c r="M434">
        <f t="shared" si="72"/>
        <v>0.22153888189809104</v>
      </c>
      <c r="N434" s="21">
        <f t="shared" si="76"/>
        <v>3.9909883695832739E-2</v>
      </c>
      <c r="O434" s="21">
        <f t="shared" si="77"/>
        <v>10.597470400930069</v>
      </c>
      <c r="P434">
        <f t="shared" si="73"/>
        <v>0.29455232952296723</v>
      </c>
      <c r="Q434">
        <f t="shared" si="70"/>
        <v>0.80128476606961885</v>
      </c>
      <c r="R434">
        <f t="shared" si="71"/>
        <v>-0.70315223495556634</v>
      </c>
      <c r="T434" s="21">
        <f>(M434-M433)/(H434-H433)</f>
        <v>4.3064611992976731E-4</v>
      </c>
      <c r="W434">
        <v>319</v>
      </c>
      <c r="X434">
        <v>10.458590000000001</v>
      </c>
      <c r="Y434">
        <v>1</v>
      </c>
      <c r="Z434">
        <f t="shared" si="68"/>
        <v>1</v>
      </c>
      <c r="AA434" s="21">
        <f>IF(X434&gt;$B$8+$B$9,0,ABS(X434-O434)/X434)</f>
        <v>1.3279074992907088E-2</v>
      </c>
      <c r="AB434">
        <f>IF(OR(Z431&lt;&gt;Z437,X434&gt;$B$8+$B$9),0,((X437-X431)/(W437-W431)-(O437-O431)/(W437-W431))^2)</f>
        <v>0</v>
      </c>
    </row>
    <row r="435" spans="7:28" x14ac:dyDescent="0.2">
      <c r="G435" s="21"/>
      <c r="H435" s="21">
        <v>320</v>
      </c>
      <c r="I435">
        <f t="shared" si="74"/>
        <v>1.077831329465026E-2</v>
      </c>
      <c r="J435">
        <f t="shared" si="75"/>
        <v>0.80094001248065849</v>
      </c>
      <c r="K435">
        <f t="shared" si="69"/>
        <v>32.952444240868125</v>
      </c>
      <c r="L435">
        <f>0.5*Z435*K435/J435/$B$7</f>
        <v>20.571106279737695</v>
      </c>
      <c r="M435">
        <f t="shared" si="72"/>
        <v>0.2219692255039275</v>
      </c>
      <c r="N435" s="21">
        <f t="shared" si="76"/>
        <v>3.9943722419274706E-2</v>
      </c>
      <c r="O435" s="21">
        <f t="shared" si="77"/>
        <v>10.60824871422472</v>
      </c>
      <c r="P435">
        <f t="shared" si="73"/>
        <v>0.29506335210906282</v>
      </c>
      <c r="Q435">
        <f t="shared" si="70"/>
        <v>0.80094001248065849</v>
      </c>
      <c r="R435">
        <f t="shared" si="71"/>
        <v>-0.70476607610515696</v>
      </c>
      <c r="T435" s="21">
        <f>(M435-M434)/(H435-H434)</f>
        <v>4.3034360583646403E-4</v>
      </c>
      <c r="W435">
        <v>320</v>
      </c>
      <c r="X435">
        <v>10.492661999999999</v>
      </c>
      <c r="Y435">
        <v>1</v>
      </c>
      <c r="Z435">
        <f t="shared" si="68"/>
        <v>1</v>
      </c>
      <c r="AA435" s="21">
        <f>IF(X435&gt;$B$8+$B$9,0,ABS(X435-O435)/X435)</f>
        <v>1.101595707788173E-2</v>
      </c>
      <c r="AB435">
        <f>IF(OR(Z432&lt;&gt;Z438,X435&gt;$B$8+$B$9),0,((X438-X432)/(W438-W432)-(O438-O432)/(W438-W432))^2)</f>
        <v>0</v>
      </c>
    </row>
    <row r="436" spans="7:28" x14ac:dyDescent="0.2">
      <c r="G436" s="21"/>
      <c r="H436" s="21">
        <v>321</v>
      </c>
      <c r="I436">
        <f t="shared" si="74"/>
        <v>1.0761677866670023E-2</v>
      </c>
      <c r="J436">
        <f t="shared" si="75"/>
        <v>0.80059564772161573</v>
      </c>
      <c r="K436">
        <f t="shared" si="69"/>
        <v>32.926764996651968</v>
      </c>
      <c r="L436">
        <f>0.5*Z436*K436/J436/$B$7</f>
        <v>30.845875589965715</v>
      </c>
      <c r="M436">
        <f t="shared" si="72"/>
        <v>0.22239926870921764</v>
      </c>
      <c r="N436" s="21">
        <f t="shared" si="76"/>
        <v>3.997749378130859E-2</v>
      </c>
      <c r="O436" s="21">
        <f t="shared" si="77"/>
        <v>10.61901039209139</v>
      </c>
      <c r="P436">
        <f t="shared" si="73"/>
        <v>0.2955737983389537</v>
      </c>
      <c r="Q436">
        <f t="shared" si="70"/>
        <v>0.80059564772161573</v>
      </c>
      <c r="R436">
        <f t="shared" si="71"/>
        <v>-0.70638550957256185</v>
      </c>
      <c r="T436" s="21">
        <f>(M436-M435)/(H436-H435)</f>
        <v>4.3004320529013706E-4</v>
      </c>
      <c r="W436">
        <v>321</v>
      </c>
      <c r="X436">
        <v>10.505641999999998</v>
      </c>
      <c r="Y436">
        <v>1.5</v>
      </c>
      <c r="Z436">
        <f t="shared" si="68"/>
        <v>1.5</v>
      </c>
      <c r="AA436" s="21">
        <f>IF(X436&gt;$B$8+$B$9,0,ABS(X436-O436)/X436)</f>
        <v>1.0791191256221347E-2</v>
      </c>
      <c r="AB436">
        <f>IF(OR(Z433&lt;&gt;Z439,X436&gt;$B$8+$B$9),0,((X439-X433)/(W439-W433)-(O439-O433)/(W439-W433))^2)</f>
        <v>0</v>
      </c>
    </row>
    <row r="437" spans="7:28" x14ac:dyDescent="0.2">
      <c r="G437" s="21"/>
      <c r="H437" s="21">
        <v>322</v>
      </c>
      <c r="I437">
        <f t="shared" si="74"/>
        <v>2.3998266764289108E-2</v>
      </c>
      <c r="J437">
        <f t="shared" si="75"/>
        <v>0.79982720978411148</v>
      </c>
      <c r="K437">
        <f t="shared" si="69"/>
        <v>32.869727150751459</v>
      </c>
      <c r="L437">
        <f>0.5*Z437*K437/J437/$B$7</f>
        <v>30.822026384570883</v>
      </c>
      <c r="M437">
        <f t="shared" si="72"/>
        <v>0.22335956241278798</v>
      </c>
      <c r="N437" s="21">
        <f t="shared" si="76"/>
        <v>4.00527486336913E-2</v>
      </c>
      <c r="O437" s="21">
        <f t="shared" si="77"/>
        <v>10.643008658855679</v>
      </c>
      <c r="P437">
        <f t="shared" si="73"/>
        <v>0.2967128412804978</v>
      </c>
      <c r="Q437">
        <f t="shared" si="70"/>
        <v>0.79982720978411148</v>
      </c>
      <c r="R437">
        <f t="shared" si="71"/>
        <v>-0.71002619021141744</v>
      </c>
      <c r="T437" s="21">
        <f>(M437-M436)/(H437-H436)</f>
        <v>9.6029370357034183E-4</v>
      </c>
      <c r="W437">
        <v>322</v>
      </c>
      <c r="X437">
        <v>10.539714</v>
      </c>
      <c r="Y437">
        <v>1.5</v>
      </c>
      <c r="Z437">
        <f t="shared" si="68"/>
        <v>1.5</v>
      </c>
      <c r="AA437" s="21">
        <f>IF(X437&gt;$B$8+$B$9,0,ABS(X437-O437)/X437)</f>
        <v>9.8005181977119434E-3</v>
      </c>
      <c r="AB437">
        <f>IF(OR(Z434&lt;&gt;Z440,X437&gt;$B$8+$B$9),0,((X440-X434)/(W440-W434)-(O440-O434)/(W440-W434))^2)</f>
        <v>0</v>
      </c>
    </row>
    <row r="438" spans="7:28" x14ac:dyDescent="0.2">
      <c r="G438" s="21"/>
      <c r="H438" s="21">
        <v>323</v>
      </c>
      <c r="I438">
        <f t="shared" si="74"/>
        <v>2.3916488698900683E-2</v>
      </c>
      <c r="J438">
        <f t="shared" si="75"/>
        <v>0.7990606892218689</v>
      </c>
      <c r="K438">
        <f t="shared" si="69"/>
        <v>32.813192721179306</v>
      </c>
      <c r="L438">
        <f>0.5*Z438*K438/J438/$B$7</f>
        <v>30.798529914980268</v>
      </c>
      <c r="M438">
        <f t="shared" si="72"/>
        <v>0.22431837962748191</v>
      </c>
      <c r="N438" s="21">
        <f t="shared" si="76"/>
        <v>4.0127672350419544E-2</v>
      </c>
      <c r="O438" s="21">
        <f t="shared" si="77"/>
        <v>10.666925147554579</v>
      </c>
      <c r="P438">
        <f t="shared" si="73"/>
        <v>0.29784904212816365</v>
      </c>
      <c r="Q438">
        <f t="shared" si="70"/>
        <v>0.7990606892218689</v>
      </c>
      <c r="R438">
        <f t="shared" si="71"/>
        <v>-0.71369536746105811</v>
      </c>
      <c r="T438" s="21">
        <f>(M438-M437)/(H438-H437)</f>
        <v>9.5881721469393E-4</v>
      </c>
      <c r="W438">
        <v>323</v>
      </c>
      <c r="X438">
        <v>10.564050999999999</v>
      </c>
      <c r="Y438">
        <v>1.5</v>
      </c>
      <c r="Z438">
        <f t="shared" si="68"/>
        <v>1.5</v>
      </c>
      <c r="AA438" s="21">
        <f>IF(X438&gt;$B$8+$B$9,0,ABS(X438-O438)/X438)</f>
        <v>9.7381343155745863E-3</v>
      </c>
      <c r="AB438">
        <f>IF(OR(Z435&lt;&gt;Z441,X438&gt;$B$8+$B$9),0,((X441-X435)/(W441-W435)-(O441-O435)/(W441-W435))^2)</f>
        <v>0</v>
      </c>
    </row>
    <row r="439" spans="7:28" x14ac:dyDescent="0.2">
      <c r="G439" s="21"/>
      <c r="H439" s="21">
        <v>324</v>
      </c>
      <c r="I439">
        <f t="shared" si="74"/>
        <v>2.3835782852734352E-2</v>
      </c>
      <c r="J439">
        <f t="shared" si="75"/>
        <v>0.79829606362043914</v>
      </c>
      <c r="K439">
        <f t="shared" si="69"/>
        <v>32.757153969113908</v>
      </c>
      <c r="L439">
        <f>0.5*Z439*K439/J439/$B$7</f>
        <v>30.775380960060151</v>
      </c>
      <c r="M439">
        <f t="shared" si="72"/>
        <v>0.22527574329526667</v>
      </c>
      <c r="N439" s="21">
        <f t="shared" si="76"/>
        <v>4.0202269136809646E-2</v>
      </c>
      <c r="O439" s="21">
        <f t="shared" si="77"/>
        <v>10.690760930407313</v>
      </c>
      <c r="P439">
        <f t="shared" si="73"/>
        <v>0.29898243410652064</v>
      </c>
      <c r="Q439">
        <f t="shared" si="70"/>
        <v>0.79829606362043914</v>
      </c>
      <c r="R439">
        <f t="shared" si="71"/>
        <v>-0.71739345133668253</v>
      </c>
      <c r="T439" s="21">
        <f>(M439-M438)/(H439-H438)</f>
        <v>9.5736366778476079E-4</v>
      </c>
      <c r="W439">
        <v>324</v>
      </c>
      <c r="X439">
        <v>10.583521000000001</v>
      </c>
      <c r="Y439">
        <v>1.5</v>
      </c>
      <c r="Z439">
        <f t="shared" si="68"/>
        <v>1.5</v>
      </c>
      <c r="AA439" s="21">
        <f>IF(X439&gt;$B$8+$B$9,0,ABS(X439-O439)/X439)</f>
        <v>1.0132727133749906E-2</v>
      </c>
      <c r="AB439">
        <f>IF(OR(Z436&lt;&gt;Z442,X439&gt;$B$8+$B$9),0,((X442-X436)/(W442-W436)-(O442-O436)/(W442-W436))^2)</f>
        <v>2.9158526565604264E-7</v>
      </c>
    </row>
    <row r="440" spans="7:28" x14ac:dyDescent="0.2">
      <c r="G440" s="21"/>
      <c r="H440" s="21">
        <v>325</v>
      </c>
      <c r="I440">
        <f t="shared" si="74"/>
        <v>2.3756129551787408E-2</v>
      </c>
      <c r="J440">
        <f t="shared" si="75"/>
        <v>0.79753331094488789</v>
      </c>
      <c r="K440">
        <f t="shared" si="69"/>
        <v>32.701603326910707</v>
      </c>
      <c r="L440">
        <f>0.5*Z440*K440/J440/$B$7</f>
        <v>30.752574417393667</v>
      </c>
      <c r="M440">
        <f t="shared" si="72"/>
        <v>0.2262316759855558</v>
      </c>
      <c r="N440" s="21">
        <f t="shared" si="76"/>
        <v>4.0276543120139757E-2</v>
      </c>
      <c r="O440" s="21">
        <f t="shared" si="77"/>
        <v>10.7145170599591</v>
      </c>
      <c r="P440">
        <f t="shared" si="73"/>
        <v>0.30011304987759041</v>
      </c>
      <c r="Q440">
        <f t="shared" si="70"/>
        <v>0.79753331094488789</v>
      </c>
      <c r="R440">
        <f t="shared" si="71"/>
        <v>-0.72112085855318353</v>
      </c>
      <c r="T440" s="21">
        <f>(M440-M439)/(H440-H439)</f>
        <v>9.5593269028912409E-4</v>
      </c>
      <c r="W440">
        <v>325</v>
      </c>
      <c r="X440">
        <v>10.619215999999998</v>
      </c>
      <c r="Y440">
        <v>1.5</v>
      </c>
      <c r="Z440">
        <f t="shared" si="68"/>
        <v>1.5</v>
      </c>
      <c r="AA440" s="21">
        <f>IF(X440&gt;$B$8+$B$9,0,ABS(X440-O440)/X440)</f>
        <v>8.9743969761140359E-3</v>
      </c>
      <c r="AB440">
        <f>IF(OR(Z437&lt;&gt;Z443,X440&gt;$B$8+$B$9),0,((X443-X437)/(W443-W437)-(O443-O437)/(W443-W437))^2)</f>
        <v>3.2930820529094648E-6</v>
      </c>
    </row>
    <row r="441" spans="7:28" x14ac:dyDescent="0.2">
      <c r="G441" s="21"/>
      <c r="H441" s="21">
        <v>326</v>
      </c>
      <c r="I441">
        <f t="shared" si="74"/>
        <v>2.3677509621241061E-2</v>
      </c>
      <c r="J441">
        <f t="shared" si="75"/>
        <v>0.79677240953070694</v>
      </c>
      <c r="K441">
        <f t="shared" si="69"/>
        <v>32.646533393186765</v>
      </c>
      <c r="L441">
        <f>0.5*Z441*K441/J441/$B$7</f>
        <v>30.730105299845285</v>
      </c>
      <c r="M441">
        <f t="shared" si="72"/>
        <v>0.22718619990425118</v>
      </c>
      <c r="N441" s="21">
        <f t="shared" si="76"/>
        <v>4.0350498351637974E-2</v>
      </c>
      <c r="O441" s="21">
        <f t="shared" si="77"/>
        <v>10.73819456958034</v>
      </c>
      <c r="P441">
        <f t="shared" si="73"/>
        <v>0.3012409215543177</v>
      </c>
      <c r="Q441">
        <f t="shared" si="70"/>
        <v>0.79677240953070694</v>
      </c>
      <c r="R441">
        <f t="shared" si="71"/>
        <v>-0.72487801268776431</v>
      </c>
      <c r="T441" s="21">
        <f>(M441-M440)/(H441-H440)</f>
        <v>9.5452391869538245E-4</v>
      </c>
      <c r="W441">
        <v>326</v>
      </c>
      <c r="X441">
        <v>10.620837999999999</v>
      </c>
      <c r="Y441">
        <v>1.5</v>
      </c>
      <c r="Z441">
        <f t="shared" si="68"/>
        <v>1.5</v>
      </c>
      <c r="AA441" s="21">
        <f>IF(X441&gt;$B$8+$B$9,0,ABS(X441-O441)/X441)</f>
        <v>1.1049652539690478E-2</v>
      </c>
      <c r="AB441">
        <f>IF(OR(Z438&lt;&gt;Z444,X441&gt;$B$8+$B$9),0,((X444-X438)/(W444-W438)-(O444-O438)/(W444-W438))^2)</f>
        <v>1.2968936451759544E-8</v>
      </c>
    </row>
    <row r="442" spans="7:28" x14ac:dyDescent="0.2">
      <c r="G442" s="21"/>
      <c r="H442" s="21">
        <v>327</v>
      </c>
      <c r="I442">
        <f t="shared" si="74"/>
        <v>2.3599904369551322E-2</v>
      </c>
      <c r="J442">
        <f t="shared" si="75"/>
        <v>0.79601333807500319</v>
      </c>
      <c r="K442">
        <f t="shared" si="69"/>
        <v>32.591936928078589</v>
      </c>
      <c r="L442">
        <f>0.5*Z442*K442/J442/$B$7</f>
        <v>30.707968732247231</v>
      </c>
      <c r="M442">
        <f t="shared" si="72"/>
        <v>0.2281393369025084</v>
      </c>
      <c r="N442" s="21">
        <f t="shared" si="76"/>
        <v>4.0424138808407083E-2</v>
      </c>
      <c r="O442" s="21">
        <f t="shared" si="77"/>
        <v>10.761794473949891</v>
      </c>
      <c r="P442">
        <f t="shared" si="73"/>
        <v>0.30236608071363147</v>
      </c>
      <c r="Q442">
        <f t="shared" si="70"/>
        <v>0.79601333807500319</v>
      </c>
      <c r="R442">
        <f t="shared" si="71"/>
        <v>-0.72866534434650609</v>
      </c>
      <c r="T442" s="21">
        <f>(M442-M441)/(H442-H441)</f>
        <v>9.531369982572202E-4</v>
      </c>
      <c r="W442">
        <v>327</v>
      </c>
      <c r="X442">
        <v>10.651665999999999</v>
      </c>
      <c r="Y442">
        <v>1.5</v>
      </c>
      <c r="Z442">
        <f t="shared" si="68"/>
        <v>1.5</v>
      </c>
      <c r="AA442" s="21">
        <f>IF(X442&gt;$B$8+$B$9,0,ABS(X442-O442)/X442)</f>
        <v>1.0339084416455814E-2</v>
      </c>
      <c r="AB442">
        <f>IF(OR(Z439&lt;&gt;Z445,X442&gt;$B$8+$B$9),0,((X445-X439)/(W445-W439)-(O445-O439)/(W445-W439))^2)</f>
        <v>9.0686316267110867E-6</v>
      </c>
    </row>
    <row r="443" spans="7:28" x14ac:dyDescent="0.2">
      <c r="G443" s="21"/>
      <c r="H443" s="21">
        <v>328</v>
      </c>
      <c r="I443">
        <f t="shared" si="74"/>
        <v>2.3523295573150627E-2</v>
      </c>
      <c r="J443">
        <f t="shared" si="75"/>
        <v>0.79525607562795364</v>
      </c>
      <c r="K443">
        <f t="shared" si="69"/>
        <v>32.537806848665966</v>
      </c>
      <c r="L443">
        <f>0.5*Z443*K443/J443/$B$7</f>
        <v>30.686159948202832</v>
      </c>
      <c r="M443">
        <f t="shared" si="72"/>
        <v>0.22909110848523795</v>
      </c>
      <c r="N443" s="21">
        <f t="shared" si="76"/>
        <v>4.0497468395288026E-2</v>
      </c>
      <c r="O443" s="21">
        <f t="shared" si="77"/>
        <v>10.785317769523042</v>
      </c>
      <c r="P443">
        <f t="shared" si="73"/>
        <v>0.30348855840911032</v>
      </c>
      <c r="Q443">
        <f t="shared" si="70"/>
        <v>0.79525607562795364</v>
      </c>
      <c r="R443">
        <f t="shared" si="71"/>
        <v>-0.73248329133502232</v>
      </c>
      <c r="T443" s="21">
        <f>(M443-M442)/(H443-H442)</f>
        <v>9.517715827295492E-4</v>
      </c>
      <c r="W443">
        <v>328</v>
      </c>
      <c r="X443">
        <v>10.671135</v>
      </c>
      <c r="Y443">
        <v>1.5</v>
      </c>
      <c r="Z443">
        <f t="shared" si="68"/>
        <v>1.5</v>
      </c>
      <c r="AA443" s="21">
        <f>IF(X443&gt;$B$8+$B$9,0,ABS(X443-O443)/X443)</f>
        <v>1.0700152282118274E-2</v>
      </c>
      <c r="AB443">
        <f>IF(OR(Z440&lt;&gt;Z446,X443&gt;$B$8+$B$9),0,((X446-X440)/(W446-W440)-(O446-O440)/(W446-W440))^2)</f>
        <v>1.0276987071880655E-5</v>
      </c>
    </row>
    <row r="444" spans="7:28" x14ac:dyDescent="0.2">
      <c r="G444" s="21"/>
      <c r="H444" s="21">
        <v>329</v>
      </c>
      <c r="I444">
        <f t="shared" si="74"/>
        <v>2.3447665461732638E-2</v>
      </c>
      <c r="J444">
        <f t="shared" si="75"/>
        <v>0.79450060158451774</v>
      </c>
      <c r="K444">
        <f t="shared" si="69"/>
        <v>32.484136224554959</v>
      </c>
      <c r="L444">
        <f>0.5*Z444*K444/J444/$B$7</f>
        <v>30.664674287001795</v>
      </c>
      <c r="M444">
        <f t="shared" si="72"/>
        <v>0.23004153581935005</v>
      </c>
      <c r="N444" s="21">
        <f t="shared" si="76"/>
        <v>4.057049094666465E-2</v>
      </c>
      <c r="O444" s="21">
        <f t="shared" si="77"/>
        <v>10.808765434984775</v>
      </c>
      <c r="P444">
        <f t="shared" si="73"/>
        <v>0.30460838518326755</v>
      </c>
      <c r="Q444">
        <f t="shared" si="70"/>
        <v>0.79450060158451774</v>
      </c>
      <c r="R444">
        <f t="shared" si="71"/>
        <v>-0.73633229883334683</v>
      </c>
      <c r="T444" s="21">
        <f>(M444-M443)/(H444-H443)</f>
        <v>9.5042733411210278E-4</v>
      </c>
      <c r="W444">
        <v>329</v>
      </c>
      <c r="X444">
        <v>10.705207999999999</v>
      </c>
      <c r="Y444">
        <v>1.5</v>
      </c>
      <c r="Z444">
        <f t="shared" si="68"/>
        <v>1.5</v>
      </c>
      <c r="AA444" s="21">
        <f>IF(X444&gt;$B$8+$B$9,0,ABS(X444-O444)/X444)</f>
        <v>9.6735565516126044E-3</v>
      </c>
      <c r="AB444">
        <f>IF(OR(Z441&lt;&gt;Z447,X444&gt;$B$8+$B$9),0,((X447-X441)/(W447-W441)-(O447-O441)/(W447-W441))^2)</f>
        <v>1.3125118501669287E-8</v>
      </c>
    </row>
    <row r="445" spans="7:28" x14ac:dyDescent="0.2">
      <c r="G445" s="21"/>
      <c r="H445" s="21">
        <v>330</v>
      </c>
      <c r="I445">
        <f t="shared" si="74"/>
        <v>2.3372996704094446E-2</v>
      </c>
      <c r="J445">
        <f t="shared" si="75"/>
        <v>0.79374689567639656</v>
      </c>
      <c r="K445">
        <f t="shared" si="69"/>
        <v>32.430918273613429</v>
      </c>
      <c r="L445">
        <f>0.5*Z445*K445/J445/$B$7</f>
        <v>30.643507190642818</v>
      </c>
      <c r="M445">
        <f t="shared" si="72"/>
        <v>0.23099063974175393</v>
      </c>
      <c r="N445" s="21">
        <f t="shared" si="76"/>
        <v>4.0643210228211886E-2</v>
      </c>
      <c r="O445" s="21">
        <f t="shared" si="77"/>
        <v>10.832138431688868</v>
      </c>
      <c r="P445">
        <f t="shared" si="73"/>
        <v>0.30572559107947023</v>
      </c>
      <c r="Q445">
        <f t="shared" si="70"/>
        <v>0.79374689567639656</v>
      </c>
      <c r="R445">
        <f t="shared" si="71"/>
        <v>-0.74021281957520579</v>
      </c>
      <c r="T445" s="21">
        <f>(M445-M444)/(H445-H444)</f>
        <v>9.4910392240388219E-4</v>
      </c>
      <c r="W445">
        <v>330</v>
      </c>
      <c r="X445">
        <v>10.70683</v>
      </c>
      <c r="Y445">
        <v>1.5</v>
      </c>
      <c r="Z445">
        <f t="shared" si="68"/>
        <v>1.5</v>
      </c>
      <c r="AA445" s="21">
        <f>IF(X445&gt;$B$8+$B$9,0,ABS(X445-O445)/X445)</f>
        <v>1.1703597767861092E-2</v>
      </c>
      <c r="AB445">
        <f>IF(OR(Z442&lt;&gt;Z448,X445&gt;$B$8+$B$9),0,((X448-X442)/(W448-W442)-(O448-O442)/(W448-W442))^2)</f>
        <v>5.0409961730934905E-6</v>
      </c>
    </row>
    <row r="446" spans="7:28" x14ac:dyDescent="0.2">
      <c r="G446" s="21"/>
      <c r="H446" s="21">
        <v>331</v>
      </c>
      <c r="I446">
        <f t="shared" si="74"/>
        <v>2.3299272394511444E-2</v>
      </c>
      <c r="J446">
        <f t="shared" si="75"/>
        <v>0.79299493796423026</v>
      </c>
      <c r="K446">
        <f t="shared" si="69"/>
        <v>32.378146357852991</v>
      </c>
      <c r="L446">
        <f>0.5*Z446*K446/J446/$B$7</f>
        <v>30.622654200959236</v>
      </c>
      <c r="M446">
        <f t="shared" si="72"/>
        <v>0.23193844076712047</v>
      </c>
      <c r="N446" s="21">
        <f t="shared" si="76"/>
        <v>4.0715629938589487E-2</v>
      </c>
      <c r="O446" s="21">
        <f t="shared" si="77"/>
        <v>10.85543770408338</v>
      </c>
      <c r="P446">
        <f t="shared" si="73"/>
        <v>0.30684020565350412</v>
      </c>
      <c r="Q446">
        <f t="shared" si="70"/>
        <v>0.79299493796423026</v>
      </c>
      <c r="R446">
        <f t="shared" si="71"/>
        <v>-0.74412531403182136</v>
      </c>
      <c r="T446" s="21">
        <f>(M446-M445)/(H446-H445)</f>
        <v>9.4780102536654032E-4</v>
      </c>
      <c r="W446">
        <v>331</v>
      </c>
      <c r="X446">
        <v>10.740901999999998</v>
      </c>
      <c r="Y446">
        <v>1.5</v>
      </c>
      <c r="Z446">
        <f t="shared" ref="Z446:Z509" si="78">Y446</f>
        <v>1.5</v>
      </c>
      <c r="AA446" s="21">
        <f>IF(X446&gt;$B$8+$B$9,0,ABS(X446-O446)/X446)</f>
        <v>1.0663508901150191E-2</v>
      </c>
      <c r="AB446">
        <f>IF(OR(Z443&lt;&gt;Z449,X446&gt;$B$8+$B$9),0,((X449-X443)/(W449-W443)-(O449-O443)/(W449-W443))^2)</f>
        <v>1.1883199550060455E-6</v>
      </c>
    </row>
    <row r="447" spans="7:28" x14ac:dyDescent="0.2">
      <c r="G447" s="21"/>
      <c r="H447" s="21">
        <v>332</v>
      </c>
      <c r="I447">
        <f t="shared" si="74"/>
        <v>2.3226476039621469E-2</v>
      </c>
      <c r="J447">
        <f t="shared" si="75"/>
        <v>0.79224470883002551</v>
      </c>
      <c r="K447">
        <f t="shared" si="69"/>
        <v>32.32581397945134</v>
      </c>
      <c r="L447">
        <f>0.5*Z447*K447/J447/$B$7</f>
        <v>30.602110956843365</v>
      </c>
      <c r="M447">
        <f t="shared" si="72"/>
        <v>0.23288495909541559</v>
      </c>
      <c r="N447" s="21">
        <f t="shared" si="76"/>
        <v>4.0787753711083383E-2</v>
      </c>
      <c r="O447" s="21">
        <f t="shared" si="77"/>
        <v>10.878664180123002</v>
      </c>
      <c r="P447">
        <f t="shared" si="73"/>
        <v>0.30795225798479853</v>
      </c>
      <c r="Q447">
        <f t="shared" si="70"/>
        <v>0.79224470883002551</v>
      </c>
      <c r="R447">
        <f t="shared" si="71"/>
        <v>-0.7480702506004101</v>
      </c>
      <c r="T447" s="21">
        <f>(M447-M446)/(H447-H446)</f>
        <v>9.4651832829512061E-4</v>
      </c>
      <c r="W447">
        <v>332</v>
      </c>
      <c r="X447">
        <v>10.761994999999999</v>
      </c>
      <c r="Y447">
        <v>1.5</v>
      </c>
      <c r="Z447">
        <f t="shared" si="78"/>
        <v>1.5</v>
      </c>
      <c r="AA447" s="21">
        <f>IF(X447&gt;$B$8+$B$9,0,ABS(X447-O447)/X447)</f>
        <v>1.0840850615801499E-2</v>
      </c>
      <c r="AB447">
        <f>IF(OR(Z444&lt;&gt;Z450,X447&gt;$B$8+$B$9),0,((X450-X444)/(W450-W444)-(O450-O444)/(W450-W444))^2)</f>
        <v>1.3853824419770677E-5</v>
      </c>
    </row>
    <row r="448" spans="7:28" x14ac:dyDescent="0.2">
      <c r="G448" s="21"/>
      <c r="H448" s="21">
        <v>333</v>
      </c>
      <c r="I448">
        <f t="shared" si="74"/>
        <v>2.3154591545796091E-2</v>
      </c>
      <c r="J448">
        <f t="shared" si="75"/>
        <v>0.79149618896980467</v>
      </c>
      <c r="K448">
        <f t="shared" si="69"/>
        <v>32.273914776909287</v>
      </c>
      <c r="L448">
        <f>0.5*Z448*K448/J448/$B$7</f>
        <v>30.581873191565542</v>
      </c>
      <c r="M448">
        <f t="shared" si="72"/>
        <v>0.23383021461921338</v>
      </c>
      <c r="N448" s="21">
        <f t="shared" si="76"/>
        <v>4.0859585115196627E-2</v>
      </c>
      <c r="O448" s="21">
        <f t="shared" si="77"/>
        <v>10.901818771668797</v>
      </c>
      <c r="P448">
        <f t="shared" si="73"/>
        <v>0.30906177668732288</v>
      </c>
      <c r="Q448">
        <f t="shared" si="70"/>
        <v>0.79149618896980467</v>
      </c>
      <c r="R448">
        <f t="shared" si="71"/>
        <v>-0.75204810579753834</v>
      </c>
      <c r="T448" s="21">
        <f>(M448-M447)/(H448-H447)</f>
        <v>9.4525552379778888E-4</v>
      </c>
      <c r="W448">
        <v>333</v>
      </c>
      <c r="X448">
        <v>10.778219</v>
      </c>
      <c r="Y448">
        <v>1.5</v>
      </c>
      <c r="Z448">
        <f t="shared" si="78"/>
        <v>1.5</v>
      </c>
      <c r="AA448" s="21">
        <f>IF(X448&gt;$B$8+$B$9,0,ABS(X448-O448)/X448)</f>
        <v>1.1467550591502815E-2</v>
      </c>
      <c r="AB448">
        <f>IF(OR(Z445&lt;&gt;Z451,X448&gt;$B$8+$B$9),0,((X451-X445)/(W451-W445)-(O451-O445)/(W451-W445))^2)</f>
        <v>5.2841037401308466E-6</v>
      </c>
    </row>
    <row r="449" spans="7:28" x14ac:dyDescent="0.2">
      <c r="G449" s="21"/>
      <c r="H449" s="21">
        <v>334</v>
      </c>
      <c r="I449">
        <f t="shared" si="74"/>
        <v>2.3083603206977724E-2</v>
      </c>
      <c r="J449">
        <f t="shared" si="75"/>
        <v>0.79074935938646829</v>
      </c>
      <c r="K449">
        <f t="shared" si="69"/>
        <v>32.222442521337285</v>
      </c>
      <c r="L449">
        <f>0.5*Z449*K449/J449/$B$7</f>
        <v>30.56193673018424</v>
      </c>
      <c r="M449">
        <f t="shared" si="72"/>
        <v>0.23477422693079705</v>
      </c>
      <c r="N449" s="21">
        <f t="shared" si="76"/>
        <v>4.0931127658191721E-2</v>
      </c>
      <c r="O449" s="21">
        <f t="shared" si="77"/>
        <v>10.924902374875774</v>
      </c>
      <c r="P449">
        <f t="shared" si="73"/>
        <v>0.31016878992016567</v>
      </c>
      <c r="Q449">
        <f t="shared" si="70"/>
        <v>0.79074935938646829</v>
      </c>
      <c r="R449">
        <f t="shared" si="71"/>
        <v>-0.7560593644575001</v>
      </c>
      <c r="T449" s="21">
        <f>(M449-M448)/(H449-H448)</f>
        <v>9.4401231158366961E-4</v>
      </c>
      <c r="W449">
        <v>334</v>
      </c>
      <c r="X449">
        <v>10.804178999999998</v>
      </c>
      <c r="Y449">
        <v>1.5</v>
      </c>
      <c r="Z449">
        <f t="shared" si="78"/>
        <v>1.5</v>
      </c>
      <c r="AA449" s="21">
        <f>IF(X449&gt;$B$8+$B$9,0,ABS(X449-O449)/X449)</f>
        <v>1.1173766639350994E-2</v>
      </c>
      <c r="AB449">
        <f>IF(OR(Z446&lt;&gt;Z452,X449&gt;$B$8+$B$9),0,((X452-X446)/(W452-W446)-(O452-O446)/(W452-W446))^2)</f>
        <v>7.6648544789677219E-6</v>
      </c>
    </row>
    <row r="450" spans="7:28" x14ac:dyDescent="0.2">
      <c r="G450" s="21"/>
      <c r="H450" s="21">
        <v>335</v>
      </c>
      <c r="I450">
        <f t="shared" si="74"/>
        <v>2.3013495692962932E-2</v>
      </c>
      <c r="J450">
        <f t="shared" si="75"/>
        <v>0.79000420138286409</v>
      </c>
      <c r="K450">
        <f t="shared" si="69"/>
        <v>32.171391112865955</v>
      </c>
      <c r="L450">
        <f>0.5*Z450*K450/J450/$B$7</f>
        <v>30.542297487043257</v>
      </c>
      <c r="M450">
        <f t="shared" si="72"/>
        <v>0.2357170153290544</v>
      </c>
      <c r="N450" s="21">
        <f t="shared" si="76"/>
        <v>4.1002384786586195E-2</v>
      </c>
      <c r="O450" s="21">
        <f t="shared" si="77"/>
        <v>10.947915870568737</v>
      </c>
      <c r="P450">
        <f t="shared" si="73"/>
        <v>0.31127332539780916</v>
      </c>
      <c r="Q450">
        <f t="shared" si="70"/>
        <v>0.79000420138286409</v>
      </c>
      <c r="R450">
        <f t="shared" si="71"/>
        <v>-0.76010451993590011</v>
      </c>
      <c r="T450" s="21">
        <f>(M450-M449)/(H450-H449)</f>
        <v>9.4278839825734373E-4</v>
      </c>
      <c r="W450">
        <v>335</v>
      </c>
      <c r="X450">
        <v>10.822026000000001</v>
      </c>
      <c r="Y450">
        <v>1.5</v>
      </c>
      <c r="Z450">
        <f t="shared" si="78"/>
        <v>1.5</v>
      </c>
      <c r="AA450" s="21">
        <f>IF(X450&gt;$B$8+$B$9,0,ABS(X450-O450)/X450)</f>
        <v>1.1632745159615779E-2</v>
      </c>
      <c r="AB450">
        <f>IF(OR(Z447&lt;&gt;Z453,X450&gt;$B$8+$B$9),0,((X453-X447)/(W453-W447)-(O453-O447)/(W453-W447))^2)</f>
        <v>3.5639891482014021E-6</v>
      </c>
    </row>
    <row r="451" spans="7:28" x14ac:dyDescent="0.2">
      <c r="G451" s="21"/>
      <c r="H451" s="21">
        <v>336</v>
      </c>
      <c r="I451">
        <f t="shared" si="74"/>
        <v>2.2944254038112212E-2</v>
      </c>
      <c r="J451">
        <f t="shared" si="75"/>
        <v>0.78926069655505404</v>
      </c>
      <c r="K451">
        <f t="shared" ref="K451:K514" si="79">IF(O451&lt;$B$8+$B$9,0.5*(($B$8+$B$9)^2+O451^2)/O451-$B$9,$B$8)</f>
        <v>32.120754577176058</v>
      </c>
      <c r="L451">
        <f>0.5*Z451*K451/J451/$B$7</f>
        <v>30.522951463352936</v>
      </c>
      <c r="M451">
        <f t="shared" si="72"/>
        <v>0.23665859882617665</v>
      </c>
      <c r="N451" s="21">
        <f t="shared" si="76"/>
        <v>4.1073359887603161E-2</v>
      </c>
      <c r="O451" s="21">
        <f t="shared" si="77"/>
        <v>10.970860124606849</v>
      </c>
      <c r="P451">
        <f t="shared" si="73"/>
        <v>0.31237541040010819</v>
      </c>
      <c r="Q451">
        <f t="shared" ref="Q451:Q514" si="80">1-B$15*P451</f>
        <v>0.78926069655505404</v>
      </c>
      <c r="R451">
        <f t="shared" ref="R451:R514" si="81">$E$15/(P451+$E$16)</f>
        <v>-0.76418407431861313</v>
      </c>
      <c r="T451" s="21">
        <f>(M451-M450)/(H451-H450)</f>
        <v>9.4158349712225586E-4</v>
      </c>
      <c r="W451">
        <v>336</v>
      </c>
      <c r="X451">
        <v>10.859344</v>
      </c>
      <c r="Y451">
        <v>1.5</v>
      </c>
      <c r="Z451">
        <f t="shared" si="78"/>
        <v>1.5</v>
      </c>
      <c r="AA451" s="21">
        <f>IF(X451&gt;$B$8+$B$9,0,ABS(X451-O451)/X451)</f>
        <v>1.0269140070233454E-2</v>
      </c>
      <c r="AB451">
        <f>IF(OR(Z448&lt;&gt;Z454,X451&gt;$B$8+$B$9),0,((X454-X448)/(W454-W448)-(O454-O448)/(W454-W448))^2)</f>
        <v>5.4344088496867305E-7</v>
      </c>
    </row>
    <row r="452" spans="7:28" x14ac:dyDescent="0.2">
      <c r="G452" s="21"/>
      <c r="H452" s="21">
        <v>337</v>
      </c>
      <c r="I452">
        <f t="shared" si="74"/>
        <v>2.2875863630468691E-2</v>
      </c>
      <c r="J452">
        <f t="shared" si="75"/>
        <v>0.7885188267857749</v>
      </c>
      <c r="K452">
        <f t="shared" si="79"/>
        <v>32.070527062142993</v>
      </c>
      <c r="L452">
        <f>0.5*Z452*K452/J452/$B$7</f>
        <v>30.503894744851724</v>
      </c>
      <c r="M452">
        <f t="shared" ref="M452:M515" si="82">-LN(J452)</f>
        <v>0.2375989961541643</v>
      </c>
      <c r="N452" s="21">
        <f t="shared" si="76"/>
        <v>4.1144056290578268E-2</v>
      </c>
      <c r="O452" s="21">
        <f t="shared" si="77"/>
        <v>10.993735988237319</v>
      </c>
      <c r="P452">
        <f t="shared" ref="P452:P515" si="83">MIN(O452/(K452+$B$9),1)</f>
        <v>0.31347507178198492</v>
      </c>
      <c r="Q452">
        <f t="shared" si="80"/>
        <v>0.7885188267857749</v>
      </c>
      <c r="R452">
        <f t="shared" si="81"/>
        <v>-0.76829853863631425</v>
      </c>
      <c r="T452" s="21">
        <f>(M452-M451)/(H452-H451)</f>
        <v>9.4039732798764653E-4</v>
      </c>
      <c r="W452">
        <v>337</v>
      </c>
      <c r="X452">
        <v>10.862589</v>
      </c>
      <c r="Y452">
        <v>1.5</v>
      </c>
      <c r="Z452">
        <f t="shared" si="78"/>
        <v>1.5</v>
      </c>
      <c r="AA452" s="21">
        <f>IF(X452&gt;$B$8+$B$9,0,ABS(X452-O452)/X452)</f>
        <v>1.2073271688482263E-2</v>
      </c>
      <c r="AB452">
        <f>IF(OR(Z449&lt;&gt;Z455,X452&gt;$B$8+$B$9),0,((X455-X449)/(W455-W449)-(O455-O449)/(W455-W449))^2)</f>
        <v>4.4782021624066878E-7</v>
      </c>
    </row>
    <row r="453" spans="7:28" x14ac:dyDescent="0.2">
      <c r="G453" s="21"/>
      <c r="H453" s="21">
        <v>338</v>
      </c>
      <c r="I453">
        <f t="shared" ref="I453:I516" si="84">IF(P452&lt;0.999,MAX(0,MIN(10000000,(L452/$E$8/M452^$E$10)^(1/$E$9)/N452)),0.1)</f>
        <v>2.2808310201268108E-2</v>
      </c>
      <c r="J453">
        <f t="shared" ref="J453:J516" si="85">Q453</f>
        <v>0.78777857423808251</v>
      </c>
      <c r="K453">
        <f t="shared" si="79"/>
        <v>32.02070283459139</v>
      </c>
      <c r="L453">
        <f>0.5*Z453*K453/J453/$B$7</f>
        <v>30.48512349954515</v>
      </c>
      <c r="M453">
        <f t="shared" si="82"/>
        <v>0.23853822577115094</v>
      </c>
      <c r="N453" s="21">
        <f t="shared" ref="N453:N516" si="86">-$B$15*(O453-2*(K453+$B$9))/(K453+$B$9)^2/J453</f>
        <v>4.1214477268324987E-2</v>
      </c>
      <c r="O453" s="21">
        <f t="shared" ref="O453:O516" si="87">O452+I453*(H453-H452)</f>
        <v>11.016544298438587</v>
      </c>
      <c r="P453">
        <f t="shared" si="83"/>
        <v>0.31457233598284878</v>
      </c>
      <c r="Q453">
        <f t="shared" si="80"/>
        <v>0.78777857423808251</v>
      </c>
      <c r="R453">
        <f t="shared" si="81"/>
        <v>-0.77244843308477018</v>
      </c>
      <c r="T453" s="21">
        <f>(M453-M452)/(H453-H452)</f>
        <v>9.3922961698664209E-4</v>
      </c>
      <c r="W453">
        <v>338</v>
      </c>
      <c r="X453">
        <v>10.888548</v>
      </c>
      <c r="Y453">
        <v>1.5</v>
      </c>
      <c r="Z453">
        <f t="shared" si="78"/>
        <v>1.5</v>
      </c>
      <c r="AA453" s="21">
        <f>IF(X453&gt;$B$8+$B$9,0,ABS(X453-O453)/X453)</f>
        <v>1.1755130109045501E-2</v>
      </c>
      <c r="AB453">
        <f>IF(OR(Z450&lt;&gt;Z456,X453&gt;$B$8+$B$9),0,((X456-X450)/(W456-W450)-(O456-O450)/(W456-W450))^2)</f>
        <v>1.9971345123250245E-6</v>
      </c>
    </row>
    <row r="454" spans="7:28" x14ac:dyDescent="0.2">
      <c r="G454" s="21"/>
      <c r="H454" s="21">
        <v>339</v>
      </c>
      <c r="I454">
        <f t="shared" si="84"/>
        <v>2.27415798148238E-2</v>
      </c>
      <c r="J454">
        <f t="shared" si="85"/>
        <v>0.78703992134917622</v>
      </c>
      <c r="K454">
        <f t="shared" si="79"/>
        <v>31.971276277155624</v>
      </c>
      <c r="L454">
        <f>0.5*Z454*K454/J454/$B$7</f>
        <v>30.466633975519134</v>
      </c>
      <c r="M454">
        <f t="shared" si="82"/>
        <v>0.23947630586754753</v>
      </c>
      <c r="N454" s="21">
        <f t="shared" si="86"/>
        <v>4.1284626038459303E-2</v>
      </c>
      <c r="O454" s="21">
        <f t="shared" si="87"/>
        <v>11.039285878253411</v>
      </c>
      <c r="P454">
        <f t="shared" si="83"/>
        <v>0.31566722903575101</v>
      </c>
      <c r="Q454">
        <f t="shared" si="80"/>
        <v>0.78703992134917622</v>
      </c>
      <c r="R454">
        <f t="shared" si="81"/>
        <v>-0.77663428725109185</v>
      </c>
      <c r="T454" s="21">
        <f>(M454-M453)/(H454-H453)</f>
        <v>9.3808009639659296E-4</v>
      </c>
      <c r="W454">
        <v>339</v>
      </c>
      <c r="X454">
        <v>10.911262999999998</v>
      </c>
      <c r="Y454">
        <v>1.5</v>
      </c>
      <c r="Z454">
        <f t="shared" si="78"/>
        <v>1.5</v>
      </c>
      <c r="AA454" s="21">
        <f>IF(X454&gt;$B$8+$B$9,0,ABS(X454-O454)/X454)</f>
        <v>1.1733094349702025E-2</v>
      </c>
      <c r="AB454">
        <f>IF(OR(Z451&lt;&gt;Z457,X454&gt;$B$8+$B$9),0,((X457-X451)/(W457-W451)-(O457-O451)/(W457-W451))^2)</f>
        <v>8.8180677273401318E-6</v>
      </c>
    </row>
    <row r="455" spans="7:28" x14ac:dyDescent="0.2">
      <c r="G455" s="21"/>
      <c r="H455" s="21">
        <v>340</v>
      </c>
      <c r="I455">
        <f t="shared" si="84"/>
        <v>2.2675658858771049E-2</v>
      </c>
      <c r="J455">
        <f t="shared" si="85"/>
        <v>0.78630285082439499</v>
      </c>
      <c r="K455">
        <f t="shared" si="79"/>
        <v>31.922241885241966</v>
      </c>
      <c r="L455">
        <f>0.5*Z455*K455/J455/$B$7</f>
        <v>30.448422498824659</v>
      </c>
      <c r="M455">
        <f t="shared" si="82"/>
        <v>0.2404132543720163</v>
      </c>
      <c r="N455" s="21">
        <f t="shared" si="86"/>
        <v>4.1354505764685766E-2</v>
      </c>
      <c r="O455" s="21">
        <f t="shared" si="87"/>
        <v>11.061961537112182</v>
      </c>
      <c r="P455">
        <f t="shared" si="83"/>
        <v>0.31675977657628374</v>
      </c>
      <c r="Q455">
        <f t="shared" si="80"/>
        <v>0.78630285082439499</v>
      </c>
      <c r="R455">
        <f t="shared" si="81"/>
        <v>-0.78085664034616054</v>
      </c>
      <c r="T455" s="21">
        <f>(M455-M454)/(H455-H454)</f>
        <v>9.3694850446876532E-4</v>
      </c>
      <c r="W455">
        <v>340</v>
      </c>
      <c r="X455">
        <v>10.937222999999999</v>
      </c>
      <c r="Y455">
        <v>1.5</v>
      </c>
      <c r="Z455">
        <f t="shared" si="78"/>
        <v>1.5</v>
      </c>
      <c r="AA455" s="21">
        <f>IF(X455&gt;$B$8+$B$9,0,ABS(X455-O455)/X455)</f>
        <v>1.1404955088890752E-2</v>
      </c>
      <c r="AB455">
        <f>IF(OR(Z452&lt;&gt;Z458,X455&gt;$B$8+$B$9),0,((X458-X452)/(W458-W452)-(O458-O452)/(W458-W452))^2)</f>
        <v>7.7766049183802266E-7</v>
      </c>
    </row>
    <row r="456" spans="7:28" x14ac:dyDescent="0.2">
      <c r="G456" s="21"/>
      <c r="H456" s="21">
        <v>341</v>
      </c>
      <c r="I456">
        <f t="shared" si="84"/>
        <v>2.2610534034655769E-2</v>
      </c>
      <c r="J456">
        <f t="shared" si="85"/>
        <v>0.78556734563138186</v>
      </c>
      <c r="K456">
        <f t="shared" si="79"/>
        <v>31.873594264088709</v>
      </c>
      <c r="L456">
        <f>0.5*Z456*K456/J456/$B$7</f>
        <v>30.430485471431194</v>
      </c>
      <c r="M456">
        <f t="shared" si="82"/>
        <v>0.241349088957277</v>
      </c>
      <c r="N456" s="21">
        <f t="shared" si="86"/>
        <v>4.1424119558045605E-2</v>
      </c>
      <c r="O456" s="21">
        <f t="shared" si="87"/>
        <v>11.084572071146837</v>
      </c>
      <c r="P456">
        <f t="shared" si="83"/>
        <v>0.31785000385123025</v>
      </c>
      <c r="Q456">
        <f t="shared" si="80"/>
        <v>0.78556734563138186</v>
      </c>
      <c r="R456">
        <f t="shared" si="81"/>
        <v>-0.78511604144343394</v>
      </c>
      <c r="T456" s="21">
        <f>(M456-M455)/(H456-H455)</f>
        <v>9.3583458526069752E-4</v>
      </c>
      <c r="W456">
        <v>341</v>
      </c>
      <c r="X456">
        <v>10.950202999999998</v>
      </c>
      <c r="Y456">
        <v>1.5</v>
      </c>
      <c r="Z456">
        <f t="shared" si="78"/>
        <v>1.5</v>
      </c>
      <c r="AA456" s="21">
        <f>IF(X456&gt;$B$8+$B$9,0,ABS(X456-O456)/X456)</f>
        <v>1.2270920561640645E-2</v>
      </c>
      <c r="AB456">
        <f>IF(OR(Z453&lt;&gt;Z459,X456&gt;$B$8+$B$9),0,((X459-X453)/(W459-W453)-(O459-O453)/(W459-W453))^2)</f>
        <v>1.480437591445887E-6</v>
      </c>
    </row>
    <row r="457" spans="7:28" x14ac:dyDescent="0.2">
      <c r="G457" s="21"/>
      <c r="H457" s="21">
        <v>342</v>
      </c>
      <c r="I457">
        <f t="shared" si="84"/>
        <v>2.254619234885347E-2</v>
      </c>
      <c r="J457">
        <f t="shared" si="85"/>
        <v>0.78483338899440791</v>
      </c>
      <c r="K457">
        <f t="shared" si="79"/>
        <v>31.825328125920322</v>
      </c>
      <c r="L457">
        <f>0.5*Z457*K457/J457/$B$7</f>
        <v>30.412819369246169</v>
      </c>
      <c r="M457">
        <f t="shared" si="82"/>
        <v>0.24228382704575499</v>
      </c>
      <c r="N457" s="21">
        <f t="shared" si="86"/>
        <v>4.1493470478128992E-2</v>
      </c>
      <c r="O457" s="21">
        <f t="shared" si="87"/>
        <v>11.107118263495691</v>
      </c>
      <c r="P457">
        <f t="shared" si="83"/>
        <v>0.31893793572697787</v>
      </c>
      <c r="Q457">
        <f t="shared" si="80"/>
        <v>0.78483338899440791</v>
      </c>
      <c r="R457">
        <f t="shared" si="81"/>
        <v>-0.78941304972436777</v>
      </c>
      <c r="T457" s="21">
        <f>(M457-M456)/(H457-H456)</f>
        <v>9.3473808847799322E-4</v>
      </c>
      <c r="W457">
        <v>342</v>
      </c>
      <c r="X457">
        <v>10.977785000000001</v>
      </c>
      <c r="Y457">
        <v>1.5</v>
      </c>
      <c r="Z457">
        <f t="shared" si="78"/>
        <v>1.5</v>
      </c>
      <c r="AA457" s="21">
        <f>IF(X457&gt;$B$8+$B$9,0,ABS(X457-O457)/X457)</f>
        <v>1.1781362405593666E-2</v>
      </c>
      <c r="AB457">
        <f>IF(OR(Z454&lt;&gt;Z460,X457&gt;$B$8+$B$9),0,((X460-X454)/(W460-W454)-(O460-O454)/(W460-W454))^2)</f>
        <v>3.8570045552533088E-6</v>
      </c>
    </row>
    <row r="458" spans="7:28" x14ac:dyDescent="0.2">
      <c r="G458" s="21"/>
      <c r="H458" s="21">
        <v>343</v>
      </c>
      <c r="I458">
        <f t="shared" si="84"/>
        <v>2.2482621103804966E-2</v>
      </c>
      <c r="J458">
        <f t="shared" si="85"/>
        <v>0.78410096438885413</v>
      </c>
      <c r="K458">
        <f t="shared" si="79"/>
        <v>31.777438287192219</v>
      </c>
      <c r="L458">
        <f>0.5*Z458*K458/J458/$B$7</f>
        <v>30.395420740197917</v>
      </c>
      <c r="M458">
        <f t="shared" si="82"/>
        <v>0.24321748581507197</v>
      </c>
      <c r="N458" s="21">
        <f t="shared" si="86"/>
        <v>4.1562561534252057E-2</v>
      </c>
      <c r="O458" s="21">
        <f t="shared" si="87"/>
        <v>11.129600884599496</v>
      </c>
      <c r="P458">
        <f t="shared" si="83"/>
        <v>0.32002359669769836</v>
      </c>
      <c r="Q458">
        <f t="shared" si="80"/>
        <v>0.78410096438885413</v>
      </c>
      <c r="R458">
        <f t="shared" si="81"/>
        <v>-0.79374823473067091</v>
      </c>
      <c r="T458" s="21">
        <f>(M458-M457)/(H458-H457)</f>
        <v>9.3365876931697511E-4</v>
      </c>
      <c r="W458">
        <v>343</v>
      </c>
      <c r="X458">
        <v>11.003744999999999</v>
      </c>
      <c r="Y458">
        <v>1.5</v>
      </c>
      <c r="Z458">
        <f t="shared" si="78"/>
        <v>1.5</v>
      </c>
      <c r="AA458" s="21">
        <f>IF(X458&gt;$B$8+$B$9,0,ABS(X458-O458)/X458)</f>
        <v>1.143755008858323E-2</v>
      </c>
      <c r="AB458">
        <f>IF(OR(Z455&lt;&gt;Z461,X458&gt;$B$8+$B$9),0,((X461-X455)/(W461-W455)-(O461-O455)/(W461-W455))^2)</f>
        <v>2.8403512418162275E-7</v>
      </c>
    </row>
    <row r="459" spans="7:28" x14ac:dyDescent="0.2">
      <c r="G459" s="21"/>
      <c r="H459" s="21">
        <v>344</v>
      </c>
      <c r="I459">
        <f t="shared" si="84"/>
        <v>2.2419807889555707E-2</v>
      </c>
      <c r="J459">
        <f t="shared" si="85"/>
        <v>0.78337005553584249</v>
      </c>
      <c r="K459">
        <f t="shared" si="79"/>
        <v>31.729919665922665</v>
      </c>
      <c r="L459">
        <f>0.5*Z459*K459/J459/$B$7</f>
        <v>30.378286202379822</v>
      </c>
      <c r="M459">
        <f t="shared" si="82"/>
        <v>0.24415008220338869</v>
      </c>
      <c r="N459" s="21">
        <f t="shared" si="86"/>
        <v>4.1631395686600264E-2</v>
      </c>
      <c r="O459" s="21">
        <f t="shared" si="87"/>
        <v>11.152020692489051</v>
      </c>
      <c r="P459">
        <f t="shared" si="83"/>
        <v>0.3211070108933054</v>
      </c>
      <c r="Q459">
        <f t="shared" si="80"/>
        <v>0.78337005553584249</v>
      </c>
      <c r="R459">
        <f t="shared" si="81"/>
        <v>-0.79812217662364449</v>
      </c>
      <c r="T459" s="21">
        <f>(M459-M458)/(H459-H458)</f>
        <v>9.3259638831671987E-4</v>
      </c>
      <c r="W459">
        <v>344</v>
      </c>
      <c r="X459">
        <v>11.016724</v>
      </c>
      <c r="Y459">
        <v>1.5</v>
      </c>
      <c r="Z459">
        <f t="shared" si="78"/>
        <v>1.5</v>
      </c>
      <c r="AA459" s="21">
        <f>IF(X459&gt;$B$8+$B$9,0,ABS(X459-O459)/X459)</f>
        <v>1.228102768927054E-2</v>
      </c>
      <c r="AB459">
        <f>IF(OR(Z456&lt;&gt;Z462,X459&gt;$B$8+$B$9),0,((X462-X456)/(W462-W456)-(O462-O456)/(W462-W456))^2)</f>
        <v>3.5450796798520398E-7</v>
      </c>
    </row>
    <row r="460" spans="7:28" x14ac:dyDescent="0.2">
      <c r="G460" s="21"/>
      <c r="H460" s="21">
        <v>345</v>
      </c>
      <c r="I460">
        <f t="shared" si="84"/>
        <v>2.2357740575586888E-2</v>
      </c>
      <c r="J460">
        <f t="shared" si="85"/>
        <v>0.7826406463970127</v>
      </c>
      <c r="K460">
        <f t="shared" si="79"/>
        <v>31.682767279108511</v>
      </c>
      <c r="L460">
        <f>0.5*Z460*K460/J460/$B$7</f>
        <v>30.361412442253247</v>
      </c>
      <c r="M460">
        <f t="shared" si="82"/>
        <v>0.24508163291460305</v>
      </c>
      <c r="N460" s="21">
        <f t="shared" si="86"/>
        <v>4.1699975847339227E-2</v>
      </c>
      <c r="O460" s="21">
        <f t="shared" si="87"/>
        <v>11.174378433064637</v>
      </c>
      <c r="P460">
        <f t="shared" si="83"/>
        <v>0.32218820208719701</v>
      </c>
      <c r="Q460">
        <f t="shared" si="80"/>
        <v>0.7826406463970127</v>
      </c>
      <c r="R460">
        <f t="shared" si="81"/>
        <v>-0.8025354664508515</v>
      </c>
      <c r="T460" s="21">
        <f>(M460-M459)/(H460-H459)</f>
        <v>9.3155071121436839E-4</v>
      </c>
      <c r="W460">
        <v>345</v>
      </c>
      <c r="X460">
        <v>11.034572000000001</v>
      </c>
      <c r="Y460">
        <v>1.5</v>
      </c>
      <c r="Z460">
        <f t="shared" si="78"/>
        <v>1.5</v>
      </c>
      <c r="AA460" s="21">
        <f>IF(X460&gt;$B$8+$B$9,0,ABS(X460-O460)/X460)</f>
        <v>1.2669855529026108E-2</v>
      </c>
      <c r="AB460">
        <f>IF(OR(Z457&lt;&gt;Z463,X460&gt;$B$8+$B$9),0,((X463-X457)/(W463-W457)-(O463-O457)/(W463-W457))^2)</f>
        <v>1.3522972348818811E-8</v>
      </c>
    </row>
    <row r="461" spans="7:28" x14ac:dyDescent="0.2">
      <c r="G461" s="21"/>
      <c r="H461" s="21">
        <v>346</v>
      </c>
      <c r="I461">
        <f t="shared" si="84"/>
        <v>2.2296407302926109E-2</v>
      </c>
      <c r="J461">
        <f t="shared" si="85"/>
        <v>0.78191272116944122</v>
      </c>
      <c r="K461">
        <f t="shared" si="79"/>
        <v>31.635976240221787</v>
      </c>
      <c r="L461">
        <f>0.5*Z461*K461/J461/$B$7</f>
        <v>30.344796212907092</v>
      </c>
      <c r="M461">
        <f t="shared" si="82"/>
        <v>0.24601215442340627</v>
      </c>
      <c r="N461" s="21">
        <f t="shared" si="86"/>
        <v>4.1768304881693953E-2</v>
      </c>
      <c r="O461" s="21">
        <f t="shared" si="87"/>
        <v>11.196674840367564</v>
      </c>
      <c r="P461">
        <f t="shared" si="83"/>
        <v>0.32326719370378765</v>
      </c>
      <c r="Q461">
        <f t="shared" si="80"/>
        <v>0.78191272116944122</v>
      </c>
      <c r="R461">
        <f t="shared" si="81"/>
        <v>-0.80698870642036968</v>
      </c>
      <c r="T461" s="21">
        <f>(M461-M460)/(H461-H460)</f>
        <v>9.3052150880321149E-4</v>
      </c>
      <c r="W461">
        <v>346</v>
      </c>
      <c r="X461">
        <v>11.075133999999998</v>
      </c>
      <c r="Y461">
        <v>1.5</v>
      </c>
      <c r="Z461">
        <f t="shared" si="78"/>
        <v>1.5</v>
      </c>
      <c r="AA461" s="21">
        <f>IF(X461&gt;$B$8+$B$9,0,ABS(X461-O461)/X461)</f>
        <v>1.0974209464875578E-2</v>
      </c>
      <c r="AB461">
        <f>IF(OR(Z458&lt;&gt;Z464,X461&gt;$B$8+$B$9),0,((X464-X458)/(W464-W458)-(O464-O458)/(W464-W458))^2)</f>
        <v>3.1426658415590777E-8</v>
      </c>
    </row>
    <row r="462" spans="7:28" x14ac:dyDescent="0.2">
      <c r="G462" s="21"/>
      <c r="H462" s="21">
        <v>347</v>
      </c>
      <c r="I462">
        <f t="shared" si="84"/>
        <v>2.2235796476526661E-2</v>
      </c>
      <c r="J462">
        <f t="shared" si="85"/>
        <v>0.78118626428069471</v>
      </c>
      <c r="K462">
        <f t="shared" si="79"/>
        <v>31.589541756783994</v>
      </c>
      <c r="L462">
        <f>0.5*Z462*K462/J462/$B$7</f>
        <v>30.328434332371931</v>
      </c>
      <c r="M462">
        <f t="shared" si="82"/>
        <v>0.24694166298020614</v>
      </c>
      <c r="N462" s="21">
        <f t="shared" si="86"/>
        <v>4.183638560899787E-2</v>
      </c>
      <c r="O462" s="21">
        <f t="shared" si="87"/>
        <v>11.21891063684409</v>
      </c>
      <c r="P462">
        <f t="shared" si="83"/>
        <v>0.32434400882583941</v>
      </c>
      <c r="Q462">
        <f t="shared" si="80"/>
        <v>0.78118626428069471</v>
      </c>
      <c r="R462">
        <f t="shared" si="81"/>
        <v>-0.81148251018290385</v>
      </c>
      <c r="T462" s="21">
        <f>(M462-M461)/(H462-H461)</f>
        <v>9.2950855679987954E-4</v>
      </c>
      <c r="W462">
        <v>347</v>
      </c>
      <c r="X462">
        <v>11.088114000000001</v>
      </c>
      <c r="Y462">
        <v>1.5</v>
      </c>
      <c r="Z462">
        <f t="shared" si="78"/>
        <v>1.5</v>
      </c>
      <c r="AA462" s="21">
        <f>IF(X462&gt;$B$8+$B$9,0,ABS(X462-O462)/X462)</f>
        <v>1.1796112201235368E-2</v>
      </c>
      <c r="AB462">
        <f>IF(OR(Z459&lt;&gt;Z465,X462&gt;$B$8+$B$9),0,((X465-X459)/(W465-W459)-(O465-O459)/(W465-W459))^2)</f>
        <v>5.6507256317296021E-8</v>
      </c>
    </row>
    <row r="463" spans="7:28" x14ac:dyDescent="0.2">
      <c r="G463" s="21"/>
      <c r="H463" s="21">
        <v>348</v>
      </c>
      <c r="I463">
        <f t="shared" si="84"/>
        <v>2.2175896757904923E-2</v>
      </c>
      <c r="J463">
        <f t="shared" si="85"/>
        <v>0.78046126038401664</v>
      </c>
      <c r="K463">
        <f t="shared" si="79"/>
        <v>31.543459128015336</v>
      </c>
      <c r="L463">
        <f>0.5*Z463*K463/J463/$B$7</f>
        <v>30.312323681986552</v>
      </c>
      <c r="M463">
        <f t="shared" si="82"/>
        <v>0.24787017461591762</v>
      </c>
      <c r="N463" s="21">
        <f t="shared" si="86"/>
        <v>4.1904220803712228E-2</v>
      </c>
      <c r="O463" s="21">
        <f t="shared" si="87"/>
        <v>11.241086533601994</v>
      </c>
      <c r="P463">
        <f t="shared" si="83"/>
        <v>0.32541867020159776</v>
      </c>
      <c r="Q463">
        <f t="shared" si="80"/>
        <v>0.78046126038401664</v>
      </c>
      <c r="R463">
        <f t="shared" si="81"/>
        <v>-0.81601750312203347</v>
      </c>
      <c r="T463" s="21">
        <f>(M463-M462)/(H463-H462)</f>
        <v>9.2851163571147644E-4</v>
      </c>
      <c r="W463">
        <v>348</v>
      </c>
      <c r="X463">
        <v>11.112451</v>
      </c>
      <c r="Y463">
        <v>1.5</v>
      </c>
      <c r="Z463">
        <f t="shared" si="78"/>
        <v>1.5</v>
      </c>
      <c r="AA463" s="21">
        <f>IF(X463&gt;$B$8+$B$9,0,ABS(X463-O463)/X463)</f>
        <v>1.1575802098204415E-2</v>
      </c>
      <c r="AB463">
        <f>IF(OR(Z460&lt;&gt;Z466,X463&gt;$B$8+$B$9),0,((X466-X460)/(W466-W460)-(O466-O460)/(W466-W460))^2)</f>
        <v>7.0810371652249589E-10</v>
      </c>
    </row>
    <row r="464" spans="7:28" x14ac:dyDescent="0.2">
      <c r="G464" s="21"/>
      <c r="H464" s="21">
        <v>349</v>
      </c>
      <c r="I464">
        <f t="shared" si="84"/>
        <v>2.2116697058025159E-2</v>
      </c>
      <c r="J464">
        <f t="shared" si="85"/>
        <v>0.77973769435364071</v>
      </c>
      <c r="K464">
        <f t="shared" si="79"/>
        <v>31.49772374255614</v>
      </c>
      <c r="L464">
        <f>0.5*Z464*K464/J464/$B$7</f>
        <v>30.296461204815174</v>
      </c>
      <c r="M464">
        <f t="shared" si="82"/>
        <v>0.24879770514662744</v>
      </c>
      <c r="N464" s="21">
        <f t="shared" si="86"/>
        <v>4.1971813196417428E-2</v>
      </c>
      <c r="O464" s="21">
        <f t="shared" si="87"/>
        <v>11.26320323066002</v>
      </c>
      <c r="P464">
        <f t="shared" si="83"/>
        <v>0.32649120025173761</v>
      </c>
      <c r="Q464">
        <f t="shared" si="80"/>
        <v>0.77973769435364071</v>
      </c>
      <c r="R464">
        <f t="shared" si="81"/>
        <v>-0.8205943226528809</v>
      </c>
      <c r="T464" s="21">
        <f>(M464-M463)/(H464-H463)</f>
        <v>9.2753053070981917E-4</v>
      </c>
      <c r="W464">
        <v>349</v>
      </c>
      <c r="X464">
        <v>11.138410999999998</v>
      </c>
      <c r="Y464">
        <v>1.5</v>
      </c>
      <c r="Z464">
        <f t="shared" si="78"/>
        <v>1.5</v>
      </c>
      <c r="AA464" s="21">
        <f>IF(X464&gt;$B$8+$B$9,0,ABS(X464-O464)/X464)</f>
        <v>1.1203773200685628E-2</v>
      </c>
      <c r="AB464">
        <f>IF(OR(Z461&lt;&gt;Z467,X464&gt;$B$8+$B$9),0,((X467-X461)/(W467-W461)-(O467-O461)/(W467-W461))^2)</f>
        <v>2.3619192781992209E-6</v>
      </c>
    </row>
    <row r="465" spans="7:28" x14ac:dyDescent="0.2">
      <c r="G465" s="21"/>
      <c r="H465" s="21">
        <v>350</v>
      </c>
      <c r="I465">
        <f t="shared" si="84"/>
        <v>2.2058186530422647E-2</v>
      </c>
      <c r="J465">
        <f t="shared" si="85"/>
        <v>0.77901555128022826</v>
      </c>
      <c r="K465">
        <f t="shared" si="79"/>
        <v>31.452331076257821</v>
      </c>
      <c r="L465">
        <f>0.5*Z465*K465/J465/$B$7</f>
        <v>30.280843904113304</v>
      </c>
      <c r="M465">
        <f t="shared" si="82"/>
        <v>0.24972427017813564</v>
      </c>
      <c r="N465" s="21">
        <f t="shared" si="86"/>
        <v>4.2039165474776666E-2</v>
      </c>
      <c r="O465" s="21">
        <f t="shared" si="87"/>
        <v>11.285261417190442</v>
      </c>
      <c r="P465">
        <f t="shared" si="83"/>
        <v>0.32756162107612707</v>
      </c>
      <c r="Q465">
        <f t="shared" si="80"/>
        <v>0.77901555128022826</v>
      </c>
      <c r="R465">
        <f t="shared" si="81"/>
        <v>-0.82521361852950803</v>
      </c>
      <c r="T465" s="21">
        <f>(M465-M464)/(H465-H464)</f>
        <v>9.2656503150820302E-4</v>
      </c>
      <c r="W465">
        <v>350</v>
      </c>
      <c r="X465">
        <v>11.151391</v>
      </c>
      <c r="Y465">
        <v>1.5</v>
      </c>
      <c r="Z465">
        <f t="shared" si="78"/>
        <v>1.5</v>
      </c>
      <c r="AA465" s="21">
        <f>IF(X465&gt;$B$8+$B$9,0,ABS(X465-O465)/X465)</f>
        <v>1.200481780169327E-2</v>
      </c>
      <c r="AB465">
        <f>IF(OR(Z462&lt;&gt;Z468,X465&gt;$B$8+$B$9),0,((X468-X462)/(W468-W462)-(O468-O462)/(W468-W462))^2)</f>
        <v>5.2441081733156022E-6</v>
      </c>
    </row>
    <row r="466" spans="7:28" x14ac:dyDescent="0.2">
      <c r="G466" s="21"/>
      <c r="H466" s="21">
        <v>351</v>
      </c>
      <c r="I466">
        <f t="shared" si="84"/>
        <v>2.2000354564555156E-2</v>
      </c>
      <c r="J466">
        <f t="shared" si="85"/>
        <v>0.7782948164664244</v>
      </c>
      <c r="K466">
        <f t="shared" si="79"/>
        <v>31.407276690040874</v>
      </c>
      <c r="L466">
        <f>0.5*Z466*K466/J466/$B$7</f>
        <v>30.265468841840651</v>
      </c>
      <c r="M466">
        <f t="shared" si="82"/>
        <v>0.25064988511037933</v>
      </c>
      <c r="N466" s="21">
        <f t="shared" si="86"/>
        <v>4.2106280284473267E-2</v>
      </c>
      <c r="O466" s="21">
        <f t="shared" si="87"/>
        <v>11.307261771754998</v>
      </c>
      <c r="P466">
        <f t="shared" si="83"/>
        <v>0.32862995446041404</v>
      </c>
      <c r="Q466">
        <f t="shared" si="80"/>
        <v>0.7782948164664244</v>
      </c>
      <c r="R466">
        <f t="shared" si="81"/>
        <v>-0.82987605316134971</v>
      </c>
      <c r="T466" s="21">
        <f>(M466-M465)/(H466-H465)</f>
        <v>9.2561493224369018E-4</v>
      </c>
      <c r="W466">
        <v>351</v>
      </c>
      <c r="X466">
        <v>11.167614999999998</v>
      </c>
      <c r="Y466">
        <v>1.5</v>
      </c>
      <c r="Z466">
        <f t="shared" si="78"/>
        <v>1.5</v>
      </c>
      <c r="AA466" s="21">
        <f>IF(X466&gt;$B$8+$B$9,0,ABS(X466-O466)/X466)</f>
        <v>1.2504619093244199E-2</v>
      </c>
      <c r="AB466">
        <f>IF(OR(Z463&lt;&gt;Z469,X466&gt;$B$8+$B$9),0,((X469-X463)/(W469-W463)-(O469-O463)/(W469-W463))^2)</f>
        <v>1.1525360571218848E-7</v>
      </c>
    </row>
    <row r="467" spans="7:28" x14ac:dyDescent="0.2">
      <c r="G467" s="21"/>
      <c r="H467" s="21">
        <v>352</v>
      </c>
      <c r="I467">
        <f t="shared" si="84"/>
        <v>2.1943190779374629E-2</v>
      </c>
      <c r="J467">
        <f t="shared" si="85"/>
        <v>0.77757547542253069</v>
      </c>
      <c r="K467">
        <f t="shared" si="79"/>
        <v>31.362556227817521</v>
      </c>
      <c r="L467">
        <f>0.5*Z467*K467/J467/$B$7</f>
        <v>30.250333137219183</v>
      </c>
      <c r="M467">
        <f t="shared" si="82"/>
        <v>0.25157456514174031</v>
      </c>
      <c r="N467" s="21">
        <f t="shared" si="86"/>
        <v>4.2173160230122277E-2</v>
      </c>
      <c r="O467" s="21">
        <f t="shared" si="87"/>
        <v>11.329204962534373</v>
      </c>
      <c r="P467">
        <f t="shared" si="83"/>
        <v>0.3296962218824408</v>
      </c>
      <c r="Q467">
        <f t="shared" si="80"/>
        <v>0.77757547542253069</v>
      </c>
      <c r="R467">
        <f t="shared" si="81"/>
        <v>-0.83458230193900607</v>
      </c>
      <c r="T467" s="21">
        <f>(M467-M466)/(H467-H466)</f>
        <v>9.2468003136098043E-4</v>
      </c>
      <c r="W467">
        <v>352</v>
      </c>
      <c r="X467">
        <v>11.198443000000001</v>
      </c>
      <c r="Y467">
        <v>1.5</v>
      </c>
      <c r="Z467">
        <f t="shared" si="78"/>
        <v>1.5</v>
      </c>
      <c r="AA467" s="21">
        <f>IF(X467&gt;$B$8+$B$9,0,ABS(X467-O467)/X467)</f>
        <v>1.1676798509790323E-2</v>
      </c>
      <c r="AB467">
        <f>IF(OR(Z464&lt;&gt;Z470,X467&gt;$B$8+$B$9),0,((X470-X464)/(W470-W464)-(O470-O464)/(W470-W464))^2)</f>
        <v>2.672599507095448E-6</v>
      </c>
    </row>
    <row r="468" spans="7:28" x14ac:dyDescent="0.2">
      <c r="G468" s="21"/>
      <c r="H468" s="21">
        <v>353</v>
      </c>
      <c r="I468">
        <f t="shared" si="84"/>
        <v>2.1886685017109754E-2</v>
      </c>
      <c r="J468">
        <f t="shared" si="85"/>
        <v>0.77685751386228907</v>
      </c>
      <c r="K468">
        <f t="shared" si="79"/>
        <v>31.318165414476688</v>
      </c>
      <c r="L468">
        <f>0.5*Z468*K468/J468/$B$7</f>
        <v>30.235433965334945</v>
      </c>
      <c r="M468">
        <f t="shared" si="82"/>
        <v>0.25249832527324262</v>
      </c>
      <c r="N468" s="21">
        <f t="shared" si="86"/>
        <v>4.2239807876157325E-2</v>
      </c>
      <c r="O468" s="21">
        <f t="shared" si="87"/>
        <v>11.351091647551483</v>
      </c>
      <c r="P468">
        <f t="shared" si="83"/>
        <v>0.33076044451849301</v>
      </c>
      <c r="Q468">
        <f t="shared" si="80"/>
        <v>0.77685751386228907</v>
      </c>
      <c r="R468">
        <f t="shared" si="81"/>
        <v>-0.83933305356973853</v>
      </c>
      <c r="T468" s="21">
        <f>(M468-M467)/(H468-H467)</f>
        <v>9.2376013150230474E-4</v>
      </c>
      <c r="W468">
        <v>353</v>
      </c>
      <c r="X468">
        <v>11.206554999999998</v>
      </c>
      <c r="Y468">
        <v>1.5</v>
      </c>
      <c r="Z468">
        <f t="shared" si="78"/>
        <v>1.5</v>
      </c>
      <c r="AA468" s="21">
        <f>IF(X468&gt;$B$8+$B$9,0,ABS(X468-O468)/X468)</f>
        <v>1.2897509319454988E-2</v>
      </c>
      <c r="AB468">
        <f>IF(OR(Z465&lt;&gt;Z471,X468&gt;$B$8+$B$9),0,((X471-X465)/(W471-W465)-(O471-O465)/(W471-W465))^2)</f>
        <v>3.4192221062911178E-6</v>
      </c>
    </row>
    <row r="469" spans="7:28" x14ac:dyDescent="0.2">
      <c r="G469" s="21"/>
      <c r="H469" s="21">
        <v>354</v>
      </c>
      <c r="I469">
        <f t="shared" si="84"/>
        <v>2.183082733725215E-2</v>
      </c>
      <c r="J469">
        <f t="shared" si="85"/>
        <v>0.77614091769877447</v>
      </c>
      <c r="K469">
        <f t="shared" si="79"/>
        <v>31.274100053929025</v>
      </c>
      <c r="L469">
        <f>0.5*Z469*K469/J469/$B$7</f>
        <v>30.220768555781817</v>
      </c>
      <c r="M469">
        <f t="shared" si="82"/>
        <v>0.25342118031264199</v>
      </c>
      <c r="N469" s="21">
        <f t="shared" si="86"/>
        <v>4.2306225747693479E-2</v>
      </c>
      <c r="O469" s="21">
        <f t="shared" si="87"/>
        <v>11.372922474888735</v>
      </c>
      <c r="P469">
        <f t="shared" si="83"/>
        <v>0.33182264324938843</v>
      </c>
      <c r="Q469">
        <f t="shared" si="80"/>
        <v>0.77614091769877447</v>
      </c>
      <c r="R469">
        <f t="shared" si="81"/>
        <v>-0.84412901042301691</v>
      </c>
      <c r="T469" s="21">
        <f>(M469-M468)/(H469-H468)</f>
        <v>9.2285503939937286E-4</v>
      </c>
      <c r="W469">
        <v>354</v>
      </c>
      <c r="X469">
        <v>11.242249999999999</v>
      </c>
      <c r="Y469">
        <v>1.5</v>
      </c>
      <c r="Z469">
        <f t="shared" si="78"/>
        <v>1.5</v>
      </c>
      <c r="AA469" s="21">
        <f>IF(X469&gt;$B$8+$B$9,0,ABS(X469-O469)/X469)</f>
        <v>1.1623338289820713E-2</v>
      </c>
      <c r="AB469">
        <f>IF(OR(Z466&lt;&gt;Z472,X469&gt;$B$8+$B$9),0,((X472-X466)/(W472-W466)-(O472-O466)/(W472-W466))^2)</f>
        <v>6.7837459760584189E-6</v>
      </c>
    </row>
    <row r="470" spans="7:28" x14ac:dyDescent="0.2">
      <c r="G470" s="21"/>
      <c r="H470" s="21">
        <v>355</v>
      </c>
      <c r="I470">
        <f t="shared" si="84"/>
        <v>2.1775608010737711E-2</v>
      </c>
      <c r="J470">
        <f t="shared" si="85"/>
        <v>0.77542567304039323</v>
      </c>
      <c r="K470">
        <f t="shared" si="79"/>
        <v>31.230356027210021</v>
      </c>
      <c r="L470">
        <f>0.5*Z470*K470/J470/$B$7</f>
        <v>30.206334191346002</v>
      </c>
      <c r="M470">
        <f t="shared" si="82"/>
        <v>0.25434314487841003</v>
      </c>
      <c r="N470" s="21">
        <f t="shared" si="86"/>
        <v>4.2372416331366944E-2</v>
      </c>
      <c r="O470" s="21">
        <f t="shared" si="87"/>
        <v>11.394698082899474</v>
      </c>
      <c r="P470">
        <f t="shared" si="83"/>
        <v>0.33288283866640839</v>
      </c>
      <c r="Q470">
        <f t="shared" si="80"/>
        <v>0.77542567304039323</v>
      </c>
      <c r="R470">
        <f t="shared" si="81"/>
        <v>-0.84897088888647776</v>
      </c>
      <c r="T470" s="21">
        <f>(M470-M469)/(H470-H469)</f>
        <v>9.2196456576804087E-4</v>
      </c>
      <c r="W470">
        <v>355</v>
      </c>
      <c r="X470">
        <v>11.260096999999998</v>
      </c>
      <c r="Y470">
        <v>1.5</v>
      </c>
      <c r="Z470">
        <f t="shared" si="78"/>
        <v>1.5</v>
      </c>
      <c r="AA470" s="21">
        <f>IF(X470&gt;$B$8+$B$9,0,ABS(X470-O470)/X470)</f>
        <v>1.1953812023064786E-2</v>
      </c>
      <c r="AB470">
        <f>IF(OR(Z467&lt;&gt;Z473,X470&gt;$B$8+$B$9),0,((X473-X467)/(W473-W467)-(O473-O467)/(W473-W467))^2)</f>
        <v>4.0359941579718363E-6</v>
      </c>
    </row>
    <row r="471" spans="7:28" x14ac:dyDescent="0.2">
      <c r="G471" s="21"/>
      <c r="H471" s="21">
        <v>356</v>
      </c>
      <c r="I471">
        <f t="shared" si="84"/>
        <v>2.1721017514316248E-2</v>
      </c>
      <c r="J471">
        <f t="shared" si="85"/>
        <v>0.77471176618698223</v>
      </c>
      <c r="K471">
        <f t="shared" si="79"/>
        <v>31.186929290638972</v>
      </c>
      <c r="L471">
        <f>0.5*Z471*K471/J471/$B$7</f>
        <v>30.192128206729517</v>
      </c>
      <c r="M471">
        <f t="shared" si="82"/>
        <v>0.25526423340361881</v>
      </c>
      <c r="N471" s="21">
        <f t="shared" si="86"/>
        <v>4.2438382076152303E-2</v>
      </c>
      <c r="O471" s="21">
        <f t="shared" si="87"/>
        <v>11.41641910041379</v>
      </c>
      <c r="P471">
        <f t="shared" si="83"/>
        <v>0.33394105107708</v>
      </c>
      <c r="Q471">
        <f t="shared" si="80"/>
        <v>0.77471176618698223</v>
      </c>
      <c r="R471">
        <f t="shared" si="81"/>
        <v>-0.85385941973268686</v>
      </c>
      <c r="T471" s="21">
        <f>(M471-M470)/(H471-H470)</f>
        <v>9.2108852520877971E-4</v>
      </c>
      <c r="W471">
        <v>356</v>
      </c>
      <c r="X471">
        <v>11.271453999999999</v>
      </c>
      <c r="Y471">
        <v>1.5</v>
      </c>
      <c r="Z471">
        <f t="shared" si="78"/>
        <v>1.5</v>
      </c>
      <c r="AA471" s="21">
        <f>IF(X471&gt;$B$8+$B$9,0,ABS(X471-O471)/X471)</f>
        <v>1.2861259994832253E-2</v>
      </c>
      <c r="AB471">
        <f>IF(OR(Z468&lt;&gt;Z474,X471&gt;$B$8+$B$9),0,((X474-X468)/(W474-W468)-(O474-O468)/(W474-W468))^2)</f>
        <v>4.3533984441085756E-8</v>
      </c>
    </row>
    <row r="472" spans="7:28" x14ac:dyDescent="0.2">
      <c r="G472" s="21"/>
      <c r="H472" s="21">
        <v>357</v>
      </c>
      <c r="I472">
        <f t="shared" si="84"/>
        <v>2.1667046525101711E-2</v>
      </c>
      <c r="J472">
        <f t="shared" si="85"/>
        <v>0.77399918362600706</v>
      </c>
      <c r="K472">
        <f t="shared" si="79"/>
        <v>31.143815874032001</v>
      </c>
      <c r="L472">
        <f>0.5*Z472*K472/J472/$B$7</f>
        <v>30.178147987311593</v>
      </c>
      <c r="M472">
        <f t="shared" si="82"/>
        <v>0.25618446013972707</v>
      </c>
      <c r="N472" s="21">
        <f t="shared" si="86"/>
        <v>4.2504125394158099E-2</v>
      </c>
      <c r="O472" s="21">
        <f t="shared" si="87"/>
        <v>11.438086146938891</v>
      </c>
      <c r="P472">
        <f t="shared" si="83"/>
        <v>0.33499730051081084</v>
      </c>
      <c r="Q472">
        <f t="shared" si="80"/>
        <v>0.77399918362600706</v>
      </c>
      <c r="R472">
        <f t="shared" si="81"/>
        <v>-0.85879534849708694</v>
      </c>
      <c r="T472" s="21">
        <f>(M472-M471)/(H472-H471)</f>
        <v>9.202267361082539E-4</v>
      </c>
      <c r="W472">
        <v>357</v>
      </c>
      <c r="X472">
        <v>11.282812</v>
      </c>
      <c r="Y472">
        <v>1.5</v>
      </c>
      <c r="Z472">
        <f t="shared" si="78"/>
        <v>1.5</v>
      </c>
      <c r="AA472" s="21">
        <f>IF(X472&gt;$B$8+$B$9,0,ABS(X472-O472)/X472)</f>
        <v>1.3762007816747425E-2</v>
      </c>
      <c r="AB472">
        <f>IF(OR(Z469&lt;&gt;Z475,X472&gt;$B$8+$B$9),0,((X475-X469)/(W475-W469)-(O475-O469)/(W475-W469))^2)</f>
        <v>2.1207629074975964E-5</v>
      </c>
    </row>
    <row r="473" spans="7:28" x14ac:dyDescent="0.2">
      <c r="G473" s="21"/>
      <c r="H473" s="21">
        <v>358</v>
      </c>
      <c r="I473">
        <f t="shared" si="84"/>
        <v>2.1613685915297009E-2</v>
      </c>
      <c r="J473">
        <f t="shared" si="85"/>
        <v>0.77328791202885672</v>
      </c>
      <c r="K473">
        <f t="shared" si="79"/>
        <v>31.101011878967206</v>
      </c>
      <c r="L473">
        <f>0.5*Z473*K473/J473/$B$7</f>
        <v>30.164390967946439</v>
      </c>
      <c r="M473">
        <f t="shared" si="82"/>
        <v>0.25710383916027008</v>
      </c>
      <c r="N473" s="21">
        <f t="shared" si="86"/>
        <v>4.2569648661401262E-2</v>
      </c>
      <c r="O473" s="21">
        <f t="shared" si="87"/>
        <v>11.459699832854188</v>
      </c>
      <c r="P473">
        <f t="shared" si="83"/>
        <v>0.33605160672438261</v>
      </c>
      <c r="Q473">
        <f t="shared" si="80"/>
        <v>0.77328791202885672</v>
      </c>
      <c r="R473">
        <f t="shared" si="81"/>
        <v>-0.86377943586755379</v>
      </c>
      <c r="T473" s="21">
        <f>(M473-M472)/(H473-H472)</f>
        <v>9.1937902054300968E-4</v>
      </c>
      <c r="W473">
        <v>358</v>
      </c>
      <c r="X473">
        <v>11.316883999999998</v>
      </c>
      <c r="Y473">
        <v>1.5</v>
      </c>
      <c r="Z473">
        <f t="shared" si="78"/>
        <v>1.5</v>
      </c>
      <c r="AA473" s="21">
        <f>IF(X473&gt;$B$8+$B$9,0,ABS(X473-O473)/X473)</f>
        <v>1.2619713417066905E-2</v>
      </c>
      <c r="AB473">
        <f>IF(OR(Z470&lt;&gt;Z476,X473&gt;$B$8+$B$9),0,((X476-X470)/(W476-W470)-(O476-O470)/(W476-W470))^2)</f>
        <v>7.0708259938707531E-6</v>
      </c>
    </row>
    <row r="474" spans="7:28" x14ac:dyDescent="0.2">
      <c r="G474" s="21"/>
      <c r="H474" s="21">
        <v>359</v>
      </c>
      <c r="I474">
        <f t="shared" si="84"/>
        <v>2.1560926747086158E-2</v>
      </c>
      <c r="J474">
        <f t="shared" si="85"/>
        <v>0.77257793824722909</v>
      </c>
      <c r="K474">
        <f t="shared" si="79"/>
        <v>31.058513477100057</v>
      </c>
      <c r="L474">
        <f>0.5*Z474*K474/J474/$B$7</f>
        <v>30.150854631796218</v>
      </c>
      <c r="M474">
        <f t="shared" si="82"/>
        <v>0.25802238436446023</v>
      </c>
      <c r="N474" s="21">
        <f t="shared" si="86"/>
        <v>4.2634954218561352E-2</v>
      </c>
      <c r="O474" s="21">
        <f t="shared" si="87"/>
        <v>11.481260759601273</v>
      </c>
      <c r="P474">
        <f t="shared" si="83"/>
        <v>0.33710398920730744</v>
      </c>
      <c r="Q474">
        <f t="shared" si="80"/>
        <v>0.77257793824722909</v>
      </c>
      <c r="R474">
        <f t="shared" si="81"/>
        <v>-0.86881245808598528</v>
      </c>
      <c r="T474" s="21">
        <f>(M474-M473)/(H474-H473)</f>
        <v>9.1854520419015762E-4</v>
      </c>
      <c r="W474">
        <v>359</v>
      </c>
      <c r="X474">
        <v>11.337975999999998</v>
      </c>
      <c r="Y474">
        <v>1.5</v>
      </c>
      <c r="Z474">
        <f t="shared" si="78"/>
        <v>1.5</v>
      </c>
      <c r="AA474" s="21">
        <f>IF(X474&gt;$B$8+$B$9,0,ABS(X474-O474)/X474)</f>
        <v>1.2637595951982581E-2</v>
      </c>
      <c r="AB474">
        <f>IF(OR(Z471&lt;&gt;Z477,X474&gt;$B$8+$B$9),0,((X477-X471)/(W477-W471)-(O477-O471)/(W477-W471))^2)</f>
        <v>5.4574945155872907E-6</v>
      </c>
    </row>
    <row r="475" spans="7:28" x14ac:dyDescent="0.2">
      <c r="G475" s="21"/>
      <c r="H475" s="21">
        <v>360</v>
      </c>
      <c r="I475">
        <f t="shared" si="84"/>
        <v>2.1508760267687964E-2</v>
      </c>
      <c r="J475">
        <f t="shared" si="85"/>
        <v>0.77186924930960843</v>
      </c>
      <c r="K475">
        <f t="shared" si="79"/>
        <v>31.016316908527486</v>
      </c>
      <c r="L475">
        <f>0.5*Z475*K475/J475/$B$7</f>
        <v>30.13753650919805</v>
      </c>
      <c r="M475">
        <f t="shared" si="82"/>
        <v>0.25894010948069551</v>
      </c>
      <c r="N475" s="21">
        <f t="shared" si="86"/>
        <v>4.2700044371714985E-2</v>
      </c>
      <c r="O475" s="21">
        <f t="shared" si="87"/>
        <v>11.502769519868961</v>
      </c>
      <c r="P475">
        <f t="shared" si="83"/>
        <v>0.33815446718705028</v>
      </c>
      <c r="Q475">
        <f t="shared" si="80"/>
        <v>0.77186924930960843</v>
      </c>
      <c r="R475">
        <f t="shared" si="81"/>
        <v>-0.87389520736236703</v>
      </c>
      <c r="T475" s="21">
        <f>(M475-M474)/(H475-H474)</f>
        <v>9.1772511623527953E-4</v>
      </c>
      <c r="W475">
        <v>360</v>
      </c>
      <c r="X475">
        <v>11.344466000000001</v>
      </c>
      <c r="Y475">
        <v>1.5</v>
      </c>
      <c r="Z475">
        <f t="shared" si="78"/>
        <v>1.5</v>
      </c>
      <c r="AA475" s="21">
        <f>IF(X475&gt;$B$8+$B$9,0,ABS(X475-O475)/X475)</f>
        <v>1.3954250457356071E-2</v>
      </c>
      <c r="AB475">
        <f>IF(OR(Z472&lt;&gt;Z478,X475&gt;$B$8+$B$9),0,((X478-X472)/(W478-W472)-(O478-O472)/(W478-W472))^2)</f>
        <v>2.227784081311583E-8</v>
      </c>
    </row>
    <row r="476" spans="7:28" x14ac:dyDescent="0.2">
      <c r="G476" s="21"/>
      <c r="H476" s="21">
        <v>361</v>
      </c>
      <c r="I476">
        <f t="shared" si="84"/>
        <v>2.145717790456517E-2</v>
      </c>
      <c r="J476">
        <f t="shared" si="85"/>
        <v>0.77116183241782887</v>
      </c>
      <c r="K476">
        <f t="shared" si="79"/>
        <v>30.974418480198864</v>
      </c>
      <c r="L476">
        <f>0.5*Z476*K476/J476/$B$7</f>
        <v>30.124434176563721</v>
      </c>
      <c r="M476">
        <f t="shared" si="82"/>
        <v>0.25985702806998329</v>
      </c>
      <c r="N476" s="21">
        <f t="shared" si="86"/>
        <v>4.2764921393051207E-2</v>
      </c>
      <c r="O476" s="21">
        <f t="shared" si="87"/>
        <v>11.524226697773527</v>
      </c>
      <c r="P476">
        <f t="shared" si="83"/>
        <v>0.33920305963412245</v>
      </c>
      <c r="Q476">
        <f t="shared" si="80"/>
        <v>0.77116183241782887</v>
      </c>
      <c r="R476">
        <f t="shared" si="81"/>
        <v>-0.87902849230178459</v>
      </c>
      <c r="T476" s="21">
        <f>(M476-M475)/(H476-H475)</f>
        <v>9.1691858928777403E-4</v>
      </c>
      <c r="W476">
        <v>361</v>
      </c>
      <c r="X476">
        <v>11.373670999999998</v>
      </c>
      <c r="Y476">
        <v>1.5</v>
      </c>
      <c r="Z476">
        <f t="shared" si="78"/>
        <v>1.5</v>
      </c>
      <c r="AA476" s="21">
        <f>IF(X476&gt;$B$8+$B$9,0,ABS(X476-O476)/X476)</f>
        <v>1.3237212310214401E-2</v>
      </c>
      <c r="AB476">
        <f>IF(OR(Z473&lt;&gt;Z479,X476&gt;$B$8+$B$9),0,((X479-X473)/(W479-W473)-(O479-O473)/(W479-W473))^2)</f>
        <v>4.8678688381442822E-9</v>
      </c>
    </row>
    <row r="477" spans="7:28" x14ac:dyDescent="0.2">
      <c r="G477" s="21"/>
      <c r="H477" s="21">
        <v>362</v>
      </c>
      <c r="I477">
        <f t="shared" si="84"/>
        <v>2.1406171260783341E-2</v>
      </c>
      <c r="J477">
        <f t="shared" si="85"/>
        <v>0.77045567494372202</v>
      </c>
      <c r="K477">
        <f t="shared" si="79"/>
        <v>30.932814564372279</v>
      </c>
      <c r="L477">
        <f>0.5*Z477*K477/J477/$B$7</f>
        <v>30.111545255311185</v>
      </c>
      <c r="M477">
        <f t="shared" si="82"/>
        <v>0.26077315352928016</v>
      </c>
      <c r="N477" s="21">
        <f t="shared" si="86"/>
        <v>4.2829587521568437E-2</v>
      </c>
      <c r="O477" s="21">
        <f t="shared" si="87"/>
        <v>11.545632869034311</v>
      </c>
      <c r="P477">
        <f t="shared" si="83"/>
        <v>0.34024978526705046</v>
      </c>
      <c r="Q477">
        <f t="shared" si="80"/>
        <v>0.77045567494372202</v>
      </c>
      <c r="R477">
        <f t="shared" si="81"/>
        <v>-0.88421313834486814</v>
      </c>
      <c r="T477" s="21">
        <f>(M477-M476)/(H477-H476)</f>
        <v>9.1612545929686817E-4</v>
      </c>
      <c r="W477">
        <v>362</v>
      </c>
      <c r="X477">
        <v>11.386651000000001</v>
      </c>
      <c r="Y477">
        <v>1.5</v>
      </c>
      <c r="Z477">
        <f t="shared" si="78"/>
        <v>1.5</v>
      </c>
      <c r="AA477" s="21">
        <f>IF(X477&gt;$B$8+$B$9,0,ABS(X477-O477)/X477)</f>
        <v>1.3962127146455099E-2</v>
      </c>
      <c r="AB477">
        <f>IF(OR(Z474&lt;&gt;Z480,X477&gt;$B$8+$B$9),0,((X480-X474)/(W480-W474)-(O480-O474)/(W480-W474))^2)</f>
        <v>3.1345407257000531E-7</v>
      </c>
    </row>
    <row r="478" spans="7:28" x14ac:dyDescent="0.2">
      <c r="G478" s="21"/>
      <c r="H478" s="21">
        <v>363</v>
      </c>
      <c r="I478">
        <f t="shared" si="84"/>
        <v>2.1355732110514072E-2</v>
      </c>
      <c r="J478">
        <f t="shared" si="85"/>
        <v>0.76975076442584789</v>
      </c>
      <c r="K478">
        <f t="shared" si="79"/>
        <v>30.891501597114683</v>
      </c>
      <c r="L478">
        <f>0.5*Z478*K478/J478/$B$7</f>
        <v>30.098867410826596</v>
      </c>
      <c r="M478">
        <f t="shared" si="82"/>
        <v>0.26168849909474934</v>
      </c>
      <c r="N478" s="21">
        <f t="shared" si="86"/>
        <v>4.2894044963753389E-2</v>
      </c>
      <c r="O478" s="21">
        <f t="shared" si="87"/>
        <v>11.566988601144825</v>
      </c>
      <c r="P478">
        <f t="shared" si="83"/>
        <v>0.34129466255722257</v>
      </c>
      <c r="Q478">
        <f t="shared" si="80"/>
        <v>0.76975076442584789</v>
      </c>
      <c r="R478">
        <f t="shared" si="81"/>
        <v>-0.88944998822216925</v>
      </c>
      <c r="T478" s="21">
        <f>(M478-M477)/(H478-H477)</f>
        <v>9.1534556546918333E-4</v>
      </c>
      <c r="W478">
        <v>363</v>
      </c>
      <c r="X478">
        <v>11.412610000000001</v>
      </c>
      <c r="Y478">
        <v>1.5</v>
      </c>
      <c r="Z478">
        <f t="shared" si="78"/>
        <v>1.5</v>
      </c>
      <c r="AA478" s="21">
        <f>IF(X478&gt;$B$8+$B$9,0,ABS(X478-O478)/X478)</f>
        <v>1.3527019774164196E-2</v>
      </c>
      <c r="AB478">
        <f>IF(OR(Z475&lt;&gt;Z481,X478&gt;$B$8+$B$9),0,((X481-X475)/(W481-W475)-(O481-O475)/(W481-W475))^2)</f>
        <v>6.0845140978584011E-7</v>
      </c>
    </row>
    <row r="479" spans="7:28" x14ac:dyDescent="0.2">
      <c r="G479" s="21"/>
      <c r="H479" s="21">
        <v>364</v>
      </c>
      <c r="I479">
        <f t="shared" si="84"/>
        <v>2.1305852394677315E-2</v>
      </c>
      <c r="J479">
        <f t="shared" si="85"/>
        <v>0.7690470885663041</v>
      </c>
      <c r="K479">
        <f t="shared" si="79"/>
        <v>30.850476076844366</v>
      </c>
      <c r="L479">
        <f>0.5*Z479*K479/J479/$B$7</f>
        <v>30.086398351455983</v>
      </c>
      <c r="M479">
        <f t="shared" si="82"/>
        <v>0.26260307784494047</v>
      </c>
      <c r="N479" s="21">
        <f t="shared" si="86"/>
        <v>4.295829589424275E-2</v>
      </c>
      <c r="O479" s="21">
        <f t="shared" si="87"/>
        <v>11.588294453539502</v>
      </c>
      <c r="P479">
        <f t="shared" si="83"/>
        <v>0.34233770973361727</v>
      </c>
      <c r="Q479">
        <f t="shared" si="80"/>
        <v>0.7690470885663041</v>
      </c>
      <c r="R479">
        <f t="shared" si="81"/>
        <v>-0.89473990242300006</v>
      </c>
      <c r="T479" s="21">
        <f>(M479-M478)/(H479-H478)</f>
        <v>9.1457875019113066E-4</v>
      </c>
      <c r="W479">
        <v>364</v>
      </c>
      <c r="X479">
        <v>11.445059999999998</v>
      </c>
      <c r="Y479">
        <v>1.5</v>
      </c>
      <c r="Z479">
        <f t="shared" si="78"/>
        <v>1.5</v>
      </c>
      <c r="AA479" s="21">
        <f>IF(X479&gt;$B$8+$B$9,0,ABS(X479-O479)/X479)</f>
        <v>1.2514958728001801E-2</v>
      </c>
      <c r="AB479">
        <f>IF(OR(Z476&lt;&gt;Z482,X479&gt;$B$8+$B$9),0,((X482-X476)/(W482-W476)-(O482-O476)/(W482-W476))^2)</f>
        <v>2.1167843689788152E-7</v>
      </c>
    </row>
    <row r="480" spans="7:28" x14ac:dyDescent="0.2">
      <c r="G480" s="21"/>
      <c r="H480" s="21">
        <v>365</v>
      </c>
      <c r="I480">
        <f t="shared" si="84"/>
        <v>2.1256524216717514E-2</v>
      </c>
      <c r="J480">
        <f t="shared" si="85"/>
        <v>0.76834463522761332</v>
      </c>
      <c r="K480">
        <f t="shared" si="79"/>
        <v>30.809734562914322</v>
      </c>
      <c r="L480">
        <f>0.5*Z480*K480/J480/$B$7</f>
        <v>30.074135827525456</v>
      </c>
      <c r="M480">
        <f t="shared" si="82"/>
        <v>0.26351690270389155</v>
      </c>
      <c r="N480" s="21">
        <f t="shared" si="86"/>
        <v>4.3022342456467952E-2</v>
      </c>
      <c r="O480" s="21">
        <f t="shared" si="87"/>
        <v>11.60955097775622</v>
      </c>
      <c r="P480">
        <f t="shared" si="83"/>
        <v>0.34337894478741815</v>
      </c>
      <c r="Q480">
        <f t="shared" si="80"/>
        <v>0.76834463522761332</v>
      </c>
      <c r="R480">
        <f t="shared" si="81"/>
        <v>-0.90008375967928689</v>
      </c>
      <c r="T480" s="21">
        <f>(M480-M479)/(H480-H479)</f>
        <v>9.1382485895108445E-4</v>
      </c>
      <c r="W480">
        <v>365</v>
      </c>
      <c r="X480">
        <v>11.462906999999998</v>
      </c>
      <c r="Y480">
        <v>1.5</v>
      </c>
      <c r="Z480">
        <f t="shared" si="78"/>
        <v>1.5</v>
      </c>
      <c r="AA480" s="21">
        <f>IF(X480&gt;$B$8+$B$9,0,ABS(X480-O480)/X480)</f>
        <v>1.2792913504072037E-2</v>
      </c>
      <c r="AB480">
        <f>IF(OR(Z477&lt;&gt;Z483,X480&gt;$B$8+$B$9),0,((X483-X477)/(W483-W477)-(O483-O477)/(W483-W477))^2)</f>
        <v>4.6446781434933321E-7</v>
      </c>
    </row>
    <row r="481" spans="7:28" x14ac:dyDescent="0.2">
      <c r="G481" s="21"/>
      <c r="H481" s="21">
        <v>366</v>
      </c>
      <c r="I481">
        <f t="shared" si="84"/>
        <v>2.1207739838509303E-2</v>
      </c>
      <c r="J481">
        <f t="shared" si="85"/>
        <v>0.76764339242968482</v>
      </c>
      <c r="K481">
        <f t="shared" si="79"/>
        <v>30.769273674235173</v>
      </c>
      <c r="L481">
        <f>0.5*Z481*K481/J481/$B$7</f>
        <v>30.062077630389037</v>
      </c>
      <c r="M481">
        <f t="shared" si="82"/>
        <v>0.26442998644415766</v>
      </c>
      <c r="N481" s="21">
        <f t="shared" si="86"/>
        <v>4.3086186763283733E-2</v>
      </c>
      <c r="O481" s="21">
        <f t="shared" si="87"/>
        <v>11.630758717594729</v>
      </c>
      <c r="P481">
        <f t="shared" si="83"/>
        <v>0.34441838547651704</v>
      </c>
      <c r="Q481">
        <f t="shared" si="80"/>
        <v>0.76764339242968482</v>
      </c>
      <c r="R481">
        <f t="shared" si="81"/>
        <v>-0.90548245746500655</v>
      </c>
      <c r="T481" s="21">
        <f>(M481-M480)/(H481-H480)</f>
        <v>9.1308374026610739E-4</v>
      </c>
      <c r="W481">
        <v>366</v>
      </c>
      <c r="X481">
        <v>11.467775</v>
      </c>
      <c r="Y481">
        <v>1.5</v>
      </c>
      <c r="Z481">
        <f t="shared" si="78"/>
        <v>1.5</v>
      </c>
      <c r="AA481" s="21">
        <f>IF(X481&gt;$B$8+$B$9,0,ABS(X481-O481)/X481)</f>
        <v>1.4212322581732644E-2</v>
      </c>
      <c r="AB481">
        <f>IF(OR(Z478&lt;&gt;Z484,X481&gt;$B$8+$B$9),0,((X484-X478)/(W484-W478)-(O484-O478)/(W484-W478))^2)</f>
        <v>1.3127999001380551E-7</v>
      </c>
    </row>
    <row r="482" spans="7:28" x14ac:dyDescent="0.2">
      <c r="G482" s="21"/>
      <c r="H482" s="21">
        <v>367</v>
      </c>
      <c r="I482">
        <f t="shared" si="84"/>
        <v>2.1159491676387397E-2</v>
      </c>
      <c r="J482">
        <f t="shared" si="85"/>
        <v>0.76694334834684919</v>
      </c>
      <c r="K482">
        <f t="shared" si="79"/>
        <v>30.729090087936385</v>
      </c>
      <c r="L482">
        <f>0.5*Z482*K482/J482/$B$7</f>
        <v>30.050221591503252</v>
      </c>
      <c r="M482">
        <f t="shared" si="82"/>
        <v>0.26534234168976684</v>
      </c>
      <c r="N482" s="21">
        <f t="shared" si="86"/>
        <v>4.3149830897580843E-2</v>
      </c>
      <c r="O482" s="21">
        <f t="shared" si="87"/>
        <v>11.651918209271116</v>
      </c>
      <c r="P482">
        <f t="shared" si="83"/>
        <v>0.34545604932990959</v>
      </c>
      <c r="Q482">
        <f t="shared" si="80"/>
        <v>0.76694334834684919</v>
      </c>
      <c r="R482">
        <f t="shared" si="81"/>
        <v>-0.91093691251180653</v>
      </c>
      <c r="T482" s="21">
        <f>(M482-M481)/(H482-H481)</f>
        <v>9.1235524560917547E-4</v>
      </c>
      <c r="W482">
        <v>367</v>
      </c>
      <c r="X482">
        <v>11.498601999999998</v>
      </c>
      <c r="Y482">
        <v>1.5</v>
      </c>
      <c r="Z482">
        <f t="shared" si="78"/>
        <v>1.5</v>
      </c>
      <c r="AA482" s="21">
        <f>IF(X482&gt;$B$8+$B$9,0,ABS(X482-O482)/X482)</f>
        <v>1.333346517003702E-2</v>
      </c>
      <c r="AB482">
        <f>IF(OR(Z479&lt;&gt;Z485,X482&gt;$B$8+$B$9),0,((X485-X479)/(W485-W479)-(O485-O479)/(W485-W479))^2)</f>
        <v>6.1396525193275054E-6</v>
      </c>
    </row>
    <row r="483" spans="7:28" x14ac:dyDescent="0.2">
      <c r="G483" s="21"/>
      <c r="H483" s="21">
        <v>368</v>
      </c>
      <c r="I483">
        <f t="shared" si="84"/>
        <v>2.1111772297297073E-2</v>
      </c>
      <c r="J483">
        <f t="shared" si="85"/>
        <v>0.76624449130496375</v>
      </c>
      <c r="K483">
        <f t="shared" si="79"/>
        <v>30.689180538064456</v>
      </c>
      <c r="L483">
        <f>0.5*Z483*K483/J483/$B$7</f>
        <v>30.038565581527514</v>
      </c>
      <c r="M483">
        <f t="shared" si="82"/>
        <v>0.26625398091910618</v>
      </c>
      <c r="N483" s="21">
        <f t="shared" si="86"/>
        <v>4.3213276912883368E-2</v>
      </c>
      <c r="O483" s="21">
        <f t="shared" si="87"/>
        <v>11.673029981568414</v>
      </c>
      <c r="P483">
        <f t="shared" si="83"/>
        <v>0.34649195365198587</v>
      </c>
      <c r="Q483">
        <f t="shared" si="80"/>
        <v>0.76624449130496375</v>
      </c>
      <c r="R483">
        <f t="shared" si="81"/>
        <v>-0.91644806134143053</v>
      </c>
      <c r="T483" s="21">
        <f>(M483-M482)/(H483-H482)</f>
        <v>9.1163922933934494E-4</v>
      </c>
      <c r="W483">
        <v>368</v>
      </c>
      <c r="X483">
        <v>11.509958999999998</v>
      </c>
      <c r="Y483">
        <v>1.5</v>
      </c>
      <c r="Z483">
        <f t="shared" si="78"/>
        <v>1.5</v>
      </c>
      <c r="AA483" s="21">
        <f>IF(X483&gt;$B$8+$B$9,0,ABS(X483-O483)/X483)</f>
        <v>1.4167816025097507E-2</v>
      </c>
      <c r="AB483">
        <f>IF(OR(Z480&lt;&gt;Z486,X483&gt;$B$8+$B$9),0,((X486-X480)/(W486-W480)-(O486-O480)/(W486-W480))^2)</f>
        <v>2.6212602041917601E-6</v>
      </c>
    </row>
    <row r="484" spans="7:28" x14ac:dyDescent="0.2">
      <c r="G484" s="21"/>
      <c r="H484" s="21">
        <v>369</v>
      </c>
      <c r="I484">
        <f t="shared" si="84"/>
        <v>2.1064574415060232E-2</v>
      </c>
      <c r="J484">
        <f t="shared" si="85"/>
        <v>0.76554680977858625</v>
      </c>
      <c r="K484">
        <f t="shared" si="79"/>
        <v>30.649541814316869</v>
      </c>
      <c r="L484">
        <f>0.5*Z484*K484/J484/$B$7</f>
        <v>30.02710750944944</v>
      </c>
      <c r="M484">
        <f t="shared" si="82"/>
        <v>0.26716491646773982</v>
      </c>
      <c r="N484" s="21">
        <f t="shared" si="86"/>
        <v>4.3276526833931288E-2</v>
      </c>
      <c r="O484" s="21">
        <f t="shared" si="87"/>
        <v>11.694094555983474</v>
      </c>
      <c r="P484">
        <f t="shared" si="83"/>
        <v>0.34752611552671986</v>
      </c>
      <c r="Q484">
        <f t="shared" si="80"/>
        <v>0.76554680977858625</v>
      </c>
      <c r="R484">
        <f t="shared" si="81"/>
        <v>-0.92201686081560419</v>
      </c>
      <c r="T484" s="21">
        <f>(M484-M483)/(H484-H483)</f>
        <v>9.1093554863364012E-4</v>
      </c>
      <c r="W484">
        <v>369</v>
      </c>
      <c r="X484">
        <v>11.537541999999998</v>
      </c>
      <c r="Y484">
        <v>1.5</v>
      </c>
      <c r="Z484">
        <f t="shared" si="78"/>
        <v>1.5</v>
      </c>
      <c r="AA484" s="21">
        <f>IF(X484&gt;$B$8+$B$9,0,ABS(X484-O484)/X484)</f>
        <v>1.3568969541647238E-2</v>
      </c>
      <c r="AB484">
        <f>IF(OR(Z481&lt;&gt;Z487,X484&gt;$B$8+$B$9),0,((X487-X481)/(W487-W481)-(O487-O481)/(W487-W481))^2)</f>
        <v>2.5421259764837244E-9</v>
      </c>
    </row>
    <row r="485" spans="7:28" x14ac:dyDescent="0.2">
      <c r="G485" s="21"/>
      <c r="H485" s="21">
        <v>370</v>
      </c>
      <c r="I485">
        <f t="shared" si="84"/>
        <v>2.1017890886753439E-2</v>
      </c>
      <c r="J485">
        <f t="shared" si="85"/>
        <v>0.76485029238821489</v>
      </c>
      <c r="K485">
        <f t="shared" si="79"/>
        <v>30.610170760810668</v>
      </c>
      <c r="L485">
        <f>0.5*Z485*K485/J485/$B$7</f>
        <v>30.015845321734421</v>
      </c>
      <c r="M485">
        <f t="shared" si="82"/>
        <v>0.26807516053116165</v>
      </c>
      <c r="N485" s="21">
        <f t="shared" si="86"/>
        <v>4.3339582657248653E-2</v>
      </c>
      <c r="O485" s="21">
        <f t="shared" si="87"/>
        <v>11.715112446870227</v>
      </c>
      <c r="P485">
        <f t="shared" si="83"/>
        <v>0.34855855182175999</v>
      </c>
      <c r="Q485">
        <f t="shared" si="80"/>
        <v>0.76485029238821489</v>
      </c>
      <c r="R485">
        <f t="shared" si="81"/>
        <v>-0.92764428870405946</v>
      </c>
      <c r="T485" s="21">
        <f>(M485-M484)/(H485-H484)</f>
        <v>9.1024406342182784E-4</v>
      </c>
      <c r="W485">
        <v>370</v>
      </c>
      <c r="X485">
        <v>11.557010999999999</v>
      </c>
      <c r="Y485">
        <v>1.5</v>
      </c>
      <c r="Z485">
        <f t="shared" si="78"/>
        <v>1.5</v>
      </c>
      <c r="AA485" s="21">
        <f>IF(X485&gt;$B$8+$B$9,0,ABS(X485-O485)/X485)</f>
        <v>1.3680132940102611E-2</v>
      </c>
      <c r="AB485">
        <f>IF(OR(Z482&lt;&gt;Z488,X485&gt;$B$8+$B$9),0,((X488-X482)/(W488-W482)-(O488-O482)/(W488-W482))^2)</f>
        <v>9.6984692678122504E-7</v>
      </c>
    </row>
    <row r="486" spans="7:28" x14ac:dyDescent="0.2">
      <c r="G486" s="21"/>
      <c r="H486" s="21">
        <v>371</v>
      </c>
      <c r="I486">
        <f t="shared" si="84"/>
        <v>2.0971714709194008E-2</v>
      </c>
      <c r="J486">
        <f t="shared" si="85"/>
        <v>0.76415492789759432</v>
      </c>
      <c r="K486">
        <f t="shared" si="79"/>
        <v>30.571064274884584</v>
      </c>
      <c r="L486">
        <f>0.5*Z486*K486/J486/$B$7</f>
        <v>30.004777001498443</v>
      </c>
      <c r="M486">
        <f t="shared" si="82"/>
        <v>0.26898472516748201</v>
      </c>
      <c r="N486" s="21">
        <f t="shared" si="86"/>
        <v>4.3402446351697516E-2</v>
      </c>
      <c r="O486" s="21">
        <f t="shared" si="87"/>
        <v>11.736084161579422</v>
      </c>
      <c r="P486">
        <f t="shared" si="83"/>
        <v>0.3495892791924235</v>
      </c>
      <c r="Q486">
        <f t="shared" si="80"/>
        <v>0.76415492789759432</v>
      </c>
      <c r="R486">
        <f t="shared" si="81"/>
        <v>-0.93333134427140463</v>
      </c>
      <c r="T486" s="21">
        <f>(M486-M485)/(H486-H485)</f>
        <v>9.0956463632035911E-4</v>
      </c>
      <c r="W486">
        <v>371</v>
      </c>
      <c r="X486">
        <v>11.579726000000001</v>
      </c>
      <c r="Y486">
        <v>1.5</v>
      </c>
      <c r="Z486">
        <f t="shared" si="78"/>
        <v>1.5</v>
      </c>
      <c r="AA486" s="21">
        <f>IF(X486&gt;$B$8+$B$9,0,ABS(X486-O486)/X486)</f>
        <v>1.3502751410475597E-2</v>
      </c>
      <c r="AB486">
        <f>IF(OR(Z483&lt;&gt;Z489,X486&gt;$B$8+$B$9),0,((X489-X483)/(W489-W483)-(O489-O483)/(W489-W483))^2)</f>
        <v>2.1895310168076788E-6</v>
      </c>
    </row>
    <row r="487" spans="7:28" x14ac:dyDescent="0.2">
      <c r="G487" s="21"/>
      <c r="H487" s="21">
        <v>372</v>
      </c>
      <c r="I487">
        <f t="shared" si="84"/>
        <v>2.0926039015530026E-2</v>
      </c>
      <c r="J487">
        <f t="shared" si="85"/>
        <v>0.76346070521108245</v>
      </c>
      <c r="K487">
        <f t="shared" si="79"/>
        <v>30.532219305933481</v>
      </c>
      <c r="L487">
        <f>0.5*Z487*K487/J487/$B$7</f>
        <v>29.993900567703644</v>
      </c>
      <c r="M487">
        <f t="shared" si="82"/>
        <v>0.26989362230005487</v>
      </c>
      <c r="N487" s="21">
        <f t="shared" si="86"/>
        <v>4.3465119859018735E-2</v>
      </c>
      <c r="O487" s="21">
        <f t="shared" si="87"/>
        <v>11.757010200594951</v>
      </c>
      <c r="P487">
        <f t="shared" si="83"/>
        <v>0.3506183140855984</v>
      </c>
      <c r="Q487">
        <f t="shared" si="80"/>
        <v>0.76346070521108245</v>
      </c>
      <c r="R487">
        <f t="shared" si="81"/>
        <v>-0.93907904888358884</v>
      </c>
      <c r="T487" s="21">
        <f>(M487-M486)/(H487-H486)</f>
        <v>9.088971325728612E-4</v>
      </c>
      <c r="W487">
        <v>372</v>
      </c>
      <c r="X487">
        <v>11.594328999999998</v>
      </c>
      <c r="Y487">
        <v>1.5</v>
      </c>
      <c r="Z487">
        <f t="shared" si="78"/>
        <v>1.5</v>
      </c>
      <c r="AA487" s="21">
        <f>IF(X487&gt;$B$8+$B$9,0,ABS(X487-O487)/X487)</f>
        <v>1.4031100945553054E-2</v>
      </c>
      <c r="AB487">
        <f>IF(OR(Z484&lt;&gt;Z490,X487&gt;$B$8+$B$9),0,((X490-X484)/(W490-W484)-(O490-O484)/(W490-W484))^2)</f>
        <v>1.244457443311353E-7</v>
      </c>
    </row>
    <row r="488" spans="7:28" x14ac:dyDescent="0.2">
      <c r="G488" s="21"/>
      <c r="H488" s="21">
        <v>373</v>
      </c>
      <c r="I488">
        <f t="shared" si="84"/>
        <v>2.0880857071931151E-2</v>
      </c>
      <c r="J488">
        <f t="shared" si="85"/>
        <v>0.76276761337108012</v>
      </c>
      <c r="K488">
        <f t="shared" si="79"/>
        <v>30.493632854274281</v>
      </c>
      <c r="L488">
        <f>0.5*Z488*K488/J488/$B$7</f>
        <v>29.983214074375674</v>
      </c>
      <c r="M488">
        <f t="shared" si="82"/>
        <v>0.27080186372004189</v>
      </c>
      <c r="N488" s="21">
        <f t="shared" si="86"/>
        <v>4.3527605094359142E-2</v>
      </c>
      <c r="O488" s="21">
        <f t="shared" si="87"/>
        <v>11.777891057666883</v>
      </c>
      <c r="P488">
        <f t="shared" si="83"/>
        <v>0.35164567274355402</v>
      </c>
      <c r="Q488">
        <f t="shared" si="80"/>
        <v>0.76276761337108012</v>
      </c>
      <c r="R488">
        <f t="shared" si="81"/>
        <v>-0.94488844663472749</v>
      </c>
      <c r="T488" s="21">
        <f>(M488-M487)/(H488-H487)</f>
        <v>9.0824141998702146E-4</v>
      </c>
      <c r="W488">
        <v>373</v>
      </c>
      <c r="X488">
        <v>11.618666000000001</v>
      </c>
      <c r="Y488">
        <v>1.5</v>
      </c>
      <c r="Z488">
        <f t="shared" si="78"/>
        <v>1.5</v>
      </c>
      <c r="AA488" s="21">
        <f>IF(X488&gt;$B$8+$B$9,0,ABS(X488-O488)/X488)</f>
        <v>1.3704246052591761E-2</v>
      </c>
      <c r="AB488">
        <f>IF(OR(Z485&lt;&gt;Z491,X488&gt;$B$8+$B$9),0,((X491-X485)/(W491-W485)-(O491-O485)/(W491-W485))^2)</f>
        <v>3.3407042644542549E-7</v>
      </c>
    </row>
    <row r="489" spans="7:28" x14ac:dyDescent="0.2">
      <c r="G489" s="21"/>
      <c r="H489" s="21">
        <v>374</v>
      </c>
      <c r="I489">
        <f t="shared" si="84"/>
        <v>2.0836162274376333E-2</v>
      </c>
      <c r="J489">
        <f t="shared" si="85"/>
        <v>0.7620756415555191</v>
      </c>
      <c r="K489">
        <f t="shared" si="79"/>
        <v>30.455301970042207</v>
      </c>
      <c r="L489">
        <f>0.5*Z489*K489/J489/$B$7</f>
        <v>29.972715609842254</v>
      </c>
      <c r="M489">
        <f t="shared" si="82"/>
        <v>0.27170946108891947</v>
      </c>
      <c r="N489" s="21">
        <f t="shared" si="86"/>
        <v>4.3589903946786281E-2</v>
      </c>
      <c r="O489" s="21">
        <f t="shared" si="87"/>
        <v>11.798727219941259</v>
      </c>
      <c r="P489">
        <f t="shared" si="83"/>
        <v>0.35267137120766434</v>
      </c>
      <c r="Q489">
        <f t="shared" si="80"/>
        <v>0.7620756415555191</v>
      </c>
      <c r="R489">
        <f t="shared" si="81"/>
        <v>-0.95076060499510751</v>
      </c>
      <c r="T489" s="21">
        <f>(M489-M488)/(H489-H488)</f>
        <v>9.0759736887757736E-4</v>
      </c>
      <c r="W489">
        <v>374</v>
      </c>
      <c r="X489">
        <v>11.626777999999998</v>
      </c>
      <c r="Y489">
        <v>1.5</v>
      </c>
      <c r="Z489">
        <f t="shared" si="78"/>
        <v>1.5</v>
      </c>
      <c r="AA489" s="21">
        <f>IF(X489&gt;$B$8+$B$9,0,ABS(X489-O489)/X489)</f>
        <v>1.4789068815217883E-2</v>
      </c>
      <c r="AB489">
        <f>IF(OR(Z486&lt;&gt;Z492,X489&gt;$B$8+$B$9),0,((X492-X486)/(W492-W486)-(O492-O486)/(W492-W486))^2)</f>
        <v>2.8482705109392985E-7</v>
      </c>
    </row>
    <row r="490" spans="7:28" x14ac:dyDescent="0.2">
      <c r="G490" s="21"/>
      <c r="H490" s="21">
        <v>375</v>
      </c>
      <c r="I490">
        <f t="shared" si="84"/>
        <v>2.0791948145535571E-2</v>
      </c>
      <c r="J490">
        <f t="shared" si="85"/>
        <v>0.76138477907540825</v>
      </c>
      <c r="K490">
        <f t="shared" si="79"/>
        <v>30.417223752116442</v>
      </c>
      <c r="L490">
        <f>0.5*Z490*K490/J490/$B$7</f>
        <v>29.962403295992235</v>
      </c>
      <c r="M490">
        <f t="shared" si="82"/>
        <v>0.27261642594092722</v>
      </c>
      <c r="N490" s="21">
        <f t="shared" si="86"/>
        <v>4.365201827979049E-2</v>
      </c>
      <c r="O490" s="21">
        <f t="shared" si="87"/>
        <v>11.819519168086796</v>
      </c>
      <c r="P490">
        <f t="shared" si="83"/>
        <v>0.35369542532204579</v>
      </c>
      <c r="Q490">
        <f t="shared" si="80"/>
        <v>0.76138477907540825</v>
      </c>
      <c r="R490">
        <f t="shared" si="81"/>
        <v>-0.95669661548121465</v>
      </c>
      <c r="T490" s="21">
        <f>(M490-M489)/(H490-H489)</f>
        <v>9.0696485200775223E-4</v>
      </c>
      <c r="W490">
        <v>375</v>
      </c>
      <c r="X490">
        <v>11.66085</v>
      </c>
      <c r="Y490">
        <v>1.5</v>
      </c>
      <c r="Z490">
        <f t="shared" si="78"/>
        <v>1.5</v>
      </c>
      <c r="AA490" s="21">
        <f>IF(X490&gt;$B$8+$B$9,0,ABS(X490-O490)/X490)</f>
        <v>1.360699846810445E-2</v>
      </c>
      <c r="AB490">
        <f>IF(OR(Z487&lt;&gt;Z493,X490&gt;$B$8+$B$9),0,((X493-X487)/(W493-W487)-(O493-O487)/(W493-W487))^2)</f>
        <v>1.0620124370646401E-6</v>
      </c>
    </row>
    <row r="491" spans="7:28" x14ac:dyDescent="0.2">
      <c r="G491" s="21"/>
      <c r="H491" s="21">
        <v>376</v>
      </c>
      <c r="I491">
        <f t="shared" si="84"/>
        <v>2.0748208331741933E-2</v>
      </c>
      <c r="J491">
        <f t="shared" si="85"/>
        <v>0.760695015372435</v>
      </c>
      <c r="K491">
        <f t="shared" si="79"/>
        <v>30.379395347074301</v>
      </c>
      <c r="L491">
        <f>0.5*Z491*K491/J491/$B$7</f>
        <v>29.952275287554563</v>
      </c>
      <c r="M491">
        <f t="shared" si="82"/>
        <v>0.27352276968546291</v>
      </c>
      <c r="N491" s="21">
        <f t="shared" si="86"/>
        <v>4.3713949931775194E-2</v>
      </c>
      <c r="O491" s="21">
        <f t="shared" si="87"/>
        <v>11.840267376418538</v>
      </c>
      <c r="P491">
        <f t="shared" si="83"/>
        <v>0.35471785073711154</v>
      </c>
      <c r="Q491">
        <f t="shared" si="80"/>
        <v>0.760695015372435</v>
      </c>
      <c r="R491">
        <f t="shared" si="81"/>
        <v>-0.96269759434866742</v>
      </c>
      <c r="T491" s="21">
        <f>(M491-M490)/(H491-H490)</f>
        <v>9.06343744535687E-4</v>
      </c>
      <c r="W491">
        <v>376</v>
      </c>
      <c r="X491">
        <v>11.678698000000001</v>
      </c>
      <c r="Y491">
        <v>1.5</v>
      </c>
      <c r="Z491">
        <f t="shared" si="78"/>
        <v>1.5</v>
      </c>
      <c r="AA491" s="21">
        <f>IF(X491&gt;$B$8+$B$9,0,ABS(X491-O491)/X491)</f>
        <v>1.3834536728198408E-2</v>
      </c>
      <c r="AB491">
        <f>IF(OR(Z488&lt;&gt;Z494,X491&gt;$B$8+$B$9),0,((X494-X488)/(W494-W488)-(O494-O488)/(W494-W488))^2)</f>
        <v>8.2935890356881099E-6</v>
      </c>
    </row>
    <row r="492" spans="7:28" x14ac:dyDescent="0.2">
      <c r="G492" s="21"/>
      <c r="H492" s="21">
        <v>377</v>
      </c>
      <c r="I492">
        <f t="shared" si="84"/>
        <v>2.0704936600051255E-2</v>
      </c>
      <c r="J492">
        <f t="shared" si="85"/>
        <v>0.76000634001662215</v>
      </c>
      <c r="K492">
        <f t="shared" si="79"/>
        <v>30.341813948172984</v>
      </c>
      <c r="L492">
        <f>0.5*Z492*K492/J492/$B$7</f>
        <v>29.942329771396423</v>
      </c>
      <c r="M492">
        <f t="shared" si="82"/>
        <v>0.27442850360942123</v>
      </c>
      <c r="N492" s="21">
        <f t="shared" si="86"/>
        <v>4.3775700716535262E-2</v>
      </c>
      <c r="O492" s="21">
        <f t="shared" si="87"/>
        <v>11.860972313018589</v>
      </c>
      <c r="P492">
        <f t="shared" si="83"/>
        <v>0.35573866291304557</v>
      </c>
      <c r="Q492">
        <f t="shared" si="80"/>
        <v>0.76000634001662215</v>
      </c>
      <c r="R492">
        <f t="shared" si="81"/>
        <v>-0.9687646833089878</v>
      </c>
      <c r="T492" s="21">
        <f>(M492-M491)/(H492-H491)</f>
        <v>9.0573392395831842E-4</v>
      </c>
      <c r="W492">
        <v>377</v>
      </c>
      <c r="X492">
        <v>11.701411999999998</v>
      </c>
      <c r="Y492">
        <v>1.5</v>
      </c>
      <c r="Z492">
        <f t="shared" si="78"/>
        <v>1.5</v>
      </c>
      <c r="AA492" s="21">
        <f>IF(X492&gt;$B$8+$B$9,0,ABS(X492-O492)/X492)</f>
        <v>1.3635987949026275E-2</v>
      </c>
      <c r="AB492">
        <f>IF(OR(Z489&lt;&gt;Z495,X492&gt;$B$8+$B$9),0,((X495-X489)/(W495-W489)-(O495-O489)/(W495-W489))^2)</f>
        <v>8.9109266151028122E-7</v>
      </c>
    </row>
    <row r="493" spans="7:28" x14ac:dyDescent="0.2">
      <c r="G493" s="21"/>
      <c r="H493" s="21">
        <v>378</v>
      </c>
      <c r="I493">
        <f t="shared" si="84"/>
        <v>2.066212683538644E-2</v>
      </c>
      <c r="J493">
        <f t="shared" si="85"/>
        <v>0.75931874270403754</v>
      </c>
      <c r="K493">
        <f t="shared" si="79"/>
        <v>30.304476794358045</v>
      </c>
      <c r="L493">
        <f>0.5*Z493*K493/J493/$B$7</f>
        <v>29.93256496583998</v>
      </c>
      <c r="M493">
        <f t="shared" si="82"/>
        <v>0.27533363887948115</v>
      </c>
      <c r="N493" s="21">
        <f t="shared" si="86"/>
        <v>4.3837272423724108E-2</v>
      </c>
      <c r="O493" s="21">
        <f t="shared" si="87"/>
        <v>11.881634439853975</v>
      </c>
      <c r="P493">
        <f t="shared" si="83"/>
        <v>0.35675787712319768</v>
      </c>
      <c r="Q493">
        <f t="shared" si="80"/>
        <v>0.75931874270403754</v>
      </c>
      <c r="R493">
        <f t="shared" si="81"/>
        <v>-0.97489905027117374</v>
      </c>
      <c r="T493" s="21">
        <f>(M493-M492)/(H493-H492)</f>
        <v>9.0513527005992023E-4</v>
      </c>
      <c r="W493">
        <v>378</v>
      </c>
      <c r="X493">
        <v>11.712769999999999</v>
      </c>
      <c r="Y493">
        <v>1.5</v>
      </c>
      <c r="Z493">
        <f t="shared" si="78"/>
        <v>1.5</v>
      </c>
      <c r="AA493" s="21">
        <f>IF(X493&gt;$B$8+$B$9,0,ABS(X493-O493)/X493)</f>
        <v>1.4417122495701401E-2</v>
      </c>
      <c r="AB493">
        <f>IF(OR(Z490&lt;&gt;Z496,X493&gt;$B$8+$B$9),0,((X496-X490)/(W496-W490)-(O496-O490)/(W496-W490))^2)</f>
        <v>1.3729293314797504E-6</v>
      </c>
    </row>
    <row r="494" spans="7:28" x14ac:dyDescent="0.2">
      <c r="G494" s="21"/>
      <c r="H494" s="21">
        <v>379</v>
      </c>
      <c r="I494">
        <f t="shared" si="84"/>
        <v>2.0619773037763345E-2</v>
      </c>
      <c r="J494">
        <f t="shared" si="85"/>
        <v>0.75863221325455399</v>
      </c>
      <c r="K494">
        <f t="shared" si="79"/>
        <v>30.267381169297757</v>
      </c>
      <c r="L494">
        <f>0.5*Z494*K494/J494/$B$7</f>
        <v>29.922979119997247</v>
      </c>
      <c r="M494">
        <f t="shared" si="82"/>
        <v>0.27623818654434329</v>
      </c>
      <c r="N494" s="21">
        <f t="shared" si="86"/>
        <v>4.3898666819309817E-2</v>
      </c>
      <c r="O494" s="21">
        <f t="shared" si="87"/>
        <v>11.902254212891739</v>
      </c>
      <c r="P494">
        <f t="shared" si="83"/>
        <v>0.35777550845740302</v>
      </c>
      <c r="Q494">
        <f t="shared" si="80"/>
        <v>0.75863221325455399</v>
      </c>
      <c r="R494">
        <f t="shared" si="81"/>
        <v>-0.98110189010909521</v>
      </c>
      <c r="T494" s="21">
        <f>(M494-M493)/(H494-H493)</f>
        <v>9.0454766486214311E-4</v>
      </c>
      <c r="W494">
        <v>379</v>
      </c>
      <c r="X494">
        <v>11.725749999999998</v>
      </c>
      <c r="Y494">
        <v>1.5</v>
      </c>
      <c r="Z494">
        <f t="shared" si="78"/>
        <v>1.5</v>
      </c>
      <c r="AA494" s="21">
        <f>IF(X494&gt;$B$8+$B$9,0,ABS(X494-O494)/X494)</f>
        <v>1.5052701353153628E-2</v>
      </c>
      <c r="AB494">
        <f>IF(OR(Z491&lt;&gt;Z497,X494&gt;$B$8+$B$9),0,((X497-X491)/(W497-W491)-(O497-O491)/(W497-W491))^2)</f>
        <v>3.4682378519667665E-7</v>
      </c>
    </row>
    <row r="495" spans="7:28" x14ac:dyDescent="0.2">
      <c r="G495" s="21"/>
      <c r="H495" s="21">
        <v>380</v>
      </c>
      <c r="I495">
        <f t="shared" si="84"/>
        <v>2.0577869319595668E-2</v>
      </c>
      <c r="J495">
        <f t="shared" si="85"/>
        <v>0.75794674160966147</v>
      </c>
      <c r="K495">
        <f t="shared" si="79"/>
        <v>30.230524400442626</v>
      </c>
      <c r="L495">
        <f>0.5*Z495*K495/J495/$B$7</f>
        <v>29.913570513122398</v>
      </c>
      <c r="M495">
        <f t="shared" si="82"/>
        <v>0.27714215753691507</v>
      </c>
      <c r="N495" s="21">
        <f t="shared" si="86"/>
        <v>4.3959885646020443E-2</v>
      </c>
      <c r="O495" s="21">
        <f t="shared" si="87"/>
        <v>11.922832082211334</v>
      </c>
      <c r="P495">
        <f t="shared" si="83"/>
        <v>0.35879157182522597</v>
      </c>
      <c r="Q495">
        <f t="shared" si="80"/>
        <v>0.75794674160966147</v>
      </c>
      <c r="R495">
        <f t="shared" si="81"/>
        <v>-0.9873744254557606</v>
      </c>
      <c r="T495" s="21">
        <f>(M495-M494)/(H495-H494)</f>
        <v>9.0397099257177871E-4</v>
      </c>
      <c r="W495">
        <v>380</v>
      </c>
      <c r="X495">
        <v>11.745218999999999</v>
      </c>
      <c r="Y495">
        <v>1.5</v>
      </c>
      <c r="Z495">
        <f t="shared" si="78"/>
        <v>1.5</v>
      </c>
      <c r="AA495" s="21">
        <f>IF(X495&gt;$B$8+$B$9,0,ABS(X495-O495)/X495)</f>
        <v>1.5122160107132574E-2</v>
      </c>
      <c r="AB495">
        <f>IF(OR(Z492&lt;&gt;Z498,X495&gt;$B$8+$B$9),0,((X498-X492)/(W498-W492)-(O498-O492)/(W498-W492))^2)</f>
        <v>5.9530872945727422E-6</v>
      </c>
    </row>
    <row r="496" spans="7:28" x14ac:dyDescent="0.2">
      <c r="G496" s="21"/>
      <c r="H496" s="21">
        <v>381</v>
      </c>
      <c r="I496">
        <f t="shared" si="84"/>
        <v>2.0536409903076296E-2</v>
      </c>
      <c r="J496">
        <f t="shared" si="85"/>
        <v>0.75726231783032605</v>
      </c>
      <c r="K496">
        <f t="shared" si="79"/>
        <v>30.193903858109138</v>
      </c>
      <c r="L496">
        <f>0.5*Z496*K496/J496/$B$7</f>
        <v>29.904337453980961</v>
      </c>
      <c r="M496">
        <f t="shared" si="82"/>
        <v>0.27804556267645036</v>
      </c>
      <c r="N496" s="21">
        <f t="shared" si="86"/>
        <v>4.4020930623778973E-2</v>
      </c>
      <c r="O496" s="21">
        <f t="shared" si="87"/>
        <v>11.943368492114411</v>
      </c>
      <c r="P496">
        <f t="shared" si="83"/>
        <v>0.35980608195913338</v>
      </c>
      <c r="Q496">
        <f t="shared" si="80"/>
        <v>0.75726231783032605</v>
      </c>
      <c r="R496">
        <f t="shared" si="81"/>
        <v>-0.99371790752558631</v>
      </c>
      <c r="T496" s="21">
        <f>(M496-M495)/(H496-H495)</f>
        <v>9.03405139535296E-4</v>
      </c>
      <c r="W496">
        <v>381</v>
      </c>
      <c r="X496">
        <v>11.777668999999999</v>
      </c>
      <c r="Y496">
        <v>1.5</v>
      </c>
      <c r="Z496">
        <f t="shared" si="78"/>
        <v>1.5</v>
      </c>
      <c r="AA496" s="21">
        <f>IF(X496&gt;$B$8+$B$9,0,ABS(X496-O496)/X496)</f>
        <v>1.4068954740909384E-2</v>
      </c>
      <c r="AB496">
        <f>IF(OR(Z493&lt;&gt;Z499,X496&gt;$B$8+$B$9),0,((X499-X493)/(W499-W493)-(O499-O493)/(W499-W493))^2)</f>
        <v>1.0958195696463267E-6</v>
      </c>
    </row>
    <row r="497" spans="7:28" x14ac:dyDescent="0.2">
      <c r="G497" s="21"/>
      <c r="H497" s="21">
        <v>382</v>
      </c>
      <c r="I497">
        <f t="shared" si="84"/>
        <v>2.0495389117632257E-2</v>
      </c>
      <c r="J497">
        <f t="shared" si="85"/>
        <v>0.75657893209489735</v>
      </c>
      <c r="K497">
        <f t="shared" si="79"/>
        <v>30.157516954587152</v>
      </c>
      <c r="L497">
        <f>0.5*Z497*K497/J497/$B$7</f>
        <v>29.895278280235512</v>
      </c>
      <c r="M497">
        <f t="shared" si="82"/>
        <v>0.27894841267064047</v>
      </c>
      <c r="N497" s="21">
        <f t="shared" si="86"/>
        <v>4.4081803450128111E-2</v>
      </c>
      <c r="O497" s="21">
        <f t="shared" si="87"/>
        <v>11.963863881232044</v>
      </c>
      <c r="P497">
        <f t="shared" si="83"/>
        <v>0.36081905341759651</v>
      </c>
      <c r="Q497">
        <f t="shared" si="80"/>
        <v>0.75657893209489735</v>
      </c>
      <c r="R497">
        <f t="shared" si="81"/>
        <v>-1.0001336169658142</v>
      </c>
      <c r="T497" s="21">
        <f>(M497-M496)/(H497-H496)</f>
        <v>9.0284999419010248E-4</v>
      </c>
      <c r="W497">
        <v>382</v>
      </c>
      <c r="X497">
        <v>11.798760999999999</v>
      </c>
      <c r="Y497">
        <v>1.5</v>
      </c>
      <c r="Z497">
        <f t="shared" si="78"/>
        <v>1.5</v>
      </c>
      <c r="AA497" s="21">
        <f>IF(X497&gt;$B$8+$B$9,0,ABS(X497-O497)/X497)</f>
        <v>1.3993238886019029E-2</v>
      </c>
      <c r="AB497">
        <f>IF(OR(Z494&lt;&gt;Z500,X497&gt;$B$8+$B$9),0,((X500-X494)/(W500-W494)-(O500-O494)/(W500-W494))^2)</f>
        <v>5.7250808490477192E-9</v>
      </c>
    </row>
    <row r="498" spans="7:28" x14ac:dyDescent="0.2">
      <c r="G498" s="21"/>
      <c r="H498" s="21">
        <v>383</v>
      </c>
      <c r="I498">
        <f t="shared" si="84"/>
        <v>2.0454801397451396E-2</v>
      </c>
      <c r="J498">
        <f t="shared" si="85"/>
        <v>0.75589657469706184</v>
      </c>
      <c r="K498">
        <f t="shared" si="79"/>
        <v>30.121361143270164</v>
      </c>
      <c r="L498">
        <f>0.5*Z498*K498/J498/$B$7</f>
        <v>29.88639135784727</v>
      </c>
      <c r="M498">
        <f t="shared" si="82"/>
        <v>0.27985071811765988</v>
      </c>
      <c r="N498" s="21">
        <f t="shared" si="86"/>
        <v>4.414250580064534E-2</v>
      </c>
      <c r="O498" s="21">
        <f t="shared" si="87"/>
        <v>11.984318682629494</v>
      </c>
      <c r="P498">
        <f t="shared" si="83"/>
        <v>0.36183050058812438</v>
      </c>
      <c r="Q498">
        <f t="shared" si="80"/>
        <v>0.75589657469706184</v>
      </c>
      <c r="R498">
        <f t="shared" si="81"/>
        <v>-1.0066228647383046</v>
      </c>
      <c r="T498" s="21">
        <f>(M498-M497)/(H498-H497)</f>
        <v>9.0230544701941362E-4</v>
      </c>
      <c r="W498">
        <v>383</v>
      </c>
      <c r="X498">
        <v>11.810119</v>
      </c>
      <c r="Y498">
        <v>1.5</v>
      </c>
      <c r="Z498">
        <f t="shared" si="78"/>
        <v>1.5</v>
      </c>
      <c r="AA498" s="21">
        <f>IF(X498&gt;$B$8+$B$9,0,ABS(X498-O498)/X498)</f>
        <v>1.4750036187568816E-2</v>
      </c>
      <c r="AB498">
        <f>IF(OR(Z495&lt;&gt;Z501,X498&gt;$B$8+$B$9),0,((X501-X495)/(W501-W495)-(O501-O495)/(W501-W495))^2)</f>
        <v>1.4954622404485905E-7</v>
      </c>
    </row>
    <row r="499" spans="7:28" x14ac:dyDescent="0.2">
      <c r="G499" s="21"/>
      <c r="H499" s="21">
        <v>384</v>
      </c>
      <c r="I499">
        <f t="shared" si="84"/>
        <v>2.0414641279077786E-2</v>
      </c>
      <c r="J499">
        <f t="shared" si="85"/>
        <v>0.75521523604384089</v>
      </c>
      <c r="K499">
        <f t="shared" si="79"/>
        <v>30.085433917807656</v>
      </c>
      <c r="L499">
        <f>0.5*Z499*K499/J499/$B$7</f>
        <v>29.877675080493052</v>
      </c>
      <c r="M499">
        <f t="shared" si="82"/>
        <v>0.280752489508168</v>
      </c>
      <c r="N499" s="21">
        <f t="shared" si="86"/>
        <v>4.4203039329348243E-2</v>
      </c>
      <c r="O499" s="21">
        <f t="shared" si="87"/>
        <v>12.004733323908573</v>
      </c>
      <c r="P499">
        <f t="shared" si="83"/>
        <v>0.36284043769023189</v>
      </c>
      <c r="Q499">
        <f t="shared" si="80"/>
        <v>0.75521523604384089</v>
      </c>
      <c r="R499">
        <f t="shared" si="81"/>
        <v>-1.0131869930329911</v>
      </c>
      <c r="T499" s="21">
        <f>(M499-M498)/(H499-H498)</f>
        <v>9.017713905081215E-4</v>
      </c>
      <c r="W499">
        <v>384</v>
      </c>
      <c r="X499">
        <v>11.829588000000001</v>
      </c>
      <c r="Y499">
        <v>1.5</v>
      </c>
      <c r="Z499">
        <f t="shared" si="78"/>
        <v>1.5</v>
      </c>
      <c r="AA499" s="21">
        <f>IF(X499&gt;$B$8+$B$9,0,ABS(X499-O499)/X499)</f>
        <v>1.4805699396172682E-2</v>
      </c>
      <c r="AB499">
        <f>IF(OR(Z496&lt;&gt;Z502,X499&gt;$B$8+$B$9),0,((X502-X496)/(W502-W496)-(O502-O496)/(W502-W496))^2)</f>
        <v>5.1877586660547415E-6</v>
      </c>
    </row>
    <row r="500" spans="7:28" x14ac:dyDescent="0.2">
      <c r="G500" s="21"/>
      <c r="H500" s="21">
        <v>385</v>
      </c>
      <c r="I500">
        <f t="shared" si="84"/>
        <v>2.03749033990741E-2</v>
      </c>
      <c r="J500">
        <f t="shared" si="85"/>
        <v>0.75453490665363288</v>
      </c>
      <c r="K500">
        <f t="shared" si="79"/>
        <v>30.049732811279036</v>
      </c>
      <c r="L500">
        <f>0.5*Z500*K500/J500/$B$7</f>
        <v>29.869127868997268</v>
      </c>
      <c r="M500">
        <f t="shared" si="82"/>
        <v>0.28165373722726689</v>
      </c>
      <c r="N500" s="21">
        <f t="shared" si="86"/>
        <v>4.4263405669090705E-2</v>
      </c>
      <c r="O500" s="21">
        <f t="shared" si="87"/>
        <v>12.025108227307646</v>
      </c>
      <c r="P500">
        <f t="shared" si="83"/>
        <v>0.36384887877834166</v>
      </c>
      <c r="Q500">
        <f t="shared" si="80"/>
        <v>0.75453490665363288</v>
      </c>
      <c r="R500">
        <f t="shared" si="81"/>
        <v>-1.0198273762143188</v>
      </c>
      <c r="T500" s="21">
        <f>(M500-M499)/(H500-H499)</f>
        <v>9.0124771909888546E-4</v>
      </c>
      <c r="W500">
        <v>385</v>
      </c>
      <c r="X500">
        <v>11.849057999999999</v>
      </c>
      <c r="Y500">
        <v>1.5</v>
      </c>
      <c r="Z500">
        <f t="shared" si="78"/>
        <v>1.5</v>
      </c>
      <c r="AA500" s="21">
        <f>IF(X500&gt;$B$8+$B$9,0,ABS(X500-O500)/X500)</f>
        <v>1.4857740362790571E-2</v>
      </c>
      <c r="AB500">
        <f>IF(OR(Z497&lt;&gt;Z503,X500&gt;$B$8+$B$9),0,((X503-X497)/(W503-W497)-(O503-O497)/(W503-W497))^2)</f>
        <v>3.8715632009631635E-6</v>
      </c>
    </row>
    <row r="501" spans="7:28" x14ac:dyDescent="0.2">
      <c r="G501" s="21"/>
      <c r="H501" s="21">
        <v>386</v>
      </c>
      <c r="I501">
        <f t="shared" si="84"/>
        <v>2.0335582491748602E-2</v>
      </c>
      <c r="J501">
        <f t="shared" si="85"/>
        <v>0.75385557715429696</v>
      </c>
      <c r="K501">
        <f t="shared" si="79"/>
        <v>30.014255395388382</v>
      </c>
      <c r="L501">
        <f>0.5*Z501*K501/J501/$B$7</f>
        <v>29.860748170778425</v>
      </c>
      <c r="M501">
        <f t="shared" si="82"/>
        <v>0.28255447155641822</v>
      </c>
      <c r="N501" s="21">
        <f t="shared" si="86"/>
        <v>4.4323606431950019E-2</v>
      </c>
      <c r="O501" s="21">
        <f t="shared" si="87"/>
        <v>12.045443809799394</v>
      </c>
      <c r="P501">
        <f t="shared" si="83"/>
        <v>0.36485583774462382</v>
      </c>
      <c r="Q501">
        <f t="shared" si="80"/>
        <v>0.75385557715429696</v>
      </c>
      <c r="R501">
        <f t="shared" si="81"/>
        <v>-1.0265454218020897</v>
      </c>
      <c r="T501" s="21">
        <f>(M501-M500)/(H501-H500)</f>
        <v>9.0073432915133145E-4</v>
      </c>
      <c r="W501">
        <v>386</v>
      </c>
      <c r="X501">
        <v>11.870151</v>
      </c>
      <c r="Y501">
        <v>1.5</v>
      </c>
      <c r="Z501">
        <f t="shared" si="78"/>
        <v>1.5</v>
      </c>
      <c r="AA501" s="21">
        <f>IF(X501&gt;$B$8+$B$9,0,ABS(X501-O501)/X501)</f>
        <v>1.476752989910528E-2</v>
      </c>
      <c r="AB501">
        <f>IF(OR(Z498&lt;&gt;Z504,X501&gt;$B$8+$B$9),0,((X504-X498)/(W504-W498)-(O504-O498)/(W504-W498))^2)</f>
        <v>2.5518629996612146E-7</v>
      </c>
    </row>
    <row r="502" spans="7:28" x14ac:dyDescent="0.2">
      <c r="G502" s="21"/>
      <c r="H502" s="21">
        <v>387</v>
      </c>
      <c r="I502">
        <f t="shared" si="84"/>
        <v>2.0296673386944807E-2</v>
      </c>
      <c r="J502">
        <f t="shared" si="85"/>
        <v>0.75317723828127969</v>
      </c>
      <c r="K502">
        <f t="shared" si="79"/>
        <v>29.9789992796794</v>
      </c>
      <c r="L502">
        <f>0.5*Z502*K502/J502/$B$7</f>
        <v>29.852534459309613</v>
      </c>
      <c r="M502">
        <f t="shared" si="82"/>
        <v>0.28345470267531736</v>
      </c>
      <c r="N502" s="21">
        <f t="shared" si="86"/>
        <v>4.4383643209605167E-2</v>
      </c>
      <c r="O502" s="21">
        <f t="shared" si="87"/>
        <v>12.065740483186339</v>
      </c>
      <c r="P502">
        <f t="shared" si="83"/>
        <v>0.36586132832177415</v>
      </c>
      <c r="Q502">
        <f t="shared" si="80"/>
        <v>0.75317723828127969</v>
      </c>
      <c r="R502">
        <f t="shared" si="81"/>
        <v>-1.0333425714881757</v>
      </c>
      <c r="T502" s="21">
        <f>(M502-M501)/(H502-H501)</f>
        <v>9.0023111889914187E-4</v>
      </c>
      <c r="W502">
        <v>387</v>
      </c>
      <c r="X502">
        <v>11.886375000000001</v>
      </c>
      <c r="Y502">
        <v>1.5</v>
      </c>
      <c r="Z502">
        <f t="shared" si="78"/>
        <v>1.5</v>
      </c>
      <c r="AA502" s="21">
        <f>IF(X502&gt;$B$8+$B$9,0,ABS(X502-O502)/X502)</f>
        <v>1.5090007103623923E-2</v>
      </c>
      <c r="AB502">
        <f>IF(OR(Z499&lt;&gt;Z505,X502&gt;$B$8+$B$9),0,((X505-X499)/(W505-W499)-(O505-O499)/(W505-W499))^2)</f>
        <v>5.9079518498395453E-6</v>
      </c>
    </row>
    <row r="503" spans="7:28" x14ac:dyDescent="0.2">
      <c r="G503" s="21"/>
      <c r="H503" s="21">
        <v>388</v>
      </c>
      <c r="I503">
        <f t="shared" si="84"/>
        <v>2.0258171007891346E-2</v>
      </c>
      <c r="J503">
        <f t="shared" si="85"/>
        <v>0.75249988087578035</v>
      </c>
      <c r="K503">
        <f t="shared" si="79"/>
        <v>29.943962110770038</v>
      </c>
      <c r="L503">
        <f>0.5*Z503*K503/J503/$B$7</f>
        <v>29.844485233592749</v>
      </c>
      <c r="M503">
        <f t="shared" si="82"/>
        <v>0.28435444066372961</v>
      </c>
      <c r="N503" s="21">
        <f t="shared" si="86"/>
        <v>4.4443517573706584E-2</v>
      </c>
      <c r="O503" s="21">
        <f t="shared" si="87"/>
        <v>12.085998654194229</v>
      </c>
      <c r="P503">
        <f t="shared" si="83"/>
        <v>0.36686536408573261</v>
      </c>
      <c r="Q503">
        <f t="shared" si="80"/>
        <v>0.75249988087578035</v>
      </c>
      <c r="R503">
        <f t="shared" si="81"/>
        <v>-1.0402203021906526</v>
      </c>
      <c r="T503" s="21">
        <f>(M503-M502)/(H503-H502)</f>
        <v>8.997379884122525E-4</v>
      </c>
      <c r="W503">
        <v>388</v>
      </c>
      <c r="X503">
        <v>11.909089999999999</v>
      </c>
      <c r="Y503">
        <v>1.5</v>
      </c>
      <c r="Z503">
        <f t="shared" si="78"/>
        <v>1.5</v>
      </c>
      <c r="AA503" s="21">
        <f>IF(X503&gt;$B$8+$B$9,0,ABS(X503-O503)/X503)</f>
        <v>1.4854926295311432E-2</v>
      </c>
      <c r="AB503">
        <f>IF(OR(Z500&lt;&gt;Z506,X503&gt;$B$8+$B$9),0,((X506-X500)/(W506-W500)-(O506-O500)/(W506-W500))^2)</f>
        <v>1.0822652324714432E-6</v>
      </c>
    </row>
    <row r="504" spans="7:28" x14ac:dyDescent="0.2">
      <c r="G504" s="21"/>
      <c r="H504" s="21">
        <v>389</v>
      </c>
      <c r="I504">
        <f t="shared" si="84"/>
        <v>2.0220070369110742E-2</v>
      </c>
      <c r="J504">
        <f t="shared" si="85"/>
        <v>0.75182349588295661</v>
      </c>
      <c r="K504">
        <f t="shared" si="79"/>
        <v>29.909141571606135</v>
      </c>
      <c r="L504">
        <f>0.5*Z504*K504/J504/$B$7</f>
        <v>29.836599017645995</v>
      </c>
      <c r="M504">
        <f t="shared" si="82"/>
        <v>0.28525369550328616</v>
      </c>
      <c r="N504" s="21">
        <f t="shared" si="86"/>
        <v>4.4503231076237666E-2</v>
      </c>
      <c r="O504" s="21">
        <f t="shared" si="87"/>
        <v>12.106218724563341</v>
      </c>
      <c r="P504">
        <f t="shared" si="83"/>
        <v>0.36786795845834319</v>
      </c>
      <c r="Q504">
        <f t="shared" si="80"/>
        <v>0.75182349588295661</v>
      </c>
      <c r="R504">
        <f t="shared" si="81"/>
        <v>-1.0471801271469712</v>
      </c>
      <c r="T504" s="21">
        <f>(M504-M503)/(H504-H503)</f>
        <v>8.9925483955655139E-4</v>
      </c>
      <c r="W504">
        <v>389</v>
      </c>
      <c r="X504">
        <v>11.93505</v>
      </c>
      <c r="Y504">
        <v>1.5</v>
      </c>
      <c r="Z504">
        <f t="shared" si="78"/>
        <v>1.5</v>
      </c>
      <c r="AA504" s="21">
        <f>IF(X504&gt;$B$8+$B$9,0,ABS(X504-O504)/X504)</f>
        <v>1.4341684748982253E-2</v>
      </c>
      <c r="AB504">
        <f>IF(OR(Z501&lt;&gt;Z507,X504&gt;$B$8+$B$9),0,((X507-X501)/(W507-W501)-(O507-O501)/(W507-W501))^2)</f>
        <v>2.3816033397586117E-6</v>
      </c>
    </row>
    <row r="505" spans="7:28" x14ac:dyDescent="0.2">
      <c r="G505" s="21"/>
      <c r="H505" s="21">
        <v>390</v>
      </c>
      <c r="I505">
        <f t="shared" si="84"/>
        <v>2.0182366574384835E-2</v>
      </c>
      <c r="J505">
        <f t="shared" si="85"/>
        <v>0.75114807435016817</v>
      </c>
      <c r="K505">
        <f t="shared" si="79"/>
        <v>29.874535380733548</v>
      </c>
      <c r="L505">
        <f>0.5*Z505*K505/J505/$B$7</f>
        <v>29.828874360004068</v>
      </c>
      <c r="M505">
        <f t="shared" si="82"/>
        <v>0.28615247707924274</v>
      </c>
      <c r="N505" s="21">
        <f t="shared" si="86"/>
        <v>4.4562785249868148E-2</v>
      </c>
      <c r="O505" s="21">
        <f t="shared" si="87"/>
        <v>12.126401091137726</v>
      </c>
      <c r="P505">
        <f t="shared" si="83"/>
        <v>0.36886912470995792</v>
      </c>
      <c r="Q505">
        <f t="shared" si="80"/>
        <v>0.75114807435016817</v>
      </c>
      <c r="R505">
        <f t="shared" si="81"/>
        <v>-1.0542235970478755</v>
      </c>
      <c r="T505" s="21">
        <f>(M505-M504)/(H505-H504)</f>
        <v>8.9878157595657537E-4</v>
      </c>
      <c r="W505">
        <v>390</v>
      </c>
      <c r="X505">
        <v>11.936671999999998</v>
      </c>
      <c r="Y505">
        <v>1.5</v>
      </c>
      <c r="Z505">
        <f t="shared" si="78"/>
        <v>1.5</v>
      </c>
      <c r="AA505" s="21">
        <f>IF(X505&gt;$B$8+$B$9,0,ABS(X505-O505)/X505)</f>
        <v>1.5894638902512217E-2</v>
      </c>
      <c r="AB505">
        <f>IF(OR(Z502&lt;&gt;Z508,X505&gt;$B$8+$B$9),0,((X508-X502)/(W508-W502)-(O508-O502)/(W508-W502))^2)</f>
        <v>4.3244176634971039E-7</v>
      </c>
    </row>
    <row r="506" spans="7:28" x14ac:dyDescent="0.2">
      <c r="G506" s="21"/>
      <c r="H506" s="21">
        <v>391</v>
      </c>
      <c r="I506">
        <f t="shared" si="84"/>
        <v>2.0145054814775142E-2</v>
      </c>
      <c r="J506">
        <f t="shared" si="85"/>
        <v>0.75047360742525726</v>
      </c>
      <c r="K506">
        <f t="shared" si="79"/>
        <v>29.840141291588246</v>
      </c>
      <c r="L506">
        <f>0.5*Z506*K506/J506/$B$7</f>
        <v>29.821309833231023</v>
      </c>
      <c r="M506">
        <f t="shared" si="82"/>
        <v>0.28705079518220189</v>
      </c>
      <c r="N506" s="21">
        <f t="shared" si="86"/>
        <v>4.4622181608299498E-2</v>
      </c>
      <c r="O506" s="21">
        <f t="shared" si="87"/>
        <v>12.146546145952501</v>
      </c>
      <c r="P506">
        <f t="shared" si="83"/>
        <v>0.36986887596198459</v>
      </c>
      <c r="Q506">
        <f t="shared" si="80"/>
        <v>0.75047360742525726</v>
      </c>
      <c r="R506">
        <f t="shared" si="81"/>
        <v>-1.0613523012138488</v>
      </c>
      <c r="T506" s="21">
        <f>(M506-M505)/(H506-H505)</f>
        <v>8.9831810295915027E-4</v>
      </c>
      <c r="W506">
        <v>391</v>
      </c>
      <c r="X506">
        <v>11.964254</v>
      </c>
      <c r="Y506">
        <v>1.5</v>
      </c>
      <c r="Z506">
        <f t="shared" si="78"/>
        <v>1.5</v>
      </c>
      <c r="AA506" s="21">
        <f>IF(X506&gt;$B$8+$B$9,0,ABS(X506-O506)/X506)</f>
        <v>1.5236398855499073E-2</v>
      </c>
      <c r="AB506">
        <f>IF(OR(Z503&lt;&gt;Z509,X506&gt;$B$8+$B$9),0,((X509-X503)/(W509-W503)-(O509-O503)/(W509-W503))^2)</f>
        <v>8.6076201010328256E-7</v>
      </c>
    </row>
    <row r="507" spans="7:28" x14ac:dyDescent="0.2">
      <c r="G507" s="21"/>
      <c r="H507" s="21">
        <v>392</v>
      </c>
      <c r="I507">
        <f t="shared" si="84"/>
        <v>2.0108130366696439E-2</v>
      </c>
      <c r="J507">
        <f t="shared" si="85"/>
        <v>0.74980008635486595</v>
      </c>
      <c r="K507">
        <f t="shared" si="79"/>
        <v>29.805957091803748</v>
      </c>
      <c r="L507">
        <f>0.5*Z507*K507/J507/$B$7</f>
        <v>29.813904033445084</v>
      </c>
      <c r="M507">
        <f t="shared" si="82"/>
        <v>0.28794865950979864</v>
      </c>
      <c r="N507" s="21">
        <f t="shared" si="86"/>
        <v>4.4681421646602951E-2</v>
      </c>
      <c r="O507" s="21">
        <f t="shared" si="87"/>
        <v>12.166654276319196</v>
      </c>
      <c r="P507">
        <f t="shared" si="83"/>
        <v>0.37086722518938237</v>
      </c>
      <c r="Q507">
        <f t="shared" si="80"/>
        <v>0.74980008635486595</v>
      </c>
      <c r="R507">
        <f t="shared" si="81"/>
        <v>-1.068567868815977</v>
      </c>
      <c r="T507" s="21">
        <f>(M507-M506)/(H507-H506)</f>
        <v>8.978643275967535E-4</v>
      </c>
      <c r="W507">
        <v>392</v>
      </c>
      <c r="X507">
        <v>11.982102000000001</v>
      </c>
      <c r="Y507">
        <v>1.5</v>
      </c>
      <c r="Z507">
        <f t="shared" si="78"/>
        <v>1.5</v>
      </c>
      <c r="AA507" s="21">
        <f>IF(X507&gt;$B$8+$B$9,0,ABS(X507-O507)/X507)</f>
        <v>1.5402328933537298E-2</v>
      </c>
      <c r="AB507">
        <f>IF(OR(Z504&lt;&gt;Z510,X507&gt;$B$8+$B$9),0,((X510-X504)/(W510-W504)-(O510-O504)/(W510-W504))^2)</f>
        <v>9.3291559068358982E-6</v>
      </c>
    </row>
    <row r="508" spans="7:28" x14ac:dyDescent="0.2">
      <c r="G508" s="21"/>
      <c r="H508" s="21">
        <v>393</v>
      </c>
      <c r="I508">
        <f t="shared" si="84"/>
        <v>2.0071588590041739E-2</v>
      </c>
      <c r="J508">
        <f t="shared" si="85"/>
        <v>0.74912750248278803</v>
      </c>
      <c r="K508">
        <f t="shared" si="79"/>
        <v>29.771980602535557</v>
      </c>
      <c r="L508">
        <f>0.5*Z508*K508/J508/$B$7</f>
        <v>29.80665557985531</v>
      </c>
      <c r="M508">
        <f t="shared" si="82"/>
        <v>0.28884607966835207</v>
      </c>
      <c r="N508" s="21">
        <f t="shared" si="86"/>
        <v>4.4740506841549843E-2</v>
      </c>
      <c r="O508" s="21">
        <f t="shared" si="87"/>
        <v>12.186725864909238</v>
      </c>
      <c r="P508">
        <f t="shared" si="83"/>
        <v>0.37186418522310355</v>
      </c>
      <c r="Q508">
        <f t="shared" si="80"/>
        <v>0.74912750248278803</v>
      </c>
      <c r="R508">
        <f t="shared" si="81"/>
        <v>-1.0758719701431889</v>
      </c>
      <c r="T508" s="21">
        <f>(M508-M507)/(H508-H507)</f>
        <v>8.9742015855343027E-4</v>
      </c>
      <c r="W508">
        <v>393</v>
      </c>
      <c r="X508">
        <v>12.011306000000001</v>
      </c>
      <c r="Y508">
        <v>1.5</v>
      </c>
      <c r="Z508">
        <f t="shared" si="78"/>
        <v>1.5</v>
      </c>
      <c r="AA508" s="21">
        <f>IF(X508&gt;$B$8+$B$9,0,ABS(X508-O508)/X508)</f>
        <v>1.4604562144136309E-2</v>
      </c>
      <c r="AB508">
        <f>IF(OR(Z505&lt;&gt;Z511,X508&gt;$B$8+$B$9),0,((X511-X505)/(W511-W505)-(O511-O505)/(W511-W505))^2)</f>
        <v>2.4937422541755189E-6</v>
      </c>
    </row>
    <row r="509" spans="7:28" x14ac:dyDescent="0.2">
      <c r="G509" s="21"/>
      <c r="H509" s="21">
        <v>394</v>
      </c>
      <c r="I509">
        <f t="shared" si="84"/>
        <v>2.0035424926357379E-2</v>
      </c>
      <c r="J509">
        <f t="shared" si="85"/>
        <v>0.74845584724835634</v>
      </c>
      <c r="K509">
        <f t="shared" si="79"/>
        <v>29.73820967780199</v>
      </c>
      <c r="L509">
        <f>0.5*Z509*K509/J509/$B$7</f>
        <v>29.799563114309642</v>
      </c>
      <c r="M509">
        <f t="shared" si="82"/>
        <v>0.28974306517448206</v>
      </c>
      <c r="N509" s="21">
        <f t="shared" si="86"/>
        <v>4.4799438651934718E-2</v>
      </c>
      <c r="O509" s="21">
        <f t="shared" si="87"/>
        <v>12.206761289835596</v>
      </c>
      <c r="P509">
        <f t="shared" si="83"/>
        <v>0.37285976875248439</v>
      </c>
      <c r="Q509">
        <f t="shared" si="80"/>
        <v>0.74845584724835634</v>
      </c>
      <c r="R509">
        <f t="shared" si="81"/>
        <v>-1.0832663179179538</v>
      </c>
      <c r="T509" s="21">
        <f>(M509-M508)/(H509-H508)</f>
        <v>8.9698550612998806E-4</v>
      </c>
      <c r="W509">
        <v>394</v>
      </c>
      <c r="X509">
        <v>12.024286</v>
      </c>
      <c r="Y509">
        <v>1.5</v>
      </c>
      <c r="Z509">
        <f t="shared" si="78"/>
        <v>1.5</v>
      </c>
      <c r="AA509" s="21">
        <f>IF(X509&gt;$B$8+$B$9,0,ABS(X509-O509)/X509)</f>
        <v>1.5175561346062101E-2</v>
      </c>
      <c r="AB509">
        <f>IF(OR(Z506&lt;&gt;Z512,X509&gt;$B$8+$B$9),0,((X512-X506)/(W512-W506)-(O512-O506)/(W512-W506))^2)</f>
        <v>2.6564387834321434E-6</v>
      </c>
    </row>
    <row r="510" spans="7:28" x14ac:dyDescent="0.2">
      <c r="G510" s="21"/>
      <c r="H510" s="21">
        <v>395</v>
      </c>
      <c r="I510">
        <f t="shared" si="84"/>
        <v>1.9999634897066493E-2</v>
      </c>
      <c r="J510">
        <f t="shared" si="85"/>
        <v>0.74778511218486288</v>
      </c>
      <c r="K510">
        <f t="shared" si="79"/>
        <v>29.704642203840912</v>
      </c>
      <c r="L510">
        <f>0.5*Z510*K510/J510/$B$7</f>
        <v>29.792625300853992</v>
      </c>
      <c r="M510">
        <f t="shared" si="82"/>
        <v>0.29063962545669325</v>
      </c>
      <c r="N510" s="21">
        <f t="shared" si="86"/>
        <v>4.4858218518891525E-2</v>
      </c>
      <c r="O510" s="21">
        <f t="shared" si="87"/>
        <v>12.226760924732663</v>
      </c>
      <c r="P510">
        <f t="shared" si="83"/>
        <v>0.37385398832758737</v>
      </c>
      <c r="Q510">
        <f t="shared" si="80"/>
        <v>0.74778511218486288</v>
      </c>
      <c r="R510">
        <f t="shared" si="81"/>
        <v>-1.0907526686626277</v>
      </c>
      <c r="T510" s="21">
        <f>(M510-M509)/(H510-H509)</f>
        <v>8.9656028221118955E-4</v>
      </c>
      <c r="W510">
        <v>395</v>
      </c>
      <c r="X510">
        <v>12.037265999999999</v>
      </c>
      <c r="Y510">
        <v>1.5</v>
      </c>
      <c r="Z510">
        <f t="shared" ref="Z510:Z573" si="88">Y510</f>
        <v>1.5</v>
      </c>
      <c r="AA510" s="21">
        <f>IF(X510&gt;$B$8+$B$9,0,ABS(X510-O510)/X510)</f>
        <v>1.5742355841655706E-2</v>
      </c>
      <c r="AB510">
        <f>IF(OR(Z507&lt;&gt;Z513,X510&gt;$B$8+$B$9),0,((X513-X507)/(W513-W507)-(O513-O507)/(W513-W507))^2)</f>
        <v>7.0462489452716057E-7</v>
      </c>
    </row>
    <row r="511" spans="7:28" x14ac:dyDescent="0.2">
      <c r="G511" s="21"/>
      <c r="H511" s="21">
        <v>396</v>
      </c>
      <c r="I511">
        <f t="shared" si="84"/>
        <v>1.996421410173924E-2</v>
      </c>
      <c r="J511">
        <f t="shared" si="85"/>
        <v>0.74711528891801149</v>
      </c>
      <c r="K511">
        <f t="shared" si="79"/>
        <v>29.671276098482018</v>
      </c>
      <c r="L511">
        <f>0.5*Z511*K511/J511/$B$7</f>
        <v>29.785840825302142</v>
      </c>
      <c r="M511">
        <f t="shared" si="82"/>
        <v>0.2915357698569272</v>
      </c>
      <c r="N511" s="21">
        <f t="shared" si="86"/>
        <v>4.4916847866202814E-2</v>
      </c>
      <c r="O511" s="21">
        <f t="shared" si="87"/>
        <v>12.246725138834401</v>
      </c>
      <c r="P511">
        <f t="shared" si="83"/>
        <v>0.37484685636149401</v>
      </c>
      <c r="Q511">
        <f t="shared" si="80"/>
        <v>0.74711528891801149</v>
      </c>
      <c r="R511">
        <f t="shared" si="81"/>
        <v>-1.0983328241187229</v>
      </c>
      <c r="T511" s="21">
        <f>(M511-M510)/(H511-H510)</f>
        <v>8.961444002339447E-4</v>
      </c>
      <c r="W511">
        <v>396</v>
      </c>
      <c r="X511">
        <v>12.066471</v>
      </c>
      <c r="Y511">
        <v>1.5</v>
      </c>
      <c r="Z511">
        <f t="shared" si="88"/>
        <v>1.5</v>
      </c>
      <c r="AA511" s="21">
        <f>IF(X511&gt;$B$8+$B$9,0,ABS(X511-O511)/X511)</f>
        <v>1.4938430534859898E-2</v>
      </c>
      <c r="AB511">
        <f>IF(OR(Z508&lt;&gt;Z514,X511&gt;$B$8+$B$9),0,((X514-X508)/(W514-W508)-(O514-O508)/(W514-W508))^2)</f>
        <v>6.9731375083427192E-6</v>
      </c>
    </row>
    <row r="512" spans="7:28" x14ac:dyDescent="0.2">
      <c r="G512" s="21"/>
      <c r="H512" s="21">
        <v>397</v>
      </c>
      <c r="I512">
        <f t="shared" si="84"/>
        <v>1.992915821640838E-2</v>
      </c>
      <c r="J512">
        <f t="shared" si="85"/>
        <v>0.74644636916440343</v>
      </c>
      <c r="K512">
        <f t="shared" si="79"/>
        <v>29.638109310534134</v>
      </c>
      <c r="L512">
        <f>0.5*Z512*K512/J512/$B$7</f>
        <v>29.779208394816099</v>
      </c>
      <c r="M512">
        <f t="shared" si="82"/>
        <v>0.29243150763208181</v>
      </c>
      <c r="N512" s="21">
        <f t="shared" si="86"/>
        <v>4.4975328100602265E-2</v>
      </c>
      <c r="O512" s="21">
        <f t="shared" si="87"/>
        <v>12.26665429705081</v>
      </c>
      <c r="P512">
        <f t="shared" si="83"/>
        <v>0.37583838513255047</v>
      </c>
      <c r="Q512">
        <f t="shared" si="80"/>
        <v>0.74644636916440343</v>
      </c>
      <c r="R512">
        <f t="shared" si="81"/>
        <v>-1.1060086327215268</v>
      </c>
      <c r="T512" s="21">
        <f>(M512-M511)/(H512-H511)</f>
        <v>8.9573777515461472E-4</v>
      </c>
      <c r="W512">
        <v>397</v>
      </c>
      <c r="X512">
        <v>12.074583000000001</v>
      </c>
      <c r="Y512">
        <v>1.5</v>
      </c>
      <c r="Z512">
        <f t="shared" si="88"/>
        <v>1.5</v>
      </c>
      <c r="AA512" s="21">
        <f>IF(X512&gt;$B$8+$B$9,0,ABS(X512-O512)/X512)</f>
        <v>1.5907074973173743E-2</v>
      </c>
      <c r="AB512">
        <f>IF(OR(Z509&lt;&gt;Z515,X512&gt;$B$8+$B$9),0,((X515-X509)/(W515-W509)-(O515-O509)/(W515-W509))^2)</f>
        <v>9.6782193068082237E-9</v>
      </c>
    </row>
    <row r="513" spans="7:28" x14ac:dyDescent="0.2">
      <c r="G513" s="21"/>
      <c r="H513" s="21">
        <v>398</v>
      </c>
      <c r="I513">
        <f t="shared" si="84"/>
        <v>1.989446299192927E-2</v>
      </c>
      <c r="J513">
        <f t="shared" si="85"/>
        <v>0.74577834473005244</v>
      </c>
      <c r="K513">
        <f t="shared" si="79"/>
        <v>29.605139819187137</v>
      </c>
      <c r="L513">
        <f>0.5*Z513*K513/J513/$B$7</f>
        <v>29.772726737496548</v>
      </c>
      <c r="M513">
        <f t="shared" si="82"/>
        <v>0.29332684795550196</v>
      </c>
      <c r="N513" s="21">
        <f t="shared" si="86"/>
        <v>4.5033660612070814E-2</v>
      </c>
      <c r="O513" s="21">
        <f t="shared" si="87"/>
        <v>12.28654876004274</v>
      </c>
      <c r="P513">
        <f t="shared" si="83"/>
        <v>0.37682858678656789</v>
      </c>
      <c r="Q513">
        <f t="shared" si="80"/>
        <v>0.74577834473005244</v>
      </c>
      <c r="R513">
        <f t="shared" si="81"/>
        <v>-1.1137819911326097</v>
      </c>
      <c r="T513" s="21">
        <f>(M513-M512)/(H513-H512)</f>
        <v>8.9534032342014624E-4</v>
      </c>
      <c r="W513">
        <v>398</v>
      </c>
      <c r="X513">
        <v>12.107032999999998</v>
      </c>
      <c r="Y513">
        <v>1.5</v>
      </c>
      <c r="Z513">
        <f t="shared" si="88"/>
        <v>1.5</v>
      </c>
      <c r="AA513" s="21">
        <f>IF(X513&gt;$B$8+$B$9,0,ABS(X513-O513)/X513)</f>
        <v>1.4827394956529976E-2</v>
      </c>
      <c r="AB513">
        <f>IF(OR(Z510&lt;&gt;Z516,X513&gt;$B$8+$B$9),0,((X516-X510)/(W516-W510)-(O516-O510)/(W516-W510))^2)</f>
        <v>1.6640924236401296E-7</v>
      </c>
    </row>
    <row r="514" spans="7:28" x14ac:dyDescent="0.2">
      <c r="G514" s="21"/>
      <c r="H514" s="21">
        <v>399</v>
      </c>
      <c r="I514">
        <f t="shared" si="84"/>
        <v>1.9860124252382018E-2</v>
      </c>
      <c r="J514">
        <f t="shared" si="85"/>
        <v>0.74511120750893212</v>
      </c>
      <c r="K514">
        <f t="shared" si="79"/>
        <v>29.572365633428127</v>
      </c>
      <c r="L514">
        <f>0.5*Z514*K514/J514/$B$7</f>
        <v>29.766394601983247</v>
      </c>
      <c r="M514">
        <f t="shared" si="82"/>
        <v>0.29422179991843772</v>
      </c>
      <c r="N514" s="21">
        <f t="shared" si="86"/>
        <v>4.5091846774126199E-2</v>
      </c>
      <c r="O514" s="21">
        <f t="shared" si="87"/>
        <v>12.306408884295122</v>
      </c>
      <c r="P514">
        <f t="shared" si="83"/>
        <v>0.37781747333897636</v>
      </c>
      <c r="Q514">
        <f t="shared" si="80"/>
        <v>0.74511120750893212</v>
      </c>
      <c r="R514">
        <f t="shared" si="81"/>
        <v>-1.1216548458328801</v>
      </c>
      <c r="T514" s="21">
        <f>(M514-M513)/(H514-H513)</f>
        <v>8.9495196293576385E-4</v>
      </c>
      <c r="W514">
        <v>399</v>
      </c>
      <c r="X514">
        <v>12.115144999999998</v>
      </c>
      <c r="Y514">
        <v>1.5</v>
      </c>
      <c r="Z514">
        <f t="shared" si="88"/>
        <v>1.5</v>
      </c>
      <c r="AA514" s="21">
        <f>IF(X514&gt;$B$8+$B$9,0,ABS(X514-O514)/X514)</f>
        <v>1.5787172526216035E-2</v>
      </c>
      <c r="AB514">
        <f>IF(OR(Z511&lt;&gt;Z517,X514&gt;$B$8+$B$9),0,((X517-X511)/(W517-W511)-(O517-O511)/(W517-W511))^2)</f>
        <v>1.397002111337508E-7</v>
      </c>
    </row>
    <row r="515" spans="7:28" x14ac:dyDescent="0.2">
      <c r="G515" s="21"/>
      <c r="H515" s="21">
        <v>400</v>
      </c>
      <c r="I515">
        <f t="shared" si="84"/>
        <v>1.9826137893515613E-2</v>
      </c>
      <c r="J515">
        <f t="shared" si="85"/>
        <v>0.74444494948155038</v>
      </c>
      <c r="K515">
        <f t="shared" ref="K515:K578" si="89">IF(O515&lt;$B$8+$B$9,0.5*(($B$8+$B$9)^2+O515^2)/O515-$B$9,$B$8)</f>
        <v>29.539784791471313</v>
      </c>
      <c r="L515">
        <f>0.5*Z515*K515/J515/$B$7</f>
        <v>29.760210757064918</v>
      </c>
      <c r="M515">
        <f t="shared" si="82"/>
        <v>0.29511637253147638</v>
      </c>
      <c r="N515" s="21">
        <f t="shared" si="86"/>
        <v>4.5149887944106647E-2</v>
      </c>
      <c r="O515" s="21">
        <f t="shared" si="87"/>
        <v>12.326235022188637</v>
      </c>
      <c r="P515">
        <f t="shared" si="83"/>
        <v>0.37880505667693742</v>
      </c>
      <c r="Q515">
        <f t="shared" ref="Q515:Q578" si="90">1-B$15*P515</f>
        <v>0.74444494948155038</v>
      </c>
      <c r="R515">
        <f t="shared" ref="R515:R578" si="91">$E$15/(P515+$E$16)</f>
        <v>-1.1296291947790322</v>
      </c>
      <c r="T515" s="21">
        <f>(M515-M514)/(H515-H514)</f>
        <v>8.9457261303865776E-4</v>
      </c>
      <c r="W515">
        <v>400</v>
      </c>
      <c r="X515">
        <v>12.144349999999999</v>
      </c>
      <c r="Y515">
        <v>1.5</v>
      </c>
      <c r="Z515">
        <f t="shared" si="88"/>
        <v>1.5</v>
      </c>
      <c r="AA515" s="21">
        <f>IF(X515&gt;$B$8+$B$9,0,ABS(X515-O515)/X515)</f>
        <v>1.4976925252371506E-2</v>
      </c>
      <c r="AB515">
        <f>IF(OR(Z512&lt;&gt;Z518,X515&gt;$B$8+$B$9),0,((X518-X512)/(W518-W512)-(O518-O512)/(W518-W512))^2)</f>
        <v>4.0355160144831885E-8</v>
      </c>
    </row>
    <row r="516" spans="7:28" x14ac:dyDescent="0.2">
      <c r="G516" s="21"/>
      <c r="H516" s="21">
        <v>401</v>
      </c>
      <c r="I516">
        <f t="shared" si="84"/>
        <v>1.9792499881231589E-2</v>
      </c>
      <c r="J516">
        <f t="shared" si="85"/>
        <v>0.74377956271355483</v>
      </c>
      <c r="K516">
        <f t="shared" si="89"/>
        <v>29.507395360201443</v>
      </c>
      <c r="L516">
        <f>0.5*Z516*K516/J516/$B$7</f>
        <v>29.754173991298575</v>
      </c>
      <c r="M516">
        <f t="shared" ref="M516:M579" si="92">-LN(J516)</f>
        <v>0.29601057472594355</v>
      </c>
      <c r="N516" s="21">
        <f t="shared" si="86"/>
        <v>4.5207785463448245E-2</v>
      </c>
      <c r="O516" s="21">
        <f t="shared" si="87"/>
        <v>12.346027522069869</v>
      </c>
      <c r="P516">
        <f t="shared" ref="P516:P579" si="93">MIN(O516/(K516+$B$9),1)</f>
        <v>0.37979134856141128</v>
      </c>
      <c r="Q516">
        <f t="shared" si="90"/>
        <v>0.74377956271355483</v>
      </c>
      <c r="R516">
        <f t="shared" si="91"/>
        <v>-1.137707089126313</v>
      </c>
      <c r="T516" s="21">
        <f>(M516-M515)/(H516-H515)</f>
        <v>8.9420219446717519E-4</v>
      </c>
      <c r="W516">
        <v>401</v>
      </c>
      <c r="X516">
        <v>12.154084999999998</v>
      </c>
      <c r="Y516">
        <v>1.5</v>
      </c>
      <c r="Z516">
        <f t="shared" si="88"/>
        <v>1.5</v>
      </c>
      <c r="AA516" s="21">
        <f>IF(X516&gt;$B$8+$B$9,0,ABS(X516-O516)/X516)</f>
        <v>1.579242880643594E-2</v>
      </c>
      <c r="AB516">
        <f>IF(OR(Z513&lt;&gt;Z519,X516&gt;$B$8+$B$9),0,((X519-X513)/(W519-W513)-(O519-O513)/(W519-W513))^2)</f>
        <v>6.0999597760736104E-6</v>
      </c>
    </row>
    <row r="517" spans="7:28" x14ac:dyDescent="0.2">
      <c r="G517" s="21"/>
      <c r="H517" s="21">
        <v>402</v>
      </c>
      <c r="I517">
        <f t="shared" ref="I517:I580" si="94">IF(P516&lt;0.999,MAX(0,MIN(10000000,(L516/$E$8/M516^$E$10)^(1/$E$9)/N516)),0.1)</f>
        <v>1.9759206250107249E-2</v>
      </c>
      <c r="J517">
        <f t="shared" ref="J517:J580" si="95">Q517</f>
        <v>0.74311503935436507</v>
      </c>
      <c r="K517">
        <f t="shared" si="89"/>
        <v>29.475195434630166</v>
      </c>
      <c r="L517">
        <f>0.5*Z517*K517/J517/$B$7</f>
        <v>29.74828311263779</v>
      </c>
      <c r="M517">
        <f t="shared" si="92"/>
        <v>0.29690441535527806</v>
      </c>
      <c r="N517" s="21">
        <f t="shared" ref="N517:N580" si="96">-$B$15*(O517-2*(K517+$B$9))/(K517+$B$9)^2/J517</f>
        <v>4.526554065795662E-2</v>
      </c>
      <c r="O517" s="21">
        <f t="shared" ref="O517:O580" si="97">O516+I517*(H517-H516)</f>
        <v>12.365786728319977</v>
      </c>
      <c r="P517">
        <f t="shared" si="93"/>
        <v>0.38077636062918435</v>
      </c>
      <c r="Q517">
        <f t="shared" si="90"/>
        <v>0.74311503935436507</v>
      </c>
      <c r="R517">
        <f t="shared" si="91"/>
        <v>-1.1458906350207669</v>
      </c>
      <c r="T517" s="21">
        <f>(M517-M516)/(H517-H516)</f>
        <v>8.9384062933450803E-4</v>
      </c>
      <c r="W517">
        <v>402</v>
      </c>
      <c r="X517">
        <v>12.18329</v>
      </c>
      <c r="Y517">
        <v>1.5</v>
      </c>
      <c r="Z517">
        <f t="shared" si="88"/>
        <v>1.5</v>
      </c>
      <c r="AA517" s="21">
        <f>IF(X517&gt;$B$8+$B$9,0,ABS(X517-O517)/X517)</f>
        <v>1.4979264904633905E-2</v>
      </c>
      <c r="AB517">
        <f>IF(OR(Z514&lt;&gt;Z520,X517&gt;$B$8+$B$9),0,((X520-X514)/(W520-W514)-(O520-O514)/(W520-W514))^2)</f>
        <v>2.9558916040114357E-7</v>
      </c>
    </row>
    <row r="518" spans="7:28" x14ac:dyDescent="0.2">
      <c r="G518" s="21"/>
      <c r="H518" s="21">
        <v>403</v>
      </c>
      <c r="I518">
        <f t="shared" si="94"/>
        <v>1.972625310195613E-2</v>
      </c>
      <c r="J518">
        <f t="shared" si="95"/>
        <v>0.74245137163583297</v>
      </c>
      <c r="K518">
        <f t="shared" si="89"/>
        <v>29.443183137365182</v>
      </c>
      <c r="L518">
        <f>0.5*Z518*K518/J518/$B$7</f>
        <v>29.74253694806983</v>
      </c>
      <c r="M518">
        <f t="shared" si="92"/>
        <v>0.29779790319637883</v>
      </c>
      <c r="N518" s="21">
        <f t="shared" si="96"/>
        <v>4.5323154838072907E-2</v>
      </c>
      <c r="O518" s="21">
        <f t="shared" si="97"/>
        <v>12.385512981421932</v>
      </c>
      <c r="P518">
        <f t="shared" si="93"/>
        <v>0.38176010439485503</v>
      </c>
      <c r="Q518">
        <f t="shared" si="90"/>
        <v>0.74245137163583297</v>
      </c>
      <c r="R518">
        <f t="shared" si="91"/>
        <v>-1.1541819954642334</v>
      </c>
      <c r="T518" s="21">
        <f>(M518-M517)/(H518-H517)</f>
        <v>8.9348784110077073E-4</v>
      </c>
      <c r="W518">
        <v>403</v>
      </c>
      <c r="X518">
        <v>12.194647</v>
      </c>
      <c r="Y518">
        <v>1.5</v>
      </c>
      <c r="Z518">
        <f t="shared" si="88"/>
        <v>1.5</v>
      </c>
      <c r="AA518" s="21">
        <f>IF(X518&gt;$B$8+$B$9,0,ABS(X518-O518)/X518)</f>
        <v>1.5651620044592737E-2</v>
      </c>
      <c r="AB518">
        <f>IF(OR(Z515&lt;&gt;Z521,X518&gt;$B$8+$B$9),0,((X521-X515)/(W521-W515)-(O521-O515)/(W521-W515))^2)</f>
        <v>7.1523684512494634E-6</v>
      </c>
    </row>
    <row r="519" spans="7:28" x14ac:dyDescent="0.2">
      <c r="G519" s="21"/>
      <c r="H519" s="21">
        <v>404</v>
      </c>
      <c r="I519">
        <f t="shared" si="94"/>
        <v>1.9693636604425465E-2</v>
      </c>
      <c r="J519">
        <f t="shared" si="95"/>
        <v>0.74178855187092907</v>
      </c>
      <c r="K519">
        <f t="shared" si="89"/>
        <v>29.41135661809161</v>
      </c>
      <c r="L519">
        <f>0.5*Z519*K519/J519/$B$7</f>
        <v>29.736934343261311</v>
      </c>
      <c r="M519">
        <f t="shared" si="92"/>
        <v>0.29869104695092646</v>
      </c>
      <c r="N519" s="21">
        <f t="shared" si="96"/>
        <v>4.5380629299134001E-2</v>
      </c>
      <c r="O519" s="21">
        <f t="shared" si="97"/>
        <v>12.405206618026359</v>
      </c>
      <c r="P519">
        <f t="shared" si="93"/>
        <v>0.38274259125278109</v>
      </c>
      <c r="Q519">
        <f t="shared" si="90"/>
        <v>0.74178855187092907</v>
      </c>
      <c r="R519">
        <f t="shared" si="91"/>
        <v>-1.1625833922555855</v>
      </c>
      <c r="T519" s="21">
        <f>(M519-M518)/(H519-H518)</f>
        <v>8.9314375454763173E-4</v>
      </c>
      <c r="W519">
        <v>404</v>
      </c>
      <c r="X519">
        <v>12.210871999999998</v>
      </c>
      <c r="Y519">
        <v>1.5</v>
      </c>
      <c r="Z519">
        <f t="shared" si="88"/>
        <v>1.5</v>
      </c>
      <c r="AA519" s="21">
        <f>IF(X519&gt;$B$8+$B$9,0,ABS(X519-O519)/X519)</f>
        <v>1.5914884541117159E-2</v>
      </c>
      <c r="AB519">
        <f>IF(OR(Z516&lt;&gt;Z522,X519&gt;$B$8+$B$9),0,((X522-X516)/(W522-W516)-(O522-O516)/(W522-W516))^2)</f>
        <v>6.9798268408335291E-6</v>
      </c>
    </row>
    <row r="520" spans="7:28" x14ac:dyDescent="0.2">
      <c r="G520" s="21"/>
      <c r="H520" s="21">
        <v>405</v>
      </c>
      <c r="I520">
        <f t="shared" si="94"/>
        <v>1.9661352989628973E-2</v>
      </c>
      <c r="J520">
        <f t="shared" si="95"/>
        <v>0.74112657245245572</v>
      </c>
      <c r="K520">
        <f t="shared" si="89"/>
        <v>29.37971405306547</v>
      </c>
      <c r="L520">
        <f>0.5*Z520*K520/J520/$B$7</f>
        <v>29.731474162212237</v>
      </c>
      <c r="M520">
        <f t="shared" si="92"/>
        <v>0.29958385524667802</v>
      </c>
      <c r="N520" s="21">
        <f t="shared" si="96"/>
        <v>4.5437965321627589E-2</v>
      </c>
      <c r="O520" s="21">
        <f t="shared" si="97"/>
        <v>12.424867971015988</v>
      </c>
      <c r="P520">
        <f t="shared" si="93"/>
        <v>0.38372383247898678</v>
      </c>
      <c r="Q520">
        <f t="shared" si="90"/>
        <v>0.74112657245245572</v>
      </c>
      <c r="R520">
        <f t="shared" si="91"/>
        <v>-1.1710971080118526</v>
      </c>
      <c r="T520" s="21">
        <f>(M520-M519)/(H520-H519)</f>
        <v>8.9280829575155707E-4</v>
      </c>
      <c r="W520">
        <v>405</v>
      </c>
      <c r="X520">
        <v>12.230342</v>
      </c>
      <c r="Y520">
        <v>1.5</v>
      </c>
      <c r="Z520">
        <f t="shared" si="88"/>
        <v>1.5</v>
      </c>
      <c r="AA520" s="21">
        <f>IF(X520&gt;$B$8+$B$9,0,ABS(X520-O520)/X520)</f>
        <v>1.5905194721127839E-2</v>
      </c>
      <c r="AB520">
        <f>IF(OR(Z517&lt;&gt;Z523,X520&gt;$B$8+$B$9),0,((X523-X517)/(W523-W517)-(O523-O517)/(W523-W517))^2)</f>
        <v>3.2351259955488334E-6</v>
      </c>
    </row>
    <row r="521" spans="7:28" x14ac:dyDescent="0.2">
      <c r="G521" s="21"/>
      <c r="H521" s="21">
        <v>406</v>
      </c>
      <c r="I521">
        <f t="shared" si="94"/>
        <v>1.9629398552814238E-2</v>
      </c>
      <c r="J521">
        <f t="shared" si="95"/>
        <v>0.74046542585178499</v>
      </c>
      <c r="K521">
        <f t="shared" si="89"/>
        <v>29.348253644618751</v>
      </c>
      <c r="L521">
        <f>0.5*Z521*K521/J521/$B$7</f>
        <v>29.726155286918051</v>
      </c>
      <c r="M521">
        <f t="shared" si="92"/>
        <v>0.30047633663873785</v>
      </c>
      <c r="N521" s="21">
        <f t="shared" si="96"/>
        <v>4.5495164171441727E-2</v>
      </c>
      <c r="O521" s="21">
        <f t="shared" si="97"/>
        <v>12.444497369568802</v>
      </c>
      <c r="P521">
        <f t="shared" si="93"/>
        <v>0.38470383923303353</v>
      </c>
      <c r="Q521">
        <f t="shared" si="90"/>
        <v>0.74046542585178499</v>
      </c>
      <c r="R521">
        <f t="shared" si="91"/>
        <v>-1.1797254882731203</v>
      </c>
      <c r="T521" s="21">
        <f>(M521-M520)/(H521-H520)</f>
        <v>8.9248139205982957E-4</v>
      </c>
      <c r="W521">
        <v>406</v>
      </c>
      <c r="X521">
        <v>12.246565999999998</v>
      </c>
      <c r="Y521">
        <v>1.5</v>
      </c>
      <c r="Z521">
        <f t="shared" si="88"/>
        <v>1.5</v>
      </c>
      <c r="AA521" s="21">
        <f>IF(X521&gt;$B$8+$B$9,0,ABS(X521-O521)/X521)</f>
        <v>1.6162193513577974E-2</v>
      </c>
      <c r="AB521">
        <f>IF(OR(Z518&lt;&gt;Z524,X521&gt;$B$8+$B$9),0,((X524-X518)/(W524-W518)-(O524-O518)/(W524-W518))^2)</f>
        <v>2.0788578054246186E-8</v>
      </c>
    </row>
    <row r="522" spans="7:28" x14ac:dyDescent="0.2">
      <c r="G522" s="21"/>
      <c r="H522" s="21">
        <v>407</v>
      </c>
      <c r="I522">
        <f t="shared" si="94"/>
        <v>1.959776965106368E-2</v>
      </c>
      <c r="J522">
        <f t="shared" si="95"/>
        <v>0.73980510461762172</v>
      </c>
      <c r="K522">
        <f t="shared" si="89"/>
        <v>29.316973620675817</v>
      </c>
      <c r="L522">
        <f>0.5*Z522*K522/J522/$B$7</f>
        <v>29.720976617039593</v>
      </c>
      <c r="M522">
        <f t="shared" si="92"/>
        <v>0.30136849961080309</v>
      </c>
      <c r="N522" s="21">
        <f t="shared" si="96"/>
        <v>4.5552227100109449E-2</v>
      </c>
      <c r="O522" s="21">
        <f t="shared" si="97"/>
        <v>12.464095139219866</v>
      </c>
      <c r="P522">
        <f t="shared" si="93"/>
        <v>0.38568262255985392</v>
      </c>
      <c r="Q522">
        <f t="shared" si="90"/>
        <v>0.73980510461762172</v>
      </c>
      <c r="R522">
        <f t="shared" si="91"/>
        <v>-1.1884709436952787</v>
      </c>
      <c r="T522" s="21">
        <f>(M522-M521)/(H522-H521)</f>
        <v>8.9216297206523576E-4</v>
      </c>
      <c r="W522">
        <v>407</v>
      </c>
      <c r="X522">
        <v>12.256301000000001</v>
      </c>
      <c r="Y522">
        <v>1.5</v>
      </c>
      <c r="Z522">
        <f t="shared" si="88"/>
        <v>1.5</v>
      </c>
      <c r="AA522" s="21">
        <f>IF(X522&gt;$B$8+$B$9,0,ABS(X522-O522)/X522)</f>
        <v>1.6954066257010632E-2</v>
      </c>
      <c r="AB522">
        <f>IF(OR(Z519&lt;&gt;Z525,X522&gt;$B$8+$B$9),0,((X525-X519)/(W525-W519)-(O525-O519)/(W525-W519))^2)</f>
        <v>3.0109529958701903E-6</v>
      </c>
    </row>
    <row r="523" spans="7:28" x14ac:dyDescent="0.2">
      <c r="G523" s="21"/>
      <c r="H523" s="21">
        <v>408</v>
      </c>
      <c r="I523">
        <f t="shared" si="94"/>
        <v>1.9566462702027703E-2</v>
      </c>
      <c r="J523">
        <f t="shared" si="95"/>
        <v>0.73914560137479146</v>
      </c>
      <c r="K523">
        <f t="shared" si="89"/>
        <v>29.285872234280973</v>
      </c>
      <c r="L523">
        <f>0.5*Z523*K523/J523/$B$7</f>
        <v>29.715937069580761</v>
      </c>
      <c r="M523">
        <f t="shared" si="92"/>
        <v>0.30226035257638501</v>
      </c>
      <c r="N523" s="21">
        <f t="shared" si="96"/>
        <v>4.5609155345047996E-2</v>
      </c>
      <c r="O523" s="21">
        <f t="shared" si="97"/>
        <v>12.483661601921893</v>
      </c>
      <c r="P523">
        <f t="shared" si="93"/>
        <v>0.38666019339154806</v>
      </c>
      <c r="Q523">
        <f t="shared" si="90"/>
        <v>0.73914560137479146</v>
      </c>
      <c r="R523">
        <f t="shared" si="91"/>
        <v>-1.1973359523349145</v>
      </c>
      <c r="T523" s="21">
        <f>(M523-M522)/(H523-H522)</f>
        <v>8.9185296558191851E-4</v>
      </c>
      <c r="W523">
        <v>408</v>
      </c>
      <c r="X523">
        <v>12.290372999999999</v>
      </c>
      <c r="Y523">
        <v>1.5</v>
      </c>
      <c r="Z523">
        <f t="shared" si="88"/>
        <v>1.5</v>
      </c>
      <c r="AA523" s="21">
        <f>IF(X523&gt;$B$8+$B$9,0,ABS(X523-O523)/X523)</f>
        <v>1.5726829602477847E-2</v>
      </c>
      <c r="AB523">
        <f>IF(OR(Z520&lt;&gt;Z526,X523&gt;$B$8+$B$9),0,((X526-X520)/(W526-W520)-(O526-O520)/(W526-W520))^2)</f>
        <v>3.5636356324063334E-8</v>
      </c>
    </row>
    <row r="524" spans="7:28" x14ac:dyDescent="0.2">
      <c r="G524" s="21"/>
      <c r="H524" s="21">
        <v>409</v>
      </c>
      <c r="I524">
        <f t="shared" si="94"/>
        <v>1.9535474182689892E-2</v>
      </c>
      <c r="J524">
        <f t="shared" si="95"/>
        <v>0.7384869088230499</v>
      </c>
      <c r="K524">
        <f t="shared" si="89"/>
        <v>29.254947763136556</v>
      </c>
      <c r="L524">
        <f>0.5*Z524*K524/J524/$B$7</f>
        <v>29.711035578573522</v>
      </c>
      <c r="M524">
        <f t="shared" si="92"/>
        <v>0.30315190388000957</v>
      </c>
      <c r="N524" s="21">
        <f t="shared" si="96"/>
        <v>4.56659501297937E-2</v>
      </c>
      <c r="O524" s="21">
        <f t="shared" si="97"/>
        <v>12.503197076104584</v>
      </c>
      <c r="P524">
        <f t="shared" si="93"/>
        <v>0.38763656254914797</v>
      </c>
      <c r="Q524">
        <f t="shared" si="90"/>
        <v>0.7384869088230499</v>
      </c>
      <c r="R524">
        <f t="shared" si="91"/>
        <v>-1.2063230620309464</v>
      </c>
      <c r="T524" s="21">
        <f>(M524-M523)/(H524-H523)</f>
        <v>8.9155130362456037E-4</v>
      </c>
      <c r="W524">
        <v>409</v>
      </c>
      <c r="X524">
        <v>12.311465999999999</v>
      </c>
      <c r="Y524">
        <v>1.5</v>
      </c>
      <c r="Z524">
        <f t="shared" si="88"/>
        <v>1.5</v>
      </c>
      <c r="AA524" s="21">
        <f>IF(X524&gt;$B$8+$B$9,0,ABS(X524-O524)/X524)</f>
        <v>1.5573374942073084E-2</v>
      </c>
      <c r="AB524">
        <f>IF(OR(Z521&lt;&gt;Z527,X524&gt;$B$8+$B$9),0,((X527-X521)/(W527-W521)-(O527-O521)/(W527-W521))^2)</f>
        <v>2.799671098330932E-6</v>
      </c>
    </row>
    <row r="525" spans="7:28" x14ac:dyDescent="0.2">
      <c r="G525" s="21"/>
      <c r="H525" s="21">
        <v>410</v>
      </c>
      <c r="I525">
        <f t="shared" si="94"/>
        <v>1.9504800628162303E-2</v>
      </c>
      <c r="J525">
        <f t="shared" si="95"/>
        <v>0.73782901973591897</v>
      </c>
      <c r="K525">
        <f t="shared" si="89"/>
        <v>29.224198509151726</v>
      </c>
      <c r="L525">
        <f>0.5*Z525*K525/J525/$B$7</f>
        <v>29.706271094770244</v>
      </c>
      <c r="M525">
        <f t="shared" si="92"/>
        <v>0.30404316179839036</v>
      </c>
      <c r="N525" s="21">
        <f t="shared" si="96"/>
        <v>4.5722612664231409E-2</v>
      </c>
      <c r="O525" s="21">
        <f t="shared" si="97"/>
        <v>12.522701876732746</v>
      </c>
      <c r="P525">
        <f t="shared" si="93"/>
        <v>0.38861174074434396</v>
      </c>
      <c r="Q525">
        <f t="shared" si="90"/>
        <v>0.73782901973591897</v>
      </c>
      <c r="R525">
        <f t="shared" si="91"/>
        <v>-1.2154348928877543</v>
      </c>
      <c r="T525" s="21">
        <f>(M525-M524)/(H525-H524)</f>
        <v>8.9125791838079449E-4</v>
      </c>
      <c r="W525">
        <v>410</v>
      </c>
      <c r="X525">
        <v>12.317955999999999</v>
      </c>
      <c r="Y525">
        <v>1.5</v>
      </c>
      <c r="Z525">
        <f t="shared" si="88"/>
        <v>1.5</v>
      </c>
      <c r="AA525" s="21">
        <f>IF(X525&gt;$B$8+$B$9,0,ABS(X525-O525)/X525)</f>
        <v>1.6621741199006369E-2</v>
      </c>
      <c r="AB525">
        <f>IF(OR(Z522&lt;&gt;Z528,X525&gt;$B$8+$B$9),0,((X528-X522)/(W528-W522)-(O528-O522)/(W528-W522))^2)</f>
        <v>6.2566940162095955E-8</v>
      </c>
    </row>
    <row r="526" spans="7:28" x14ac:dyDescent="0.2">
      <c r="G526" s="21"/>
      <c r="H526" s="21">
        <v>411</v>
      </c>
      <c r="I526">
        <f t="shared" si="94"/>
        <v>1.9474438630510987E-2</v>
      </c>
      <c r="J526">
        <f t="shared" si="95"/>
        <v>0.73717192695954115</v>
      </c>
      <c r="K526">
        <f t="shared" si="89"/>
        <v>29.193622798001222</v>
      </c>
      <c r="L526">
        <f>0.5*Z526*K526/J526/$B$7</f>
        <v>29.701642585343066</v>
      </c>
      <c r="M526">
        <f t="shared" si="92"/>
        <v>0.30493413454158541</v>
      </c>
      <c r="N526" s="21">
        <f t="shared" si="96"/>
        <v>4.5779144144819962E-2</v>
      </c>
      <c r="O526" s="21">
        <f t="shared" si="97"/>
        <v>12.542176315363257</v>
      </c>
      <c r="P526">
        <f t="shared" si="93"/>
        <v>0.38958573858118112</v>
      </c>
      <c r="Q526">
        <f t="shared" si="90"/>
        <v>0.73717192695954115</v>
      </c>
      <c r="R526">
        <f t="shared" si="91"/>
        <v>-1.2246741398649588</v>
      </c>
      <c r="T526" s="21">
        <f>(M526-M525)/(H526-H525)</f>
        <v>8.9097274319505093E-4</v>
      </c>
      <c r="W526">
        <v>411</v>
      </c>
      <c r="X526">
        <v>12.348783000000001</v>
      </c>
      <c r="Y526">
        <v>1.5</v>
      </c>
      <c r="Z526">
        <f t="shared" si="88"/>
        <v>1.5</v>
      </c>
      <c r="AA526" s="21">
        <f>IF(X526&gt;$B$8+$B$9,0,ABS(X526-O526)/X526)</f>
        <v>1.5660921028675931E-2</v>
      </c>
      <c r="AB526">
        <f>IF(OR(Z523&lt;&gt;Z529,X526&gt;$B$8+$B$9),0,((X529-X523)/(W529-W523)-(O529-O523)/(W529-W523))^2)</f>
        <v>1.8009295380141018E-6</v>
      </c>
    </row>
    <row r="527" spans="7:28" x14ac:dyDescent="0.2">
      <c r="G527" s="21"/>
      <c r="H527" s="21">
        <v>412</v>
      </c>
      <c r="I527">
        <f t="shared" si="94"/>
        <v>1.9444384837609987E-2</v>
      </c>
      <c r="J527">
        <f t="shared" si="95"/>
        <v>0.73651562341155952</v>
      </c>
      <c r="K527">
        <f t="shared" si="89"/>
        <v>29.163218978694118</v>
      </c>
      <c r="L527">
        <f>0.5*Z527*K527/J527/$B$7</f>
        <v>29.69714903359008</v>
      </c>
      <c r="M527">
        <f t="shared" si="92"/>
        <v>0.30582483025412727</v>
      </c>
      <c r="N527" s="21">
        <f t="shared" si="96"/>
        <v>4.5835545754812544E-2</v>
      </c>
      <c r="O527" s="21">
        <f t="shared" si="97"/>
        <v>12.561620700200868</v>
      </c>
      <c r="P527">
        <f t="shared" si="93"/>
        <v>0.39055856655772114</v>
      </c>
      <c r="Q527">
        <f t="shared" si="90"/>
        <v>0.73651562341155952</v>
      </c>
      <c r="R527">
        <f t="shared" si="91"/>
        <v>-1.2340435754791839</v>
      </c>
      <c r="T527" s="21">
        <f>(M527-M526)/(H527-H526)</f>
        <v>8.9069571254185576E-4</v>
      </c>
      <c r="W527">
        <v>412</v>
      </c>
      <c r="X527">
        <v>12.353649999999998</v>
      </c>
      <c r="Y527">
        <v>1.5</v>
      </c>
      <c r="Z527">
        <f t="shared" si="88"/>
        <v>1.5</v>
      </c>
      <c r="AA527" s="21">
        <f>IF(X527&gt;$B$8+$B$9,0,ABS(X527-O527)/X527)</f>
        <v>1.6834757355184041E-2</v>
      </c>
      <c r="AB527">
        <f>IF(OR(Z524&lt;&gt;Z530,X527&gt;$B$8+$B$9),0,((X530-X524)/(W530-W524)-(O530-O524)/(W530-W524))^2)</f>
        <v>3.433910896291481E-6</v>
      </c>
    </row>
    <row r="528" spans="7:28" x14ac:dyDescent="0.2">
      <c r="G528" s="21"/>
      <c r="H528" s="21">
        <v>413</v>
      </c>
      <c r="I528">
        <f t="shared" si="94"/>
        <v>1.9414635952023713E-2</v>
      </c>
      <c r="J528">
        <f t="shared" si="95"/>
        <v>0.73586010208001718</v>
      </c>
      <c r="K528">
        <f t="shared" si="89"/>
        <v>29.132985423152221</v>
      </c>
      <c r="L528">
        <f>0.5*Z528*K528/J528/$B$7</f>
        <v>29.692789438648262</v>
      </c>
      <c r="M528">
        <f t="shared" si="92"/>
        <v>0.30671525701613445</v>
      </c>
      <c r="N528" s="21">
        <f t="shared" si="96"/>
        <v>4.5891818664472922E-2</v>
      </c>
      <c r="O528" s="21">
        <f t="shared" si="97"/>
        <v>12.58103533615289</v>
      </c>
      <c r="P528">
        <f t="shared" si="93"/>
        <v>0.39153023506767276</v>
      </c>
      <c r="Q528">
        <f t="shared" si="90"/>
        <v>0.73586010208001718</v>
      </c>
      <c r="R528">
        <f t="shared" si="91"/>
        <v>-1.2435460526235227</v>
      </c>
      <c r="T528" s="21">
        <f>(M528-M527)/(H528-H527)</f>
        <v>8.904267620071793E-4</v>
      </c>
      <c r="W528">
        <v>413</v>
      </c>
      <c r="X528">
        <v>12.374741999999998</v>
      </c>
      <c r="Y528">
        <v>1.5</v>
      </c>
      <c r="Z528">
        <f t="shared" si="88"/>
        <v>1.5</v>
      </c>
      <c r="AA528" s="21">
        <f>IF(X528&gt;$B$8+$B$9,0,ABS(X528-O528)/X528)</f>
        <v>1.6670516133014551E-2</v>
      </c>
      <c r="AB528">
        <f>IF(OR(Z525&lt;&gt;Z531,X528&gt;$B$8+$B$9),0,((X531-X525)/(W531-W525)-(O531-O525)/(W531-W525))^2)</f>
        <v>3.8508340765848373E-6</v>
      </c>
    </row>
    <row r="529" spans="7:28" x14ac:dyDescent="0.2">
      <c r="G529" s="21"/>
      <c r="H529" s="21">
        <v>414</v>
      </c>
      <c r="I529">
        <f t="shared" si="94"/>
        <v>1.9385188729916406E-2</v>
      </c>
      <c r="J529">
        <f t="shared" si="95"/>
        <v>0.73520535602227777</v>
      </c>
      <c r="K529">
        <f t="shared" si="89"/>
        <v>29.102920525797785</v>
      </c>
      <c r="L529">
        <f>0.5*Z529*K529/J529/$B$7</f>
        <v>29.688562815212876</v>
      </c>
      <c r="M529">
        <f t="shared" si="92"/>
        <v>0.30760542284440268</v>
      </c>
      <c r="N529" s="21">
        <f t="shared" si="96"/>
        <v>4.5947964031287293E-2</v>
      </c>
      <c r="O529" s="21">
        <f t="shared" si="97"/>
        <v>12.600420524882807</v>
      </c>
      <c r="P529">
        <f t="shared" si="93"/>
        <v>0.39250075440199145</v>
      </c>
      <c r="Q529">
        <f t="shared" si="90"/>
        <v>0.73520535602227777</v>
      </c>
      <c r="R529">
        <f t="shared" si="91"/>
        <v>-1.2531845075107328</v>
      </c>
      <c r="T529" s="21">
        <f>(M529-M528)/(H529-H528)</f>
        <v>8.901658282682301E-4</v>
      </c>
      <c r="W529">
        <v>414</v>
      </c>
      <c r="X529">
        <v>12.399079999999998</v>
      </c>
      <c r="Y529">
        <v>1.5</v>
      </c>
      <c r="Z529">
        <f t="shared" si="88"/>
        <v>1.5</v>
      </c>
      <c r="AA529" s="21">
        <f>IF(X529&gt;$B$8+$B$9,0,ABS(X529-O529)/X529)</f>
        <v>1.6238343883805035E-2</v>
      </c>
      <c r="AB529">
        <f>IF(OR(Z526&lt;&gt;Z532,X529&gt;$B$8+$B$9),0,((X532-X526)/(W532-W526)-(O532-O526)/(W532-W526))^2)</f>
        <v>1.3627646612827326E-7</v>
      </c>
    </row>
    <row r="530" spans="7:28" x14ac:dyDescent="0.2">
      <c r="G530" s="21"/>
      <c r="H530" s="21">
        <v>415</v>
      </c>
      <c r="I530">
        <f t="shared" si="94"/>
        <v>1.9356039979988224E-2</v>
      </c>
      <c r="J530">
        <f t="shared" si="95"/>
        <v>0.73455137836396789</v>
      </c>
      <c r="K530">
        <f t="shared" si="89"/>
        <v>29.073022703150428</v>
      </c>
      <c r="L530">
        <f>0.5*Z530*K530/J530/$B$7</f>
        <v>29.684468193263164</v>
      </c>
      <c r="M530">
        <f t="shared" si="92"/>
        <v>0.30849533569347354</v>
      </c>
      <c r="N530" s="21">
        <f t="shared" si="96"/>
        <v>4.6003983000171812E-2</v>
      </c>
      <c r="O530" s="21">
        <f t="shared" si="97"/>
        <v>12.619776564862795</v>
      </c>
      <c r="P530">
        <f t="shared" si="93"/>
        <v>0.39347013475044856</v>
      </c>
      <c r="Q530">
        <f t="shared" si="90"/>
        <v>0.73455137836396789</v>
      </c>
      <c r="R530">
        <f t="shared" si="91"/>
        <v>-1.2629619627465438</v>
      </c>
      <c r="T530" s="21">
        <f>(M530-M529)/(H530-H529)</f>
        <v>8.8991284907086188E-4</v>
      </c>
      <c r="W530">
        <v>415</v>
      </c>
      <c r="X530">
        <v>12.416926999999998</v>
      </c>
      <c r="Y530">
        <v>1.5</v>
      </c>
      <c r="Z530">
        <f t="shared" si="88"/>
        <v>1.5</v>
      </c>
      <c r="AA530" s="21">
        <f>IF(X530&gt;$B$8+$B$9,0,ABS(X530-O530)/X530)</f>
        <v>1.6336535188037835E-2</v>
      </c>
      <c r="AB530">
        <f>IF(OR(Z527&lt;&gt;Z533,X530&gt;$B$8+$B$9),0,((X533-X527)/(W533-W527)-(O533-O527)/(W533-W527))^2)</f>
        <v>4.0830735516044421E-6</v>
      </c>
    </row>
    <row r="531" spans="7:28" x14ac:dyDescent="0.2">
      <c r="G531" s="21"/>
      <c r="H531" s="21">
        <v>416</v>
      </c>
      <c r="I531">
        <f t="shared" si="94"/>
        <v>1.9327186562436833E-2</v>
      </c>
      <c r="J531">
        <f t="shared" si="95"/>
        <v>0.73389816229793747</v>
      </c>
      <c r="K531">
        <f t="shared" si="89"/>
        <v>29.043290393432891</v>
      </c>
      <c r="L531">
        <f>0.5*Z531*K531/J531/$B$7</f>
        <v>29.680504617794277</v>
      </c>
      <c r="M531">
        <f t="shared" si="92"/>
        <v>0.30938500345668657</v>
      </c>
      <c r="N531" s="21">
        <f t="shared" si="96"/>
        <v>4.60598767036762E-2</v>
      </c>
      <c r="O531" s="21">
        <f t="shared" si="97"/>
        <v>12.639103751425232</v>
      </c>
      <c r="P531">
        <f t="shared" si="93"/>
        <v>0.39443838620317068</v>
      </c>
      <c r="Q531">
        <f t="shared" si="90"/>
        <v>0.73389816229793747</v>
      </c>
      <c r="R531">
        <f t="shared" si="91"/>
        <v>-1.2728815305398391</v>
      </c>
      <c r="T531" s="21">
        <f>(M531-M530)/(H531-H530)</f>
        <v>8.896677632130312E-4</v>
      </c>
      <c r="W531">
        <v>416</v>
      </c>
      <c r="X531">
        <v>12.446131999999999</v>
      </c>
      <c r="Y531">
        <v>1.5</v>
      </c>
      <c r="Z531">
        <f t="shared" si="88"/>
        <v>1.5</v>
      </c>
      <c r="AA531" s="21">
        <f>IF(X531&gt;$B$8+$B$9,0,ABS(X531-O531)/X531)</f>
        <v>1.5504556068120857E-2</v>
      </c>
      <c r="AB531">
        <f>IF(OR(Z528&lt;&gt;Z534,X531&gt;$B$8+$B$9),0,((X534-X528)/(W534-W528)-(O534-O528)/(W534-W528))^2)</f>
        <v>4.863291628820654E-7</v>
      </c>
    </row>
    <row r="532" spans="7:28" x14ac:dyDescent="0.2">
      <c r="G532" s="21"/>
      <c r="H532" s="21">
        <v>417</v>
      </c>
      <c r="I532">
        <f t="shared" si="94"/>
        <v>1.9298625387944281E-2</v>
      </c>
      <c r="J532">
        <f t="shared" si="95"/>
        <v>0.73324570108324116</v>
      </c>
      <c r="K532">
        <f t="shared" si="89"/>
        <v>29.013722056185486</v>
      </c>
      <c r="L532">
        <f>0.5*Z532*K532/J532/$B$7</f>
        <v>29.676671148555148</v>
      </c>
      <c r="M532">
        <f t="shared" si="92"/>
        <v>0.31027443396720983</v>
      </c>
      <c r="N532" s="21">
        <f t="shared" si="96"/>
        <v>4.6115646262183126E-2</v>
      </c>
      <c r="O532" s="21">
        <f t="shared" si="97"/>
        <v>12.658402376813177</v>
      </c>
      <c r="P532">
        <f t="shared" si="93"/>
        <v>0.39540551875215024</v>
      </c>
      <c r="Q532">
        <f t="shared" si="90"/>
        <v>0.73324570108324116</v>
      </c>
      <c r="R532">
        <f t="shared" si="91"/>
        <v>-1.2829464160568895</v>
      </c>
      <c r="T532" s="21">
        <f>(M532-M531)/(H532-H531)</f>
        <v>8.8943051052325917E-4</v>
      </c>
      <c r="W532">
        <v>417</v>
      </c>
      <c r="X532">
        <v>12.467223999999998</v>
      </c>
      <c r="Y532">
        <v>1.5</v>
      </c>
      <c r="Z532">
        <f t="shared" si="88"/>
        <v>1.5</v>
      </c>
      <c r="AA532" s="21">
        <f>IF(X532&gt;$B$8+$B$9,0,ABS(X532-O532)/X532)</f>
        <v>1.5334478374109485E-2</v>
      </c>
      <c r="AB532">
        <f>IF(OR(Z529&lt;&gt;Z535,X532&gt;$B$8+$B$9),0,((X535-X529)/(W535-W529)-(O535-O529)/(W535-W529))^2)</f>
        <v>1.2676426450269067E-7</v>
      </c>
    </row>
    <row r="533" spans="7:28" x14ac:dyDescent="0.2">
      <c r="G533" s="21"/>
      <c r="H533" s="21">
        <v>418</v>
      </c>
      <c r="I533">
        <f t="shared" si="94"/>
        <v>1.927035341668798E-2</v>
      </c>
      <c r="J533">
        <f t="shared" si="95"/>
        <v>0.73259398804413878</v>
      </c>
      <c r="K533">
        <f t="shared" si="89"/>
        <v>28.984316171888977</v>
      </c>
      <c r="L533">
        <f>0.5*Z533*K533/J533/$B$7</f>
        <v>29.672966859792201</v>
      </c>
      <c r="M533">
        <f t="shared" si="92"/>
        <v>0.31116363499905203</v>
      </c>
      <c r="N533" s="21">
        <f t="shared" si="96"/>
        <v>4.6171292784103792E-2</v>
      </c>
      <c r="O533" s="21">
        <f t="shared" si="97"/>
        <v>12.677672730229865</v>
      </c>
      <c r="P533">
        <f t="shared" si="93"/>
        <v>0.39637154229272764</v>
      </c>
      <c r="Q533">
        <f t="shared" si="90"/>
        <v>0.73259398804413878</v>
      </c>
      <c r="R533">
        <f t="shared" si="91"/>
        <v>-1.2931599209272278</v>
      </c>
      <c r="T533" s="21">
        <f>(M533-M532)/(H533-H532)</f>
        <v>8.8920103184220167E-4</v>
      </c>
      <c r="W533">
        <v>418</v>
      </c>
      <c r="X533">
        <v>12.481825999999998</v>
      </c>
      <c r="Y533">
        <v>1.5</v>
      </c>
      <c r="Z533">
        <f t="shared" si="88"/>
        <v>1.5</v>
      </c>
      <c r="AA533" s="21">
        <f>IF(X533&gt;$B$8+$B$9,0,ABS(X533-O533)/X533)</f>
        <v>1.5690551224625888E-2</v>
      </c>
      <c r="AB533">
        <f>IF(OR(Z530&lt;&gt;Z536,X533&gt;$B$8+$B$9),0,((X536-X530)/(W536-W530)-(O536-O530)/(W536-W530))^2)</f>
        <v>1.9864277332731159E-6</v>
      </c>
    </row>
    <row r="534" spans="7:28" x14ac:dyDescent="0.2">
      <c r="G534" s="21"/>
      <c r="H534" s="21">
        <v>419</v>
      </c>
      <c r="I534">
        <f t="shared" si="94"/>
        <v>1.92423676573754E-2</v>
      </c>
      <c r="J534">
        <f t="shared" si="95"/>
        <v>0.73194301656911342</v>
      </c>
      <c r="K534">
        <f t="shared" si="89"/>
        <v>28.955071241595675</v>
      </c>
      <c r="L534">
        <f>0.5*Z534*K534/J534/$B$7</f>
        <v>29.669390839998819</v>
      </c>
      <c r="M534">
        <f t="shared" si="92"/>
        <v>0.31205261426805769</v>
      </c>
      <c r="N534" s="21">
        <f t="shared" si="96"/>
        <v>4.6226817366069629E-2</v>
      </c>
      <c r="O534" s="21">
        <f t="shared" si="97"/>
        <v>12.69691509788724</v>
      </c>
      <c r="P534">
        <f t="shared" si="93"/>
        <v>0.39733646662504579</v>
      </c>
      <c r="Q534">
        <f t="shared" si="90"/>
        <v>0.73194301656911342</v>
      </c>
      <c r="R534">
        <f t="shared" si="91"/>
        <v>-1.3035254469092394</v>
      </c>
      <c r="T534" s="21">
        <f>(M534-M533)/(H534-H533)</f>
        <v>8.8897926900566304E-4</v>
      </c>
      <c r="W534">
        <v>419</v>
      </c>
      <c r="X534">
        <v>12.494806000000001</v>
      </c>
      <c r="Y534">
        <v>1.5</v>
      </c>
      <c r="Z534">
        <f t="shared" si="88"/>
        <v>1.5</v>
      </c>
      <c r="AA534" s="21">
        <f>IF(X534&gt;$B$8+$B$9,0,ABS(X534-O534)/X534)</f>
        <v>1.6175449053569917E-2</v>
      </c>
      <c r="AB534">
        <f>IF(OR(Z531&lt;&gt;Z537,X534&gt;$B$8+$B$9),0,((X537-X531)/(W537-W531)-(O537-O531)/(W537-W531))^2)</f>
        <v>1.0722735685289198E-5</v>
      </c>
    </row>
    <row r="535" spans="7:28" x14ac:dyDescent="0.2">
      <c r="G535" s="21"/>
      <c r="H535" s="21">
        <v>420</v>
      </c>
      <c r="I535">
        <f t="shared" si="94"/>
        <v>1.9214665166301721E-2</v>
      </c>
      <c r="J535">
        <f t="shared" si="95"/>
        <v>0.7312927801099085</v>
      </c>
      <c r="K535">
        <f t="shared" si="89"/>
        <v>28.925985786568503</v>
      </c>
      <c r="L535">
        <f>0.5*Z535*K535/J535/$B$7</f>
        <v>29.665942191670261</v>
      </c>
      <c r="M535">
        <f t="shared" si="92"/>
        <v>0.31294137943288308</v>
      </c>
      <c r="N535" s="21">
        <f t="shared" si="96"/>
        <v>4.6282221093120433E-2</v>
      </c>
      <c r="O535" s="21">
        <f t="shared" si="97"/>
        <v>12.716129763053543</v>
      </c>
      <c r="P535">
        <f t="shared" si="93"/>
        <v>0.39830030145547807</v>
      </c>
      <c r="Q535">
        <f t="shared" si="90"/>
        <v>0.7312927801099085</v>
      </c>
      <c r="R535">
        <f t="shared" si="91"/>
        <v>-1.3140464997240235</v>
      </c>
      <c r="T535" s="21">
        <f>(M535-M534)/(H535-H534)</f>
        <v>8.8876516482538914E-4</v>
      </c>
      <c r="W535">
        <v>420</v>
      </c>
      <c r="X535">
        <v>12.512653</v>
      </c>
      <c r="Y535">
        <v>1.5</v>
      </c>
      <c r="Z535">
        <f t="shared" si="88"/>
        <v>1.5</v>
      </c>
      <c r="AA535" s="21">
        <f>IF(X535&gt;$B$8+$B$9,0,ABS(X535-O535)/X535)</f>
        <v>1.6261680320995262E-2</v>
      </c>
      <c r="AB535">
        <f>IF(OR(Z532&lt;&gt;Z538,X535&gt;$B$8+$B$9),0,((X538-X532)/(W538-W532)-(O538-O532)/(W538-W532))^2)</f>
        <v>1.1743176567017264E-6</v>
      </c>
    </row>
    <row r="536" spans="7:28" x14ac:dyDescent="0.2">
      <c r="G536" s="21"/>
      <c r="H536" s="21">
        <v>421</v>
      </c>
      <c r="I536">
        <f t="shared" si="94"/>
        <v>1.9187243046429808E-2</v>
      </c>
      <c r="J536">
        <f t="shared" si="95"/>
        <v>0.73064327218058223</v>
      </c>
      <c r="K536">
        <f t="shared" si="89"/>
        <v>28.897058347927924</v>
      </c>
      <c r="L536">
        <f>0.5*Z536*K536/J536/$B$7</f>
        <v>29.66262003106408</v>
      </c>
      <c r="M536">
        <f t="shared" si="92"/>
        <v>0.31382993809595572</v>
      </c>
      <c r="N536" s="21">
        <f t="shared" si="96"/>
        <v>4.6337505038888539E-2</v>
      </c>
      <c r="O536" s="21">
        <f t="shared" si="97"/>
        <v>12.735317006099972</v>
      </c>
      <c r="P536">
        <f t="shared" si="93"/>
        <v>0.39926305639802911</v>
      </c>
      <c r="Q536">
        <f t="shared" si="90"/>
        <v>0.73064327218058223</v>
      </c>
      <c r="R536">
        <f t="shared" si="91"/>
        <v>-1.3247266930665986</v>
      </c>
      <c r="T536" s="21">
        <f>(M536-M535)/(H536-H535)</f>
        <v>8.8855866307263609E-4</v>
      </c>
      <c r="W536">
        <v>421</v>
      </c>
      <c r="X536">
        <v>12.524010999999998</v>
      </c>
      <c r="Y536">
        <v>1.5</v>
      </c>
      <c r="Z536">
        <f t="shared" si="88"/>
        <v>1.5</v>
      </c>
      <c r="AA536" s="21">
        <f>IF(X536&gt;$B$8+$B$9,0,ABS(X536-O536)/X536)</f>
        <v>1.6872071263748838E-2</v>
      </c>
      <c r="AB536">
        <f>IF(OR(Z533&lt;&gt;Z539,X536&gt;$B$8+$B$9),0,((X539-X533)/(W539-W533)-(O539-O533)/(W539-W533))^2)</f>
        <v>4.57049775850456E-6</v>
      </c>
    </row>
    <row r="537" spans="7:28" x14ac:dyDescent="0.2">
      <c r="G537" s="21"/>
      <c r="H537" s="21">
        <v>422</v>
      </c>
      <c r="I537">
        <f t="shared" si="94"/>
        <v>1.9160098446491847E-2</v>
      </c>
      <c r="J537">
        <f t="shared" si="95"/>
        <v>0.7299944863565806</v>
      </c>
      <c r="K537">
        <f t="shared" si="89"/>
        <v>28.868287486306432</v>
      </c>
      <c r="L537">
        <f>0.5*Z537*K537/J537/$B$7</f>
        <v>29.659423487965704</v>
      </c>
      <c r="M537">
        <f t="shared" si="92"/>
        <v>0.31471829780441479</v>
      </c>
      <c r="N537" s="21">
        <f t="shared" si="96"/>
        <v>4.6392670265779694E-2</v>
      </c>
      <c r="O537" s="21">
        <f t="shared" si="97"/>
        <v>12.754477104546464</v>
      </c>
      <c r="P537">
        <f t="shared" si="93"/>
        <v>0.40022474097571037</v>
      </c>
      <c r="Q537">
        <f t="shared" si="90"/>
        <v>0.7299944863565806</v>
      </c>
      <c r="R537">
        <f t="shared" si="91"/>
        <v>-1.3355697528041166</v>
      </c>
      <c r="T537" s="21">
        <f>(M537-M536)/(H537-H536)</f>
        <v>8.8835970845907442E-4</v>
      </c>
      <c r="W537">
        <v>422</v>
      </c>
      <c r="X537">
        <v>12.541857999999998</v>
      </c>
      <c r="Y537">
        <v>1.5</v>
      </c>
      <c r="Z537">
        <f t="shared" si="88"/>
        <v>1.5</v>
      </c>
      <c r="AA537" s="21">
        <f>IF(X537&gt;$B$8+$B$9,0,ABS(X537-O537)/X537)</f>
        <v>1.6952759674560648E-2</v>
      </c>
      <c r="AB537">
        <f>IF(OR(Z534&lt;&gt;Z540,X537&gt;$B$8+$B$9),0,((X540-X534)/(W540-W534)-(O540-O534)/(W540-W534))^2)</f>
        <v>2.7358519722214507E-9</v>
      </c>
    </row>
    <row r="538" spans="7:28" x14ac:dyDescent="0.2">
      <c r="G538" s="21"/>
      <c r="H538" s="21">
        <v>423</v>
      </c>
      <c r="I538">
        <f t="shared" si="94"/>
        <v>1.9133228560112285E-2</v>
      </c>
      <c r="J538">
        <f t="shared" si="95"/>
        <v>0.72934641627382535</v>
      </c>
      <c r="K538">
        <f t="shared" si="89"/>
        <v>28.839671781510432</v>
      </c>
      <c r="L538">
        <f>0.5*Z538*K538/J538/$B$7</f>
        <v>29.656351705459212</v>
      </c>
      <c r="M538">
        <f t="shared" si="92"/>
        <v>0.31560646605103793</v>
      </c>
      <c r="N538" s="21">
        <f t="shared" si="96"/>
        <v>4.6447717825150378E-2</v>
      </c>
      <c r="O538" s="21">
        <f t="shared" si="97"/>
        <v>12.773610333106577</v>
      </c>
      <c r="P538">
        <f t="shared" si="93"/>
        <v>0.40118536462189036</v>
      </c>
      <c r="Q538">
        <f t="shared" si="90"/>
        <v>0.72934641627382535</v>
      </c>
      <c r="R538">
        <f t="shared" si="91"/>
        <v>-1.3465795213713339</v>
      </c>
      <c r="T538" s="21">
        <f>(M538-M537)/(H538-H537)</f>
        <v>8.8816824662313332E-4</v>
      </c>
      <c r="W538">
        <v>423</v>
      </c>
      <c r="X538">
        <v>12.57593</v>
      </c>
      <c r="Y538">
        <v>1.5</v>
      </c>
      <c r="Z538">
        <f t="shared" si="88"/>
        <v>1.5</v>
      </c>
      <c r="AA538" s="21">
        <f>IF(X538&gt;$B$8+$B$9,0,ABS(X538-O538)/X538)</f>
        <v>1.5718943498141059E-2</v>
      </c>
      <c r="AB538">
        <f>IF(OR(Z535&lt;&gt;Z541,X538&gt;$B$8+$B$9),0,((X541-X535)/(W541-W535)-(O541-O535)/(W541-W535))^2)</f>
        <v>3.6592015471142704E-8</v>
      </c>
    </row>
    <row r="539" spans="7:28" x14ac:dyDescent="0.2">
      <c r="G539" s="21"/>
      <c r="H539" s="21">
        <v>424</v>
      </c>
      <c r="I539">
        <f t="shared" si="94"/>
        <v>1.9106630624950993E-2</v>
      </c>
      <c r="J539">
        <f t="shared" si="95"/>
        <v>0.72869905562782045</v>
      </c>
      <c r="K539">
        <f t="shared" si="89"/>
        <v>28.81120983218938</v>
      </c>
      <c r="L539">
        <f>0.5*Z539*K539/J539/$B$7</f>
        <v>29.653403839703103</v>
      </c>
      <c r="M539">
        <f t="shared" si="92"/>
        <v>0.31649445027514922</v>
      </c>
      <c r="N539" s="21">
        <f t="shared" si="96"/>
        <v>4.6502648757481682E-2</v>
      </c>
      <c r="O539" s="21">
        <f t="shared" si="97"/>
        <v>12.792716963731527</v>
      </c>
      <c r="P539">
        <f t="shared" si="93"/>
        <v>0.40214493668162005</v>
      </c>
      <c r="Q539">
        <f t="shared" si="90"/>
        <v>0.72869905562782045</v>
      </c>
      <c r="R539">
        <f t="shared" si="91"/>
        <v>-1.3577599623742354</v>
      </c>
      <c r="T539" s="21">
        <f>(M539-M538)/(H539-H538)</f>
        <v>8.8798422411129341E-4</v>
      </c>
      <c r="W539">
        <v>424</v>
      </c>
      <c r="X539">
        <v>12.584042999999998</v>
      </c>
      <c r="Y539">
        <v>1.5</v>
      </c>
      <c r="Z539">
        <f t="shared" si="88"/>
        <v>1.5</v>
      </c>
      <c r="AA539" s="21">
        <f>IF(X539&gt;$B$8+$B$9,0,ABS(X539-O539)/X539)</f>
        <v>1.6582426151240059E-2</v>
      </c>
      <c r="AB539">
        <f>IF(OR(Z536&lt;&gt;Z542,X539&gt;$B$8+$B$9),0,((X542-X536)/(W542-W536)-(O542-O536)/(W542-W536))^2)</f>
        <v>4.9818678350586202E-7</v>
      </c>
    </row>
    <row r="540" spans="7:28" x14ac:dyDescent="0.2">
      <c r="G540" s="21"/>
      <c r="H540" s="21">
        <v>425</v>
      </c>
      <c r="I540">
        <f t="shared" si="94"/>
        <v>1.9080301921866709E-2</v>
      </c>
      <c r="J540">
        <f t="shared" si="95"/>
        <v>0.72805239817277367</v>
      </c>
      <c r="K540">
        <f t="shared" si="89"/>
        <v>28.782900255511898</v>
      </c>
      <c r="L540">
        <f>0.5*Z540*K540/J540/$B$7</f>
        <v>29.650579059710871</v>
      </c>
      <c r="M540">
        <f t="shared" si="92"/>
        <v>0.31738225786351221</v>
      </c>
      <c r="N540" s="21">
        <f t="shared" si="96"/>
        <v>4.6557464092550037E-2</v>
      </c>
      <c r="O540" s="21">
        <f t="shared" si="97"/>
        <v>12.811797265653393</v>
      </c>
      <c r="P540">
        <f t="shared" si="93"/>
        <v>0.40310346641293465</v>
      </c>
      <c r="Q540">
        <f t="shared" si="90"/>
        <v>0.72805239817277367</v>
      </c>
      <c r="R540">
        <f t="shared" si="91"/>
        <v>-1.3691151654134217</v>
      </c>
      <c r="T540" s="21">
        <f>(M540-M539)/(H540-H539)</f>
        <v>8.8780758836298768E-4</v>
      </c>
      <c r="W540">
        <v>425</v>
      </c>
      <c r="X540">
        <v>12.610001999999998</v>
      </c>
      <c r="Y540">
        <v>1.5</v>
      </c>
      <c r="Z540">
        <f t="shared" si="88"/>
        <v>1.5</v>
      </c>
      <c r="AA540" s="21">
        <f>IF(X540&gt;$B$8+$B$9,0,ABS(X540-O540)/X540)</f>
        <v>1.6002794103711884E-2</v>
      </c>
      <c r="AB540">
        <f>IF(OR(Z537&lt;&gt;Z543,X540&gt;$B$8+$B$9),0,((X543-X537)/(W543-W537)-(O543-O537)/(W543-W537))^2)</f>
        <v>3.0772485887739649E-6</v>
      </c>
    </row>
    <row r="541" spans="7:28" x14ac:dyDescent="0.2">
      <c r="G541" s="21"/>
      <c r="H541" s="21">
        <v>426</v>
      </c>
      <c r="I541">
        <f t="shared" si="94"/>
        <v>1.9054239774099785E-2</v>
      </c>
      <c r="J541">
        <f t="shared" si="95"/>
        <v>0.72740643772073499</v>
      </c>
      <c r="K541">
        <f t="shared" si="89"/>
        <v>28.754741686848831</v>
      </c>
      <c r="L541">
        <f>0.5*Z541*K541/J541/$B$7</f>
        <v>29.647876547136413</v>
      </c>
      <c r="M541">
        <f t="shared" si="92"/>
        <v>0.3182698961512071</v>
      </c>
      <c r="N541" s="21">
        <f t="shared" si="96"/>
        <v>4.6612164849594351E-2</v>
      </c>
      <c r="O541" s="21">
        <f t="shared" si="97"/>
        <v>12.830851505427493</v>
      </c>
      <c r="P541">
        <f t="shared" si="93"/>
        <v>0.40406096298813121</v>
      </c>
      <c r="Q541">
        <f t="shared" si="90"/>
        <v>0.72740643772073499</v>
      </c>
      <c r="R541">
        <f t="shared" si="91"/>
        <v>-1.380649351139581</v>
      </c>
      <c r="T541" s="21">
        <f>(M541-M540)/(H541-H540)</f>
        <v>8.8763828769489184E-4</v>
      </c>
      <c r="W541">
        <v>426</v>
      </c>
      <c r="X541">
        <v>12.626227</v>
      </c>
      <c r="Y541">
        <v>1.5</v>
      </c>
      <c r="Z541">
        <f t="shared" si="88"/>
        <v>1.5</v>
      </c>
      <c r="AA541" s="21">
        <f>IF(X541&gt;$B$8+$B$9,0,ABS(X541-O541)/X541)</f>
        <v>1.6206306557572003E-2</v>
      </c>
      <c r="AB541">
        <f>IF(OR(Z538&lt;&gt;Z544,X541&gt;$B$8+$B$9),0,((X544-X538)/(W544-W538)-(O544-O538)/(W544-W538))^2)</f>
        <v>7.9346861999049226E-6</v>
      </c>
    </row>
    <row r="542" spans="7:28" x14ac:dyDescent="0.2">
      <c r="G542" s="21"/>
      <c r="H542" s="21">
        <v>427</v>
      </c>
      <c r="I542">
        <f t="shared" si="94"/>
        <v>1.9028441546473769E-2</v>
      </c>
      <c r="J542">
        <f t="shared" si="95"/>
        <v>0.72676116814074909</v>
      </c>
      <c r="K542">
        <f t="shared" si="89"/>
        <v>28.726732779462889</v>
      </c>
      <c r="L542">
        <f>0.5*Z542*K542/J542/$B$7</f>
        <v>29.645295496064008</v>
      </c>
      <c r="M542">
        <f t="shared" si="92"/>
        <v>0.3191573724224937</v>
      </c>
      <c r="N542" s="21">
        <f t="shared" si="96"/>
        <v>4.6666752037480476E-2</v>
      </c>
      <c r="O542" s="21">
        <f t="shared" si="97"/>
        <v>12.849879946973967</v>
      </c>
      <c r="P542">
        <f t="shared" si="93"/>
        <v>0.40501743549502378</v>
      </c>
      <c r="Q542">
        <f t="shared" si="90"/>
        <v>0.72676116814074909</v>
      </c>
      <c r="R542">
        <f t="shared" si="91"/>
        <v>-1.3923668765542005</v>
      </c>
      <c r="T542" s="21">
        <f>(M542-M541)/(H542-H541)</f>
        <v>8.8747627128660245E-4</v>
      </c>
      <c r="W542">
        <v>427</v>
      </c>
      <c r="X542">
        <v>12.634339000000001</v>
      </c>
      <c r="Y542">
        <v>1.5</v>
      </c>
      <c r="Z542">
        <f t="shared" si="88"/>
        <v>1.5</v>
      </c>
      <c r="AA542" s="21">
        <f>IF(X542&gt;$B$8+$B$9,0,ABS(X542-O542)/X542)</f>
        <v>1.7059930636178642E-2</v>
      </c>
      <c r="AB542">
        <f>IF(OR(Z539&lt;&gt;Z545,X542&gt;$B$8+$B$9),0,((X545-X539)/(W545-W539)-(O545-O539)/(W545-W539))^2)</f>
        <v>3.3603836751345609E-8</v>
      </c>
    </row>
    <row r="543" spans="7:28" x14ac:dyDescent="0.2">
      <c r="G543" s="21"/>
      <c r="H543" s="21">
        <v>428</v>
      </c>
      <c r="I543">
        <f t="shared" si="94"/>
        <v>1.9002904644615567E-2</v>
      </c>
      <c r="J543">
        <f t="shared" si="95"/>
        <v>0.72611658335802509</v>
      </c>
      <c r="K543">
        <f t="shared" si="89"/>
        <v>28.698872204204903</v>
      </c>
      <c r="L543">
        <f>0.5*Z543*K543/J543/$B$7</f>
        <v>29.642835112802814</v>
      </c>
      <c r="M543">
        <f t="shared" si="92"/>
        <v>0.3200446939116573</v>
      </c>
      <c r="N543" s="21">
        <f t="shared" si="96"/>
        <v>4.67212266548621E-2</v>
      </c>
      <c r="O543" s="21">
        <f t="shared" si="97"/>
        <v>12.868882851618583</v>
      </c>
      <c r="P543">
        <f t="shared" si="93"/>
        <v>0.40597289293817546</v>
      </c>
      <c r="Q543">
        <f t="shared" si="90"/>
        <v>0.72611658335802509</v>
      </c>
      <c r="R543">
        <f t="shared" si="91"/>
        <v>-1.4042722405694983</v>
      </c>
      <c r="T543" s="21">
        <f>(M543-M542)/(H543-H542)</f>
        <v>8.8732148916359499E-4</v>
      </c>
      <c r="W543">
        <v>428</v>
      </c>
      <c r="X543">
        <v>12.666788999999998</v>
      </c>
      <c r="Y543">
        <v>1.5</v>
      </c>
      <c r="Z543">
        <f t="shared" si="88"/>
        <v>1.5</v>
      </c>
      <c r="AA543" s="21">
        <f>IF(X543&gt;$B$8+$B$9,0,ABS(X543-O543)/X543)</f>
        <v>1.5954623671285997E-2</v>
      </c>
      <c r="AB543">
        <f>IF(OR(Z540&lt;&gt;Z546,X543&gt;$B$8+$B$9),0,((X546-X540)/(W546-W540)-(O546-O540)/(W546-W540))^2)</f>
        <v>3.7956620144726766E-9</v>
      </c>
    </row>
    <row r="544" spans="7:28" x14ac:dyDescent="0.2">
      <c r="G544" s="21"/>
      <c r="H544" s="21">
        <v>429</v>
      </c>
      <c r="I544">
        <f t="shared" si="94"/>
        <v>1.8977626514193369E-2</v>
      </c>
      <c r="J544">
        <f t="shared" si="95"/>
        <v>0.72547267735311893</v>
      </c>
      <c r="K544">
        <f t="shared" si="89"/>
        <v>28.671158649216348</v>
      </c>
      <c r="L544">
        <f>0.5*Z544*K544/J544/$B$7</f>
        <v>29.640494615685768</v>
      </c>
      <c r="M544">
        <f t="shared" si="92"/>
        <v>0.3209318678038427</v>
      </c>
      <c r="N544" s="21">
        <f t="shared" si="96"/>
        <v>4.6775589690339063E-2</v>
      </c>
      <c r="O544" s="21">
        <f t="shared" si="97"/>
        <v>12.887860478132776</v>
      </c>
      <c r="P544">
        <f t="shared" si="93"/>
        <v>0.40692734424010929</v>
      </c>
      <c r="Q544">
        <f t="shared" si="90"/>
        <v>0.72547267735311893</v>
      </c>
      <c r="R544">
        <f t="shared" si="91"/>
        <v>-1.416370089842508</v>
      </c>
      <c r="T544" s="21">
        <f>(M544-M543)/(H544-H543)</f>
        <v>8.8717389218539999E-4</v>
      </c>
      <c r="W544">
        <v>429</v>
      </c>
      <c r="X544">
        <v>12.673279000000001</v>
      </c>
      <c r="Y544">
        <v>1.5</v>
      </c>
      <c r="Z544">
        <f t="shared" si="88"/>
        <v>1.5</v>
      </c>
      <c r="AA544" s="21">
        <f>IF(X544&gt;$B$8+$B$9,0,ABS(X544-O544)/X544)</f>
        <v>1.6931804163135292E-2</v>
      </c>
      <c r="AB544">
        <f>IF(OR(Z541&lt;&gt;Z547,X544&gt;$B$8+$B$9),0,((X547-X541)/(W547-W541)-(O547-O541)/(W547-W541))^2)</f>
        <v>3.7227989669528028E-6</v>
      </c>
    </row>
    <row r="545" spans="7:28" x14ac:dyDescent="0.2">
      <c r="G545" s="21"/>
      <c r="H545" s="21">
        <v>430</v>
      </c>
      <c r="I545">
        <f t="shared" si="94"/>
        <v>1.8952604640171993E-2</v>
      </c>
      <c r="J545">
        <f t="shared" si="95"/>
        <v>0.72482944416113182</v>
      </c>
      <c r="K545">
        <f t="shared" si="89"/>
        <v>28.643590819638142</v>
      </c>
      <c r="L545">
        <f>0.5*Z545*K545/J545/$B$7</f>
        <v>29.638273234872806</v>
      </c>
      <c r="M545">
        <f t="shared" si="92"/>
        <v>0.32181890123587226</v>
      </c>
      <c r="N545" s="21">
        <f t="shared" si="96"/>
        <v>4.6829842122612313E-2</v>
      </c>
      <c r="O545" s="21">
        <f t="shared" si="97"/>
        <v>12.906813082772947</v>
      </c>
      <c r="P545">
        <f t="shared" si="93"/>
        <v>0.40788079824249673</v>
      </c>
      <c r="Q545">
        <f t="shared" si="90"/>
        <v>0.72482944416113182</v>
      </c>
      <c r="R545">
        <f t="shared" si="91"/>
        <v>-1.4286652248991976</v>
      </c>
      <c r="T545" s="21">
        <f>(M545-M544)/(H545-H544)</f>
        <v>8.8703343202956031E-4</v>
      </c>
      <c r="W545">
        <v>430</v>
      </c>
      <c r="X545">
        <v>12.699238999999999</v>
      </c>
      <c r="Y545">
        <v>1.5</v>
      </c>
      <c r="Z545">
        <f t="shared" si="88"/>
        <v>1.5</v>
      </c>
      <c r="AA545" s="21">
        <f>IF(X545&gt;$B$8+$B$9,0,ABS(X545-O545)/X545)</f>
        <v>1.6345395403059085E-2</v>
      </c>
      <c r="AB545">
        <f>IF(OR(Z542&lt;&gt;Z548,X545&gt;$B$8+$B$9),0,((X548-X542)/(W548-W542)-(O548-O542)/(W548-W542))^2)</f>
        <v>3.5391993136559291E-6</v>
      </c>
    </row>
    <row r="546" spans="7:28" x14ac:dyDescent="0.2">
      <c r="G546" s="21"/>
      <c r="H546" s="21">
        <v>431</v>
      </c>
      <c r="I546">
        <f t="shared" si="94"/>
        <v>1.8927836546085298E-2</v>
      </c>
      <c r="J546">
        <f t="shared" si="95"/>
        <v>0.7241868778709224</v>
      </c>
      <c r="K546">
        <f t="shared" si="89"/>
        <v>28.616167437325423</v>
      </c>
      <c r="L546">
        <f>0.5*Z546*K546/J546/$B$7</f>
        <v>29.636170212158181</v>
      </c>
      <c r="M546">
        <f t="shared" si="92"/>
        <v>0.32270580129705045</v>
      </c>
      <c r="N546" s="21">
        <f t="shared" si="96"/>
        <v>4.6883984920636328E-2</v>
      </c>
      <c r="O546" s="21">
        <f t="shared" si="97"/>
        <v>12.925740919319033</v>
      </c>
      <c r="P546">
        <f t="shared" si="93"/>
        <v>0.40883326370732581</v>
      </c>
      <c r="Q546">
        <f t="shared" si="90"/>
        <v>0.7241868778709224</v>
      </c>
      <c r="R546">
        <f t="shared" si="91"/>
        <v>-1.4411626065656125</v>
      </c>
      <c r="T546" s="21">
        <f>(M546-M545)/(H546-H545)</f>
        <v>8.8690006117819742E-4</v>
      </c>
      <c r="W546">
        <v>431</v>
      </c>
      <c r="X546">
        <v>12.723575999999998</v>
      </c>
      <c r="Y546">
        <v>1.5</v>
      </c>
      <c r="Z546">
        <f t="shared" si="88"/>
        <v>1.5</v>
      </c>
      <c r="AA546" s="21">
        <f>IF(X546&gt;$B$8+$B$9,0,ABS(X546-O546)/X546)</f>
        <v>1.5889001591929418E-2</v>
      </c>
      <c r="AB546">
        <f>IF(OR(Z543&lt;&gt;Z549,X546&gt;$B$8+$B$9),0,((X549-X543)/(W549-W543)-(O549-O543)/(W549-W543))^2)</f>
        <v>5.860006529885634E-6</v>
      </c>
    </row>
    <row r="547" spans="7:28" x14ac:dyDescent="0.2">
      <c r="G547" s="21"/>
      <c r="H547" s="21">
        <v>432</v>
      </c>
      <c r="I547">
        <f t="shared" si="94"/>
        <v>1.8903319793325025E-2</v>
      </c>
      <c r="J547">
        <f t="shared" si="95"/>
        <v>0.72354497262433282</v>
      </c>
      <c r="K547">
        <f t="shared" si="89"/>
        <v>28.588887240568305</v>
      </c>
      <c r="L547">
        <f>0.5*Z547*K547/J547/$B$7</f>
        <v>29.634184800781991</v>
      </c>
      <c r="M547">
        <f t="shared" si="92"/>
        <v>0.3235925750299547</v>
      </c>
      <c r="N547" s="21">
        <f t="shared" si="96"/>
        <v>4.6938019043768472E-2</v>
      </c>
      <c r="O547" s="21">
        <f t="shared" si="97"/>
        <v>12.944644239112357</v>
      </c>
      <c r="P547">
        <f t="shared" si="93"/>
        <v>0.40978474931804765</v>
      </c>
      <c r="Q547">
        <f t="shared" si="90"/>
        <v>0.72354497262433282</v>
      </c>
      <c r="R547">
        <f t="shared" si="91"/>
        <v>-1.4538673627241285</v>
      </c>
      <c r="T547" s="21">
        <f>(M547-M546)/(H547-H546)</f>
        <v>8.8677373290424466E-4</v>
      </c>
      <c r="W547">
        <v>432</v>
      </c>
      <c r="X547">
        <v>12.728442999999999</v>
      </c>
      <c r="Y547">
        <v>1.5</v>
      </c>
      <c r="Z547">
        <f t="shared" si="88"/>
        <v>1.5</v>
      </c>
      <c r="AA547" s="21">
        <f>IF(X547&gt;$B$8+$B$9,0,ABS(X547-O547)/X547)</f>
        <v>1.6985678382843702E-2</v>
      </c>
      <c r="AB547">
        <f>IF(OR(Z544&lt;&gt;Z550,X547&gt;$B$8+$B$9),0,((X550-X544)/(W550-W544)-(O550-O544)/(W550-W544))^2)</f>
        <v>9.4751361633199928E-8</v>
      </c>
    </row>
    <row r="548" spans="7:28" x14ac:dyDescent="0.2">
      <c r="G548" s="21"/>
      <c r="H548" s="21">
        <v>433</v>
      </c>
      <c r="I548">
        <f t="shared" si="94"/>
        <v>1.8879051980445771E-2</v>
      </c>
      <c r="J548">
        <f t="shared" si="95"/>
        <v>0.72290372261542812</v>
      </c>
      <c r="K548">
        <f t="shared" si="89"/>
        <v>28.561748983818276</v>
      </c>
      <c r="L548">
        <f>0.5*Z548*K548/J548/$B$7</f>
        <v>29.632316265245549</v>
      </c>
      <c r="M548">
        <f t="shared" si="92"/>
        <v>0.32447922943121382</v>
      </c>
      <c r="N548" s="21">
        <f t="shared" si="96"/>
        <v>4.6991945441915747E-2</v>
      </c>
      <c r="O548" s="21">
        <f t="shared" si="97"/>
        <v>12.963523291092802</v>
      </c>
      <c r="P548">
        <f t="shared" si="93"/>
        <v>0.41073526368070434</v>
      </c>
      <c r="Q548">
        <f t="shared" si="90"/>
        <v>0.72290372261542812</v>
      </c>
      <c r="R548">
        <f t="shared" si="91"/>
        <v>-1.4667847954141899</v>
      </c>
      <c r="T548" s="21">
        <f>(M548-M547)/(H548-H547)</f>
        <v>8.8665440125912376E-4</v>
      </c>
      <c r="W548">
        <v>433</v>
      </c>
      <c r="X548">
        <v>12.759270000000001</v>
      </c>
      <c r="Y548">
        <v>1.5</v>
      </c>
      <c r="Z548">
        <f t="shared" si="88"/>
        <v>1.5</v>
      </c>
      <c r="AA548" s="21">
        <f>IF(X548&gt;$B$8+$B$9,0,ABS(X548-O548)/X548)</f>
        <v>1.6008227045340447E-2</v>
      </c>
      <c r="AB548">
        <f>IF(OR(Z545&lt;&gt;Z551,X548&gt;$B$8+$B$9),0,((X551-X545)/(W551-W545)-(O551-O545)/(W551-W545))^2)</f>
        <v>4.4178515574116309E-6</v>
      </c>
    </row>
    <row r="549" spans="7:28" x14ac:dyDescent="0.2">
      <c r="G549" s="21"/>
      <c r="H549" s="21">
        <v>434</v>
      </c>
      <c r="I549">
        <f t="shared" si="94"/>
        <v>1.8855030742485561E-2</v>
      </c>
      <c r="J549">
        <f t="shared" si="95"/>
        <v>0.7222631220897493</v>
      </c>
      <c r="K549">
        <f t="shared" si="89"/>
        <v>28.534751437420297</v>
      </c>
      <c r="L549">
        <f>0.5*Z549*K549/J549/$B$7</f>
        <v>29.630563881130705</v>
      </c>
      <c r="M549">
        <f t="shared" si="92"/>
        <v>0.3253657714522723</v>
      </c>
      <c r="N549" s="21">
        <f t="shared" si="96"/>
        <v>4.7045765055678798E-2</v>
      </c>
      <c r="O549" s="21">
        <f t="shared" si="97"/>
        <v>12.982378321835288</v>
      </c>
      <c r="P549">
        <f t="shared" si="93"/>
        <v>0.41168481532503598</v>
      </c>
      <c r="Q549">
        <f t="shared" si="90"/>
        <v>0.7222631220897493</v>
      </c>
      <c r="R549">
        <f t="shared" si="91"/>
        <v>-1.4799203882981689</v>
      </c>
      <c r="T549" s="21">
        <f>(M549-M548)/(H549-H548)</f>
        <v>8.8654202105847846E-4</v>
      </c>
      <c r="W549">
        <v>434</v>
      </c>
      <c r="X549">
        <v>12.76576</v>
      </c>
      <c r="Y549">
        <v>1.5</v>
      </c>
      <c r="Z549">
        <f t="shared" si="88"/>
        <v>1.5</v>
      </c>
      <c r="AA549" s="21">
        <f>IF(X549&gt;$B$8+$B$9,0,ABS(X549-O549)/X549)</f>
        <v>1.6968697659621342E-2</v>
      </c>
      <c r="AB549">
        <f>IF(OR(Z546&lt;&gt;Z552,X549&gt;$B$8+$B$9),0,((X552-X546)/(W552-W546)-(O552-O546)/(W552-W546))^2)</f>
        <v>2.3622656831608083E-6</v>
      </c>
    </row>
    <row r="550" spans="7:28" x14ac:dyDescent="0.2">
      <c r="G550" s="21"/>
      <c r="H550" s="21">
        <v>435</v>
      </c>
      <c r="I550">
        <f t="shared" si="94"/>
        <v>1.8831253750301622E-2</v>
      </c>
      <c r="J550">
        <f t="shared" si="95"/>
        <v>0.7216231653435794</v>
      </c>
      <c r="K550">
        <f t="shared" si="89"/>
        <v>28.507893387350347</v>
      </c>
      <c r="L550">
        <f>0.5*Z550*K550/J550/$B$7</f>
        <v>29.62892693492298</v>
      </c>
      <c r="M550">
        <f t="shared" si="92"/>
        <v>0.32625220800014254</v>
      </c>
      <c r="N550" s="21">
        <f t="shared" si="96"/>
        <v>4.7099478816493304E-2</v>
      </c>
      <c r="O550" s="21">
        <f t="shared" si="97"/>
        <v>13.001209575585589</v>
      </c>
      <c r="P550">
        <f t="shared" si="93"/>
        <v>0.41263341270556853</v>
      </c>
      <c r="Q550">
        <f t="shared" si="90"/>
        <v>0.7216231653435794</v>
      </c>
      <c r="R550">
        <f t="shared" si="91"/>
        <v>-1.4932798145144581</v>
      </c>
      <c r="T550" s="21">
        <f>(M550-M549)/(H550-H549)</f>
        <v>8.8643654787023962E-4</v>
      </c>
      <c r="W550">
        <v>435</v>
      </c>
      <c r="X550">
        <v>12.788474999999998</v>
      </c>
      <c r="Y550">
        <v>1.5</v>
      </c>
      <c r="Z550">
        <f t="shared" si="88"/>
        <v>1.5</v>
      </c>
      <c r="AA550" s="21">
        <f>IF(X550&gt;$B$8+$B$9,0,ABS(X550-O550)/X550)</f>
        <v>1.6634866595555058E-2</v>
      </c>
      <c r="AB550">
        <f>IF(OR(Z547&lt;&gt;Z553,X550&gt;$B$8+$B$9),0,((X553-X547)/(W553-W547)-(O553-O547)/(W553-W547))^2)</f>
        <v>1.5171227507191032E-5</v>
      </c>
    </row>
    <row r="551" spans="7:28" x14ac:dyDescent="0.2">
      <c r="G551" s="21"/>
      <c r="H551" s="21">
        <v>436</v>
      </c>
      <c r="I551">
        <f t="shared" si="94"/>
        <v>1.8807718709921165E-2</v>
      </c>
      <c r="J551">
        <f t="shared" si="95"/>
        <v>0.72098384672322235</v>
      </c>
      <c r="K551">
        <f t="shared" si="89"/>
        <v>28.481173634958314</v>
      </c>
      <c r="L551">
        <f>0.5*Z551*K551/J551/$B$7</f>
        <v>29.627404723838339</v>
      </c>
      <c r="M551">
        <f t="shared" si="92"/>
        <v>0.32713854593814395</v>
      </c>
      <c r="N551" s="21">
        <f t="shared" si="96"/>
        <v>4.7153087646768801E-2</v>
      </c>
      <c r="O551" s="21">
        <f t="shared" si="97"/>
        <v>13.02001729429551</v>
      </c>
      <c r="P551">
        <f t="shared" si="93"/>
        <v>0.41358106420268315</v>
      </c>
      <c r="Q551">
        <f t="shared" si="90"/>
        <v>0.72098384672322235</v>
      </c>
      <c r="R551">
        <f t="shared" si="91"/>
        <v>-1.5068689449414407</v>
      </c>
      <c r="T551" s="21">
        <f>(M551-M550)/(H551-H550)</f>
        <v>8.8633793800141358E-4</v>
      </c>
      <c r="W551">
        <v>436</v>
      </c>
      <c r="X551">
        <v>12.799831999999999</v>
      </c>
      <c r="Y551">
        <v>1.5</v>
      </c>
      <c r="Z551">
        <f t="shared" si="88"/>
        <v>1.5</v>
      </c>
      <c r="AA551" s="21">
        <f>IF(X551&gt;$B$8+$B$9,0,ABS(X551-O551)/X551)</f>
        <v>1.7202201895736711E-2</v>
      </c>
      <c r="AB551">
        <f>IF(OR(Z548&lt;&gt;Z554,X551&gt;$B$8+$B$9),0,((X554-X548)/(W554-W548)-(O554-O548)/(W554-W548))^2)</f>
        <v>1.486909907078011E-6</v>
      </c>
    </row>
    <row r="552" spans="7:28" x14ac:dyDescent="0.2">
      <c r="G552" s="21"/>
      <c r="H552" s="21">
        <v>437</v>
      </c>
      <c r="I552">
        <f t="shared" si="94"/>
        <v>1.878442336190644E-2</v>
      </c>
      <c r="J552">
        <f t="shared" si="95"/>
        <v>0.72034516062429321</v>
      </c>
      <c r="K552">
        <f t="shared" si="89"/>
        <v>28.454590996716068</v>
      </c>
      <c r="L552">
        <f>0.5*Z552*K552/J552/$B$7</f>
        <v>29.625996555653604</v>
      </c>
      <c r="M552">
        <f t="shared" si="92"/>
        <v>0.32802479208663193</v>
      </c>
      <c r="N552" s="21">
        <f t="shared" si="96"/>
        <v>4.7206592460024961E-2</v>
      </c>
      <c r="O552" s="21">
        <f t="shared" si="97"/>
        <v>13.038801717657416</v>
      </c>
      <c r="P552">
        <f t="shared" si="93"/>
        <v>0.41452777812366715</v>
      </c>
      <c r="Q552">
        <f t="shared" si="90"/>
        <v>0.72034516062429321</v>
      </c>
      <c r="R552">
        <f t="shared" si="91"/>
        <v>-1.5206938568976349</v>
      </c>
      <c r="T552" s="21">
        <f>(M552-M551)/(H552-H551)</f>
        <v>8.8624614848797911E-4</v>
      </c>
      <c r="W552">
        <v>437</v>
      </c>
      <c r="X552">
        <v>12.827414999999998</v>
      </c>
      <c r="Y552">
        <v>1.5</v>
      </c>
      <c r="Z552">
        <f t="shared" si="88"/>
        <v>1.5</v>
      </c>
      <c r="AA552" s="21">
        <f>IF(X552&gt;$B$8+$B$9,0,ABS(X552-O552)/X552)</f>
        <v>1.6479292020833283E-2</v>
      </c>
      <c r="AB552">
        <f>IF(OR(Z549&lt;&gt;Z555,X552&gt;$B$8+$B$9),0,((X555-X549)/(W555-W549)-(O555-O549)/(W555-W549))^2)</f>
        <v>1.4825805535203874E-7</v>
      </c>
    </row>
    <row r="553" spans="7:28" x14ac:dyDescent="0.2">
      <c r="G553" s="21"/>
      <c r="H553" s="21">
        <v>438</v>
      </c>
      <c r="I553">
        <f t="shared" si="94"/>
        <v>1.876136548073408E-2</v>
      </c>
      <c r="J553">
        <f t="shared" si="95"/>
        <v>0.71970710149102302</v>
      </c>
      <c r="K553">
        <f t="shared" si="89"/>
        <v>28.428144303970686</v>
      </c>
      <c r="L553">
        <f>0.5*Z553*K553/J553/$B$7</f>
        <v>29.62470174854035</v>
      </c>
      <c r="M553">
        <f t="shared" si="92"/>
        <v>0.32891095322371128</v>
      </c>
      <c r="N553" s="21">
        <f t="shared" si="96"/>
        <v>4.7259994161025443E-2</v>
      </c>
      <c r="O553" s="21">
        <f t="shared" si="97"/>
        <v>13.057563083138149</v>
      </c>
      <c r="P553">
        <f t="shared" si="93"/>
        <v>0.41547356270374619</v>
      </c>
      <c r="Q553">
        <f t="shared" si="90"/>
        <v>0.71970710149102302</v>
      </c>
      <c r="R553">
        <f t="shared" si="91"/>
        <v>-1.5347608433051079</v>
      </c>
      <c r="T553" s="21">
        <f>(M553-M552)/(H553-H552)</f>
        <v>8.861611370793443E-4</v>
      </c>
      <c r="W553">
        <v>438</v>
      </c>
      <c r="X553">
        <v>12.864732</v>
      </c>
      <c r="Y553">
        <v>1.5</v>
      </c>
      <c r="Z553">
        <f t="shared" si="88"/>
        <v>1.5</v>
      </c>
      <c r="AA553" s="21">
        <f>IF(X553&gt;$B$8+$B$9,0,ABS(X553-O553)/X553)</f>
        <v>1.4989125551791424E-2</v>
      </c>
      <c r="AB553">
        <f>IF(OR(Z550&lt;&gt;Z556,X553&gt;$B$8+$B$9),0,((X556-X550)/(W556-W550)-(O556-O550)/(W556-W550))^2)</f>
        <v>6.3778124171657565E-6</v>
      </c>
    </row>
    <row r="554" spans="7:28" x14ac:dyDescent="0.2">
      <c r="G554" s="21"/>
      <c r="H554" s="21">
        <v>439</v>
      </c>
      <c r="I554">
        <f t="shared" si="94"/>
        <v>1.8738542874187837E-2</v>
      </c>
      <c r="J554">
        <f t="shared" si="95"/>
        <v>0.71906966381557236</v>
      </c>
      <c r="K554">
        <f t="shared" si="89"/>
        <v>28.401832402702567</v>
      </c>
      <c r="L554">
        <f>0.5*Z554*K554/J554/$B$7</f>
        <v>29.623519630902301</v>
      </c>
      <c r="M554">
        <f t="shared" si="92"/>
        <v>0.32979703608594241</v>
      </c>
      <c r="N554" s="21">
        <f t="shared" si="96"/>
        <v>4.7313293645909429E-2</v>
      </c>
      <c r="O554" s="21">
        <f t="shared" si="97"/>
        <v>13.076301626012336</v>
      </c>
      <c r="P554">
        <f t="shared" si="93"/>
        <v>0.41641842610709995</v>
      </c>
      <c r="Q554">
        <f t="shared" si="90"/>
        <v>0.71906966381557236</v>
      </c>
      <c r="R554">
        <f t="shared" si="91"/>
        <v>-1.5490764223452194</v>
      </c>
      <c r="T554" s="21">
        <f>(M554-M553)/(H554-H553)</f>
        <v>8.8608286223113009E-4</v>
      </c>
      <c r="W554">
        <v>439</v>
      </c>
      <c r="X554">
        <v>12.864732</v>
      </c>
      <c r="Y554">
        <v>1.5</v>
      </c>
      <c r="Z554">
        <f t="shared" si="88"/>
        <v>1.5</v>
      </c>
      <c r="AA554" s="21">
        <f>IF(X554&gt;$B$8+$B$9,0,ABS(X554-O554)/X554)</f>
        <v>1.6445708003270963E-2</v>
      </c>
      <c r="AB554">
        <f>IF(OR(Z551&lt;&gt;Z557,X554&gt;$B$8+$B$9),0,((X557-X551)/(W557-W551)-(O557-O551)/(W557-W551))^2)</f>
        <v>1.6463690283416794E-6</v>
      </c>
    </row>
    <row r="555" spans="7:28" x14ac:dyDescent="0.2">
      <c r="G555" s="21"/>
      <c r="H555" s="21">
        <v>440</v>
      </c>
      <c r="I555">
        <f t="shared" si="94"/>
        <v>1.8715953382765112E-2</v>
      </c>
      <c r="J555">
        <f t="shared" si="95"/>
        <v>0.71843284213735958</v>
      </c>
      <c r="K555">
        <f t="shared" si="89"/>
        <v>28.375654153288465</v>
      </c>
      <c r="L555">
        <f>0.5*Z555*K555/J555/$B$7</f>
        <v>29.622449541216021</v>
      </c>
      <c r="M555">
        <f t="shared" si="92"/>
        <v>0.33068304736903265</v>
      </c>
      <c r="N555" s="21">
        <f t="shared" si="96"/>
        <v>4.7366491802320554E-2</v>
      </c>
      <c r="O555" s="21">
        <f t="shared" si="97"/>
        <v>13.095017579395101</v>
      </c>
      <c r="P555">
        <f t="shared" si="93"/>
        <v>0.41736237642785912</v>
      </c>
      <c r="Q555">
        <f t="shared" si="90"/>
        <v>0.71843284213735958</v>
      </c>
      <c r="R555">
        <f t="shared" si="91"/>
        <v>-1.5636473476378052</v>
      </c>
      <c r="T555" s="21">
        <f>(M555-M554)/(H555-H554)</f>
        <v>8.860112830902378E-4</v>
      </c>
      <c r="W555">
        <v>440</v>
      </c>
      <c r="X555">
        <v>12.876089</v>
      </c>
      <c r="Y555">
        <v>1.5</v>
      </c>
      <c r="Z555">
        <f t="shared" si="88"/>
        <v>1.5</v>
      </c>
      <c r="AA555" s="21">
        <f>IF(X555&gt;$B$8+$B$9,0,ABS(X555-O555)/X555)</f>
        <v>1.7002723373153197E-2</v>
      </c>
      <c r="AB555">
        <f>IF(OR(Z552&lt;&gt;Z558,X555&gt;$B$8+$B$9),0,((X558-X552)/(W558-W552)-(O558-O552)/(W558-W552))^2)</f>
        <v>5.0065228470723743E-8</v>
      </c>
    </row>
    <row r="556" spans="7:28" x14ac:dyDescent="0.2">
      <c r="G556" s="21"/>
      <c r="H556" s="21">
        <v>441</v>
      </c>
      <c r="I556">
        <f t="shared" si="94"/>
        <v>1.8693594879096127E-2</v>
      </c>
      <c r="J556">
        <f t="shared" si="95"/>
        <v>0.71779663104239844</v>
      </c>
      <c r="K556">
        <f t="shared" si="89"/>
        <v>28.349608430269214</v>
      </c>
      <c r="L556">
        <f>0.5*Z556*K556/J556/$B$7</f>
        <v>29.621490827874901</v>
      </c>
      <c r="M556">
        <f t="shared" si="92"/>
        <v>0.33156899372851817</v>
      </c>
      <c r="N556" s="21">
        <f t="shared" si="96"/>
        <v>4.7419589509533878E-2</v>
      </c>
      <c r="O556" s="21">
        <f t="shared" si="97"/>
        <v>13.113711174274197</v>
      </c>
      <c r="P556">
        <f t="shared" si="93"/>
        <v>0.41830542169108631</v>
      </c>
      <c r="Q556">
        <f t="shared" si="90"/>
        <v>0.71779663104239844</v>
      </c>
      <c r="R556">
        <f t="shared" si="91"/>
        <v>-1.5784806189772413</v>
      </c>
      <c r="T556" s="21">
        <f>(M556-M555)/(H556-H555)</f>
        <v>8.8594635948552325E-4</v>
      </c>
      <c r="W556">
        <v>441</v>
      </c>
      <c r="X556">
        <v>12.885824</v>
      </c>
      <c r="Y556">
        <v>1.5</v>
      </c>
      <c r="Z556">
        <f t="shared" si="88"/>
        <v>1.5</v>
      </c>
      <c r="AA556" s="21">
        <f>IF(X556&gt;$B$8+$B$9,0,ABS(X556-O556)/X556)</f>
        <v>1.7685106848750822E-2</v>
      </c>
      <c r="AB556">
        <f>IF(OR(Z553&lt;&gt;Z559,X556&gt;$B$8+$B$9),0,((X559-X553)/(W559-W553)-(O559-O553)/(W559-W553))^2)</f>
        <v>1.2529244095950788E-5</v>
      </c>
    </row>
    <row r="557" spans="7:28" x14ac:dyDescent="0.2">
      <c r="G557" s="21"/>
      <c r="H557" s="21">
        <v>442</v>
      </c>
      <c r="I557">
        <f t="shared" si="94"/>
        <v>1.867146526737605E-2</v>
      </c>
      <c r="J557">
        <f t="shared" si="95"/>
        <v>0.71716102516264846</v>
      </c>
      <c r="K557">
        <f t="shared" si="89"/>
        <v>28.323694122122085</v>
      </c>
      <c r="L557">
        <f>0.5*Z557*K557/J557/$B$7</f>
        <v>29.620642849036329</v>
      </c>
      <c r="M557">
        <f t="shared" si="92"/>
        <v>0.33245488178043381</v>
      </c>
      <c r="N557" s="21">
        <f t="shared" si="96"/>
        <v>4.747258763858031E-2</v>
      </c>
      <c r="O557" s="21">
        <f t="shared" si="97"/>
        <v>13.132382639541573</v>
      </c>
      <c r="P557">
        <f t="shared" si="93"/>
        <v>0.41924756985374029</v>
      </c>
      <c r="Q557">
        <f t="shared" si="90"/>
        <v>0.71716102516264846</v>
      </c>
      <c r="R557">
        <f t="shared" si="91"/>
        <v>-1.5935834936612492</v>
      </c>
      <c r="T557" s="21">
        <f>(M557-M556)/(H557-H556)</f>
        <v>8.858880519156398E-4</v>
      </c>
      <c r="W557">
        <v>442</v>
      </c>
      <c r="X557">
        <v>12.919895999999998</v>
      </c>
      <c r="Y557">
        <v>1.5</v>
      </c>
      <c r="Z557">
        <f t="shared" si="88"/>
        <v>1.5</v>
      </c>
      <c r="AA557" s="21">
        <f>IF(X557&gt;$B$8+$B$9,0,ABS(X557-O557)/X557)</f>
        <v>1.6446466716262691E-2</v>
      </c>
      <c r="AB557">
        <f>IF(OR(Z554&lt;&gt;Z560,X557&gt;$B$8+$B$9),0,((X560-X554)/(W560-W554)-(O560-O554)/(W560-W554))^2)</f>
        <v>5.9340065105190757E-6</v>
      </c>
    </row>
    <row r="558" spans="7:28" x14ac:dyDescent="0.2">
      <c r="G558" s="21"/>
      <c r="H558" s="21">
        <v>443</v>
      </c>
      <c r="I558">
        <f t="shared" si="94"/>
        <v>1.8649562482809363E-2</v>
      </c>
      <c r="J558">
        <f t="shared" si="95"/>
        <v>0.71652601917537417</v>
      </c>
      <c r="K558">
        <f t="shared" si="89"/>
        <v>28.297910131037639</v>
      </c>
      <c r="L558">
        <f>0.5*Z558*K558/J558/$B$7</f>
        <v>29.619904972471996</v>
      </c>
      <c r="M558">
        <f t="shared" si="92"/>
        <v>0.33334071810197485</v>
      </c>
      <c r="N558" s="21">
        <f t="shared" si="96"/>
        <v>4.7525487052369079E-2</v>
      </c>
      <c r="O558" s="21">
        <f t="shared" si="97"/>
        <v>13.151032202024382</v>
      </c>
      <c r="P558">
        <f t="shared" si="93"/>
        <v>0.42018882880562408</v>
      </c>
      <c r="Q558">
        <f t="shared" si="90"/>
        <v>0.71652601917537417</v>
      </c>
      <c r="R558">
        <f t="shared" si="91"/>
        <v>-1.6089634984509811</v>
      </c>
      <c r="T558" s="21">
        <f>(M558-M557)/(H558-H557)</f>
        <v>8.8583632154104475E-4</v>
      </c>
      <c r="W558">
        <v>443</v>
      </c>
      <c r="X558">
        <v>12.940988000000001</v>
      </c>
      <c r="Y558">
        <v>1.5</v>
      </c>
      <c r="Z558">
        <f t="shared" si="88"/>
        <v>1.5</v>
      </c>
      <c r="AA558" s="21">
        <f>IF(X558&gt;$B$8+$B$9,0,ABS(X558-O558)/X558)</f>
        <v>1.6230924719533094E-2</v>
      </c>
      <c r="AB558">
        <f>IF(OR(Z555&lt;&gt;Z561,X558&gt;$B$8+$B$9),0,((X561-X555)/(W561-W555)-(O561-O555)/(W561-W555))^2)</f>
        <v>1.1282445178681781E-6</v>
      </c>
    </row>
    <row r="559" spans="7:28" x14ac:dyDescent="0.2">
      <c r="G559" s="21"/>
      <c r="H559" s="21">
        <v>444</v>
      </c>
      <c r="I559">
        <f t="shared" si="94"/>
        <v>1.8627884491066254E-2</v>
      </c>
      <c r="J559">
        <f t="shared" si="95"/>
        <v>0.71589160780251793</v>
      </c>
      <c r="K559">
        <f t="shared" si="89"/>
        <v>28.272255372701032</v>
      </c>
      <c r="L559">
        <f>0.5*Z559*K559/J559/$B$7</f>
        <v>29.619276575421246</v>
      </c>
      <c r="M559">
        <f t="shared" si="92"/>
        <v>0.33422650923214409</v>
      </c>
      <c r="N559" s="21">
        <f t="shared" si="96"/>
        <v>4.7578288605807803E-2</v>
      </c>
      <c r="O559" s="21">
        <f t="shared" si="97"/>
        <v>13.169660086515448</v>
      </c>
      <c r="P559">
        <f t="shared" si="93"/>
        <v>0.42112920637031637</v>
      </c>
      <c r="Q559">
        <f t="shared" si="90"/>
        <v>0.71589160780251793</v>
      </c>
      <c r="R559">
        <f t="shared" si="91"/>
        <v>-1.6246284422037989</v>
      </c>
      <c r="T559" s="21">
        <f>(M559-M558)/(H559-H558)</f>
        <v>8.8579113016923339E-4</v>
      </c>
      <c r="W559">
        <v>444</v>
      </c>
      <c r="X559">
        <v>12.955590999999998</v>
      </c>
      <c r="Y559">
        <v>1.5</v>
      </c>
      <c r="Z559">
        <f t="shared" si="88"/>
        <v>1.5</v>
      </c>
      <c r="AA559" s="21">
        <f>IF(X559&gt;$B$8+$B$9,0,ABS(X559-O559)/X559)</f>
        <v>1.6523297664726322E-2</v>
      </c>
      <c r="AB559">
        <f>IF(OR(Z556&lt;&gt;Z562,X559&gt;$B$8+$B$9),0,((X562-X556)/(W562-W556)-(O562-O556)/(W562-W556))^2)</f>
        <v>9.7061761442065032E-8</v>
      </c>
    </row>
    <row r="560" spans="7:28" x14ac:dyDescent="0.2">
      <c r="G560" s="21"/>
      <c r="H560" s="21">
        <v>445</v>
      </c>
      <c r="I560">
        <f t="shared" si="94"/>
        <v>1.8606429287750959E-2</v>
      </c>
      <c r="J560">
        <f t="shared" si="95"/>
        <v>0.71525778581007993</v>
      </c>
      <c r="K560">
        <f t="shared" si="89"/>
        <v>28.24672877607756</v>
      </c>
      <c r="L560">
        <f>0.5*Z560*K560/J560/$B$7</f>
        <v>29.618757044447424</v>
      </c>
      <c r="M560">
        <f t="shared" si="92"/>
        <v>0.33511226167239383</v>
      </c>
      <c r="N560" s="21">
        <f t="shared" si="96"/>
        <v>4.7630993145920772E-2</v>
      </c>
      <c r="O560" s="21">
        <f t="shared" si="97"/>
        <v>13.188266515803198</v>
      </c>
      <c r="P560">
        <f t="shared" si="93"/>
        <v>0.42206871030608845</v>
      </c>
      <c r="Q560">
        <f t="shared" si="90"/>
        <v>0.71525778581007993</v>
      </c>
      <c r="R560">
        <f t="shared" si="91"/>
        <v>-1.6405864292233425</v>
      </c>
      <c r="T560" s="21">
        <f>(M560-M559)/(H560-H559)</f>
        <v>8.8575244024974298E-4</v>
      </c>
      <c r="W560">
        <v>445</v>
      </c>
      <c r="X560">
        <v>12.962080999999998</v>
      </c>
      <c r="Y560">
        <v>1.5</v>
      </c>
      <c r="Z560">
        <f t="shared" si="88"/>
        <v>1.5</v>
      </c>
      <c r="AA560" s="21">
        <f>IF(X560&gt;$B$8+$B$9,0,ABS(X560-O560)/X560)</f>
        <v>1.744978416684792E-2</v>
      </c>
      <c r="AB560">
        <f>IF(OR(Z557&lt;&gt;Z563,X560&gt;$B$8+$B$9),0,((X563-X557)/(W563-W557)-(O563-O557)/(W563-W557))^2)</f>
        <v>5.6229303742955097E-6</v>
      </c>
    </row>
    <row r="561" spans="7:28" x14ac:dyDescent="0.2">
      <c r="G561" s="21"/>
      <c r="H561" s="21">
        <v>446</v>
      </c>
      <c r="I561">
        <f t="shared" si="94"/>
        <v>1.8585194897881328E-2</v>
      </c>
      <c r="J561">
        <f t="shared" si="95"/>
        <v>0.71462454800751207</v>
      </c>
      <c r="K561">
        <f t="shared" si="89"/>
        <v>28.221329283202454</v>
      </c>
      <c r="L561">
        <f>0.5*Z561*K561/J561/$B$7</f>
        <v>29.618345775297026</v>
      </c>
      <c r="M561">
        <f t="shared" si="92"/>
        <v>0.33599798188725249</v>
      </c>
      <c r="N561" s="21">
        <f t="shared" si="96"/>
        <v>4.768360151196481E-2</v>
      </c>
      <c r="O561" s="21">
        <f t="shared" si="97"/>
        <v>13.206851710701079</v>
      </c>
      <c r="P561">
        <f t="shared" si="93"/>
        <v>0.42300734830680525</v>
      </c>
      <c r="Q561">
        <f t="shared" si="90"/>
        <v>0.71462454800751207</v>
      </c>
      <c r="R561">
        <f t="shared" si="91"/>
        <v>-1.6568458733748248</v>
      </c>
      <c r="T561" s="21">
        <f>(M561-M560)/(H561-H560)</f>
        <v>8.8572021485866514E-4</v>
      </c>
      <c r="W561">
        <v>446</v>
      </c>
      <c r="X561">
        <v>12.981549999999999</v>
      </c>
      <c r="Y561">
        <v>1.5</v>
      </c>
      <c r="Z561">
        <f t="shared" si="88"/>
        <v>1.5</v>
      </c>
      <c r="AA561" s="21">
        <f>IF(X561&gt;$B$8+$B$9,0,ABS(X561-O561)/X561)</f>
        <v>1.7355532328657226E-2</v>
      </c>
      <c r="AB561">
        <f>IF(OR(Z558&lt;&gt;Z564,X561&gt;$B$8+$B$9),0,((X564-X558)/(W564-W558)-(O564-O558)/(W564-W558))^2)</f>
        <v>8.3577520082848244E-6</v>
      </c>
    </row>
    <row r="562" spans="7:28" x14ac:dyDescent="0.2">
      <c r="G562" s="21"/>
      <c r="H562" s="21">
        <v>447</v>
      </c>
      <c r="I562">
        <f t="shared" si="94"/>
        <v>1.8564179375379696E-2</v>
      </c>
      <c r="J562">
        <f t="shared" si="95"/>
        <v>0.71399188924711854</v>
      </c>
      <c r="K562">
        <f t="shared" si="89"/>
        <v>28.196055848974758</v>
      </c>
      <c r="L562">
        <f>0.5*Z562*K562/J562/$B$7</f>
        <v>29.618042172761854</v>
      </c>
      <c r="M562">
        <f t="shared" si="92"/>
        <v>0.33688367630494659</v>
      </c>
      <c r="N562" s="21">
        <f t="shared" si="96"/>
        <v>4.7736114535543488E-2</v>
      </c>
      <c r="O562" s="21">
        <f t="shared" si="97"/>
        <v>13.225415890076459</v>
      </c>
      <c r="P562">
        <f t="shared" si="93"/>
        <v>0.42394512800281142</v>
      </c>
      <c r="Q562">
        <f t="shared" si="90"/>
        <v>0.71399188924711854</v>
      </c>
      <c r="R562">
        <f t="shared" si="91"/>
        <v>-1.6734155130172399</v>
      </c>
      <c r="T562" s="21">
        <f>(M562-M561)/(H562-H561)</f>
        <v>8.8569441769409396E-4</v>
      </c>
      <c r="W562">
        <v>447</v>
      </c>
      <c r="X562">
        <v>12.999397999999999</v>
      </c>
      <c r="Y562">
        <v>1.5</v>
      </c>
      <c r="Z562">
        <f t="shared" si="88"/>
        <v>1.5</v>
      </c>
      <c r="AA562" s="21">
        <f>IF(X562&gt;$B$8+$B$9,0,ABS(X562-O562)/X562)</f>
        <v>1.7386796686774213E-2</v>
      </c>
      <c r="AB562">
        <f>IF(OR(Z559&lt;&gt;Z565,X562&gt;$B$8+$B$9),0,((X565-X559)/(W565-W559)-(O565-O559)/(W565-W559))^2)</f>
        <v>5.4261110591870545E-6</v>
      </c>
    </row>
    <row r="563" spans="7:28" x14ac:dyDescent="0.2">
      <c r="G563" s="21"/>
      <c r="H563" s="21">
        <v>448</v>
      </c>
      <c r="I563">
        <f t="shared" si="94"/>
        <v>1.8543380802574581E-2</v>
      </c>
      <c r="J563">
        <f t="shared" si="95"/>
        <v>0.71335980442346869</v>
      </c>
      <c r="K563">
        <f t="shared" si="89"/>
        <v>28.170907440955236</v>
      </c>
      <c r="L563">
        <f>0.5*Z563*K563/J563/$B$7</f>
        <v>29.617845650543828</v>
      </c>
      <c r="M563">
        <f t="shared" si="92"/>
        <v>0.337769351318009</v>
      </c>
      <c r="N563" s="21">
        <f t="shared" si="96"/>
        <v>4.7788533040719047E-2</v>
      </c>
      <c r="O563" s="21">
        <f t="shared" si="97"/>
        <v>13.243959270879033</v>
      </c>
      <c r="P563">
        <f t="shared" si="93"/>
        <v>0.42488205696180303</v>
      </c>
      <c r="Q563">
        <f t="shared" si="90"/>
        <v>0.71335980442346869</v>
      </c>
      <c r="R563">
        <f t="shared" si="91"/>
        <v>-1.6903044268081853</v>
      </c>
      <c r="T563" s="21">
        <f>(M563-M562)/(H563-H562)</f>
        <v>8.856750130624147E-4</v>
      </c>
      <c r="W563">
        <v>448</v>
      </c>
      <c r="X563">
        <v>13.017244999999999</v>
      </c>
      <c r="Y563">
        <v>1.5</v>
      </c>
      <c r="Z563">
        <f t="shared" si="88"/>
        <v>1.5</v>
      </c>
      <c r="AA563" s="21">
        <f>IF(X563&gt;$B$8+$B$9,0,ABS(X563-O563)/X563)</f>
        <v>1.7416455700037466E-2</v>
      </c>
      <c r="AB563">
        <f>IF(OR(Z560&lt;&gt;Z566,X563&gt;$B$8+$B$9),0,((X566-X560)/(W566-W560)-(O566-O560)/(W566-W560))^2)</f>
        <v>4.7088127323377416E-7</v>
      </c>
    </row>
    <row r="564" spans="7:28" x14ac:dyDescent="0.2">
      <c r="G564" s="21"/>
      <c r="H564" s="21">
        <v>449</v>
      </c>
      <c r="I564">
        <f t="shared" si="94"/>
        <v>1.8522797289713098E-2</v>
      </c>
      <c r="J564">
        <f t="shared" si="95"/>
        <v>0.71272828847281844</v>
      </c>
      <c r="K564">
        <f t="shared" si="89"/>
        <v>28.145883039168158</v>
      </c>
      <c r="L564">
        <f>0.5*Z564*K564/J564/$B$7</f>
        <v>29.617755631122499</v>
      </c>
      <c r="M564">
        <f t="shared" si="92"/>
        <v>0.33865501328388048</v>
      </c>
      <c r="N564" s="21">
        <f t="shared" si="96"/>
        <v>4.7840857844122585E-2</v>
      </c>
      <c r="O564" s="21">
        <f t="shared" si="97"/>
        <v>13.262482068168746</v>
      </c>
      <c r="P564">
        <f t="shared" si="93"/>
        <v>0.42581814268968499</v>
      </c>
      <c r="Q564">
        <f t="shared" si="90"/>
        <v>0.71272828847281844</v>
      </c>
      <c r="R564">
        <f t="shared" si="91"/>
        <v>-1.7075220504413746</v>
      </c>
      <c r="T564" s="21">
        <f>(M564-M563)/(H564-H563)</f>
        <v>8.8566196587147594E-4</v>
      </c>
      <c r="W564">
        <v>449</v>
      </c>
      <c r="X564">
        <v>13.035091999999999</v>
      </c>
      <c r="Y564">
        <v>1.5</v>
      </c>
      <c r="Z564">
        <f t="shared" si="88"/>
        <v>1.5</v>
      </c>
      <c r="AA564" s="21">
        <f>IF(X564&gt;$B$8+$B$9,0,ABS(X564-O564)/X564)</f>
        <v>1.7444454413420855E-2</v>
      </c>
      <c r="AB564">
        <f>IF(OR(Z561&lt;&gt;Z567,X564&gt;$B$8+$B$9),0,((X567-X561)/(W567-W561)-(O567-O561)/(W567-W561))^2)</f>
        <v>4.7119733702759073E-7</v>
      </c>
    </row>
    <row r="565" spans="7:28" x14ac:dyDescent="0.2">
      <c r="G565" s="21"/>
      <c r="H565" s="21">
        <v>450</v>
      </c>
      <c r="I565">
        <f t="shared" si="94"/>
        <v>1.8502426974483663E-2</v>
      </c>
      <c r="J565">
        <f t="shared" si="95"/>
        <v>0.71209733637254113</v>
      </c>
      <c r="K565">
        <f t="shared" si="89"/>
        <v>28.120981635906954</v>
      </c>
      <c r="L565">
        <f>0.5*Z565*K565/J565/$B$7</f>
        <v>29.617771545625295</v>
      </c>
      <c r="M565">
        <f t="shared" si="92"/>
        <v>0.33954066852550097</v>
      </c>
      <c r="N565" s="21">
        <f t="shared" si="96"/>
        <v>4.789308975506236E-2</v>
      </c>
      <c r="O565" s="21">
        <f t="shared" si="97"/>
        <v>13.28098449514323</v>
      </c>
      <c r="P565">
        <f t="shared" si="93"/>
        <v>0.42675339263141415</v>
      </c>
      <c r="Q565">
        <f t="shared" si="90"/>
        <v>0.71209733637254113</v>
      </c>
      <c r="R565">
        <f t="shared" si="91"/>
        <v>-1.7250781943816922</v>
      </c>
      <c r="T565" s="21">
        <f>(M565-M564)/(H565-H564)</f>
        <v>8.8565524162048659E-4</v>
      </c>
      <c r="W565">
        <v>450</v>
      </c>
      <c r="X565">
        <v>13.052938999999999</v>
      </c>
      <c r="Y565">
        <v>1.5</v>
      </c>
      <c r="Z565">
        <f t="shared" si="88"/>
        <v>1.5</v>
      </c>
      <c r="AA565" s="21">
        <f>IF(X565&gt;$B$8+$B$9,0,ABS(X565-O565)/X565)</f>
        <v>1.7470815970505274E-2</v>
      </c>
      <c r="AB565">
        <f>IF(OR(Z562&lt;&gt;Z568,X565&gt;$B$8+$B$9),0,((X568-X562)/(W568-W562)-(O568-O562)/(W568-W562))^2)</f>
        <v>2.3039350523138039E-6</v>
      </c>
    </row>
    <row r="566" spans="7:28" x14ac:dyDescent="0.2">
      <c r="G566" s="21"/>
      <c r="H566" s="21">
        <v>451</v>
      </c>
      <c r="I566">
        <f t="shared" si="94"/>
        <v>1.8482268021548728E-2</v>
      </c>
      <c r="J566">
        <f t="shared" si="95"/>
        <v>0.71146694314056835</v>
      </c>
      <c r="K566">
        <f t="shared" si="89"/>
        <v>28.096202235543593</v>
      </c>
      <c r="L566">
        <f>0.5*Z566*K566/J566/$B$7</f>
        <v>29.617892833700299</v>
      </c>
      <c r="M566">
        <f t="shared" si="92"/>
        <v>0.34042632333189199</v>
      </c>
      <c r="N566" s="21">
        <f t="shared" si="96"/>
        <v>4.7945229575630154E-2</v>
      </c>
      <c r="O566" s="21">
        <f t="shared" si="97"/>
        <v>13.299466763164778</v>
      </c>
      <c r="P566">
        <f t="shared" si="93"/>
        <v>0.42768781417182888</v>
      </c>
      <c r="Q566">
        <f t="shared" si="90"/>
        <v>0.71146694314056835</v>
      </c>
      <c r="R566">
        <f t="shared" si="91"/>
        <v>-1.7429830626678553</v>
      </c>
      <c r="T566" s="21">
        <f>(M566-M565)/(H566-H565)</f>
        <v>8.8565480639102301E-4</v>
      </c>
      <c r="W566">
        <v>451</v>
      </c>
      <c r="X566">
        <v>13.069164000000001</v>
      </c>
      <c r="Y566">
        <v>1.5</v>
      </c>
      <c r="Z566">
        <f t="shared" si="88"/>
        <v>1.5</v>
      </c>
      <c r="AA566" s="21">
        <f>IF(X566&gt;$B$8+$B$9,0,ABS(X566-O566)/X566)</f>
        <v>1.7621843536799874E-2</v>
      </c>
      <c r="AB566">
        <f>IF(OR(Z563&lt;&gt;Z569,X566&gt;$B$8+$B$9),0,((X569-X563)/(W569-W563)-(O569-O563)/(W569-W563))^2)</f>
        <v>3.2704134711911054E-6</v>
      </c>
    </row>
    <row r="567" spans="7:28" x14ac:dyDescent="0.2">
      <c r="G567" s="21"/>
      <c r="H567" s="21">
        <v>452</v>
      </c>
      <c r="I567">
        <f t="shared" si="94"/>
        <v>1.8462318622087581E-2</v>
      </c>
      <c r="J567">
        <f t="shared" si="95"/>
        <v>0.71083710383483911</v>
      </c>
      <c r="K567">
        <f t="shared" si="89"/>
        <v>28.071543854341616</v>
      </c>
      <c r="L567">
        <f>0.5*Z567*K567/J567/$B$7</f>
        <v>29.618118943391519</v>
      </c>
      <c r="M567">
        <f t="shared" si="92"/>
        <v>0.3413119839587303</v>
      </c>
      <c r="N567" s="21">
        <f t="shared" si="96"/>
        <v>4.7997278100805826E-2</v>
      </c>
      <c r="O567" s="21">
        <f t="shared" si="97"/>
        <v>13.317929081786867</v>
      </c>
      <c r="P567">
        <f t="shared" si="93"/>
        <v>0.42862141463646508</v>
      </c>
      <c r="Q567">
        <f t="shared" si="90"/>
        <v>0.71083710383483911</v>
      </c>
      <c r="R567">
        <f t="shared" si="91"/>
        <v>-1.7612472728584254</v>
      </c>
      <c r="T567" s="21">
        <f>(M567-M566)/(H567-H566)</f>
        <v>8.8566062683831381E-4</v>
      </c>
      <c r="W567">
        <v>452</v>
      </c>
      <c r="X567">
        <v>13.096746</v>
      </c>
      <c r="Y567">
        <v>1.5</v>
      </c>
      <c r="Z567">
        <f t="shared" si="88"/>
        <v>1.5</v>
      </c>
      <c r="AA567" s="21">
        <f>IF(X567&gt;$B$8+$B$9,0,ABS(X567-O567)/X567)</f>
        <v>1.6888399743483377E-2</v>
      </c>
      <c r="AB567">
        <f>IF(OR(Z564&lt;&gt;Z570,X567&gt;$B$8+$B$9),0,((X570-X564)/(W570-W564)-(O570-O564)/(W570-W564))^2)</f>
        <v>4.2343896998132486E-8</v>
      </c>
    </row>
    <row r="568" spans="7:28" x14ac:dyDescent="0.2">
      <c r="G568" s="21"/>
      <c r="H568" s="21">
        <v>453</v>
      </c>
      <c r="I568">
        <f t="shared" si="94"/>
        <v>1.8442576993348538E-2</v>
      </c>
      <c r="J568">
        <f t="shared" si="95"/>
        <v>0.71020781355275808</v>
      </c>
      <c r="K568">
        <f t="shared" si="89"/>
        <v>28.047005520272723</v>
      </c>
      <c r="L568">
        <f>0.5*Z568*K568/J568/$B$7</f>
        <v>29.61844933101673</v>
      </c>
      <c r="M568">
        <f t="shared" si="92"/>
        <v>0.34219765662891349</v>
      </c>
      <c r="N568" s="21">
        <f t="shared" si="96"/>
        <v>4.804923611856024E-2</v>
      </c>
      <c r="O568" s="21">
        <f t="shared" si="97"/>
        <v>13.336371658780216</v>
      </c>
      <c r="P568">
        <f t="shared" si="93"/>
        <v>0.42955420129235916</v>
      </c>
      <c r="Q568">
        <f t="shared" si="90"/>
        <v>0.71020781355275808</v>
      </c>
      <c r="R568">
        <f t="shared" si="91"/>
        <v>-1.7798818772031137</v>
      </c>
      <c r="T568" s="21">
        <f>(M568-M567)/(H568-H567)</f>
        <v>8.8567267018319074E-4</v>
      </c>
      <c r="W568">
        <v>453</v>
      </c>
      <c r="X568">
        <v>13.119461000000001</v>
      </c>
      <c r="Y568">
        <v>1.5</v>
      </c>
      <c r="Z568">
        <f t="shared" si="88"/>
        <v>1.5</v>
      </c>
      <c r="AA568" s="21">
        <f>IF(X568&gt;$B$8+$B$9,0,ABS(X568-O568)/X568)</f>
        <v>1.6533503836797466E-2</v>
      </c>
      <c r="AB568">
        <f>IF(OR(Z565&lt;&gt;Z571,X568&gt;$B$8+$B$9),0,((X571-X565)/(W571-W565)-(O571-O565)/(W571-W565))^2)</f>
        <v>2.4593394433863842E-7</v>
      </c>
    </row>
    <row r="569" spans="7:28" x14ac:dyDescent="0.2">
      <c r="G569" s="21"/>
      <c r="H569" s="21">
        <v>454</v>
      </c>
      <c r="I569">
        <f t="shared" si="94"/>
        <v>1.8423041378210669E-2</v>
      </c>
      <c r="J569">
        <f t="shared" si="95"/>
        <v>0.70957906743066312</v>
      </c>
      <c r="K569">
        <f t="shared" si="89"/>
        <v>28.0225862728369</v>
      </c>
      <c r="L569">
        <f>0.5*Z569*K569/J569/$B$7</f>
        <v>29.618883461047638</v>
      </c>
      <c r="M569">
        <f t="shared" si="92"/>
        <v>0.34308334753311603</v>
      </c>
      <c r="N569" s="21">
        <f t="shared" si="96"/>
        <v>4.8101104409956283E-2</v>
      </c>
      <c r="O569" s="21">
        <f t="shared" si="97"/>
        <v>13.354794700158427</v>
      </c>
      <c r="P569">
        <f t="shared" si="93"/>
        <v>0.43048618134883765</v>
      </c>
      <c r="Q569">
        <f t="shared" si="90"/>
        <v>0.70957906743066312</v>
      </c>
      <c r="R569">
        <f t="shared" si="91"/>
        <v>-1.7988983851280969</v>
      </c>
      <c r="T569" s="21">
        <f>(M569-M568)/(H569-H568)</f>
        <v>8.8569090420254071E-4</v>
      </c>
      <c r="W569">
        <v>454</v>
      </c>
      <c r="X569">
        <v>13.138930999999999</v>
      </c>
      <c r="Y569">
        <v>1.5</v>
      </c>
      <c r="Z569">
        <f t="shared" si="88"/>
        <v>1.5</v>
      </c>
      <c r="AA569" s="21">
        <f>IF(X569&gt;$B$8+$B$9,0,ABS(X569-O569)/X569)</f>
        <v>1.6429319870728282E-2</v>
      </c>
      <c r="AB569">
        <f>IF(OR(Z566&lt;&gt;Z572,X569&gt;$B$8+$B$9),0,((X572-X566)/(W572-W566)-(O572-O566)/(W572-W566))^2)</f>
        <v>5.9953012588577081E-8</v>
      </c>
    </row>
    <row r="570" spans="7:28" x14ac:dyDescent="0.2">
      <c r="G570" s="21"/>
      <c r="H570" s="21">
        <v>455</v>
      </c>
      <c r="I570">
        <f t="shared" si="94"/>
        <v>1.8403710044754624E-2</v>
      </c>
      <c r="J570">
        <f t="shared" si="95"/>
        <v>0.70895086064330082</v>
      </c>
      <c r="K570">
        <f t="shared" si="89"/>
        <v>27.998285162885889</v>
      </c>
      <c r="L570">
        <f>0.5*Z570*K570/J570/$B$7</f>
        <v>29.619420805992419</v>
      </c>
      <c r="M570">
        <f t="shared" si="92"/>
        <v>0.34396906283033762</v>
      </c>
      <c r="N570" s="21">
        <f t="shared" si="96"/>
        <v>4.815288374924831E-2</v>
      </c>
      <c r="O570" s="21">
        <f t="shared" si="97"/>
        <v>13.373198410203182</v>
      </c>
      <c r="P570">
        <f t="shared" si="93"/>
        <v>0.43141736195829483</v>
      </c>
      <c r="Q570">
        <f t="shared" si="90"/>
        <v>0.70895086064330082</v>
      </c>
      <c r="R570">
        <f t="shared" si="91"/>
        <v>-1.8183087871315133</v>
      </c>
      <c r="T570" s="21">
        <f>(M570-M569)/(H570-H569)</f>
        <v>8.8571529722158981E-4</v>
      </c>
      <c r="W570">
        <v>455</v>
      </c>
      <c r="X570">
        <v>13.147043</v>
      </c>
      <c r="Y570">
        <v>1.5</v>
      </c>
      <c r="Z570">
        <f t="shared" si="88"/>
        <v>1.5</v>
      </c>
      <c r="AA570" s="21">
        <f>IF(X570&gt;$B$8+$B$9,0,ABS(X570-O570)/X570)</f>
        <v>1.7201998213832722E-2</v>
      </c>
      <c r="AB570">
        <f>IF(OR(Z567&lt;&gt;Z573,X570&gt;$B$8+$B$9),0,((X573-X567)/(W573-W567)-(O573-O567)/(W573-W567))^2)</f>
        <v>2.6528199961467806E-6</v>
      </c>
    </row>
    <row r="571" spans="7:28" x14ac:dyDescent="0.2">
      <c r="G571" s="21"/>
      <c r="H571" s="21">
        <v>456</v>
      </c>
      <c r="I571">
        <f t="shared" si="94"/>
        <v>1.8384581285842302E-2</v>
      </c>
      <c r="J571">
        <f t="shared" si="95"/>
        <v>0.70832318840330988</v>
      </c>
      <c r="K571">
        <f t="shared" si="89"/>
        <v>27.974101252450058</v>
      </c>
      <c r="L571">
        <f>0.5*Z571*K571/J571/$B$7</f>
        <v>29.620060846280641</v>
      </c>
      <c r="M571">
        <f t="shared" si="92"/>
        <v>0.34485480864844476</v>
      </c>
      <c r="N571" s="21">
        <f t="shared" si="96"/>
        <v>4.8204574903979884E-2</v>
      </c>
      <c r="O571" s="21">
        <f t="shared" si="97"/>
        <v>13.391582991489024</v>
      </c>
      <c r="P571">
        <f t="shared" si="93"/>
        <v>0.43234775021695737</v>
      </c>
      <c r="Q571">
        <f t="shared" si="90"/>
        <v>0.70832318840330988</v>
      </c>
      <c r="R571">
        <f t="shared" si="91"/>
        <v>-1.8381255801933838</v>
      </c>
      <c r="T571" s="21">
        <f>(M571-M570)/(H571-H570)</f>
        <v>8.8574581810713093E-4</v>
      </c>
      <c r="W571">
        <v>456</v>
      </c>
      <c r="X571">
        <v>13.166512999999998</v>
      </c>
      <c r="Y571">
        <v>1.5</v>
      </c>
      <c r="Z571">
        <f t="shared" si="88"/>
        <v>1.5</v>
      </c>
      <c r="AA571" s="21">
        <f>IF(X571&gt;$B$8+$B$9,0,ABS(X571-O571)/X571)</f>
        <v>1.7094122907790815E-2</v>
      </c>
      <c r="AB571">
        <f>IF(OR(Z568&lt;&gt;Z574,X571&gt;$B$8+$B$9),0,((X574-X568)/(W574-W568)-(O574-O568)/(W574-W568))^2)</f>
        <v>1.7939497942017979E-6</v>
      </c>
    </row>
    <row r="572" spans="7:28" x14ac:dyDescent="0.2">
      <c r="G572" s="21"/>
      <c r="H572" s="21">
        <v>457</v>
      </c>
      <c r="I572">
        <f t="shared" si="94"/>
        <v>1.8365653418705476E-2</v>
      </c>
      <c r="J572">
        <f t="shared" si="95"/>
        <v>0.70769604596071434</v>
      </c>
      <c r="K572">
        <f t="shared" si="89"/>
        <v>27.950033614568486</v>
      </c>
      <c r="L572">
        <f>0.5*Z572*K572/J572/$B$7</f>
        <v>29.620803070150316</v>
      </c>
      <c r="M572">
        <f t="shared" si="92"/>
        <v>0.34574059108470162</v>
      </c>
      <c r="N572" s="21">
        <f t="shared" si="96"/>
        <v>4.8256178635079854E-2</v>
      </c>
      <c r="O572" s="21">
        <f t="shared" si="97"/>
        <v>13.409948644907729</v>
      </c>
      <c r="P572">
        <f t="shared" si="93"/>
        <v>0.43327735316563709</v>
      </c>
      <c r="Q572">
        <f t="shared" si="90"/>
        <v>0.70769604596071434</v>
      </c>
      <c r="R572">
        <f t="shared" si="91"/>
        <v>-1.8583617948131497</v>
      </c>
      <c r="T572" s="21">
        <f>(M572-M571)/(H572-H571)</f>
        <v>8.8578243625686559E-4</v>
      </c>
      <c r="W572">
        <v>457</v>
      </c>
      <c r="X572">
        <v>13.181114999999998</v>
      </c>
      <c r="Y572">
        <v>1.5</v>
      </c>
      <c r="Z572">
        <f t="shared" si="88"/>
        <v>1.5</v>
      </c>
      <c r="AA572" s="21">
        <f>IF(X572&gt;$B$8+$B$9,0,ABS(X572-O572)/X572)</f>
        <v>1.7360719856228449E-2</v>
      </c>
      <c r="AB572">
        <f>IF(OR(Z569&lt;&gt;Z575,X572&gt;$B$8+$B$9),0,((X575-X569)/(W575-W569)-(O575-O569)/(W575-W569))^2)</f>
        <v>3.4647615509726572E-6</v>
      </c>
    </row>
    <row r="573" spans="7:28" x14ac:dyDescent="0.2">
      <c r="G573" s="21"/>
      <c r="H573" s="21">
        <v>458</v>
      </c>
      <c r="I573">
        <f t="shared" si="94"/>
        <v>1.8346924784542584E-2</v>
      </c>
      <c r="J573">
        <f t="shared" si="95"/>
        <v>0.70706942860242283</v>
      </c>
      <c r="K573">
        <f t="shared" si="89"/>
        <v>27.926081333122262</v>
      </c>
      <c r="L573">
        <f>0.5*Z573*K573/J573/$B$7</f>
        <v>29.621646973537288</v>
      </c>
      <c r="M573">
        <f t="shared" si="92"/>
        <v>0.34662641620629614</v>
      </c>
      <c r="N573" s="21">
        <f t="shared" si="96"/>
        <v>4.8307695696956983E-2</v>
      </c>
      <c r="O573" s="21">
        <f t="shared" si="97"/>
        <v>13.428295569692272</v>
      </c>
      <c r="P573">
        <f t="shared" si="93"/>
        <v>0.43420617779047166</v>
      </c>
      <c r="Q573">
        <f t="shared" si="90"/>
        <v>0.70706942860242283</v>
      </c>
      <c r="R573">
        <f t="shared" si="91"/>
        <v>-1.8790310237977701</v>
      </c>
      <c r="T573" s="21">
        <f>(M573-M572)/(H573-H572)</f>
        <v>8.8582512159451898E-4</v>
      </c>
      <c r="W573">
        <v>458</v>
      </c>
      <c r="X573">
        <v>13.197340000000001</v>
      </c>
      <c r="Y573">
        <v>1.5</v>
      </c>
      <c r="Z573">
        <f t="shared" si="88"/>
        <v>1.5</v>
      </c>
      <c r="AA573" s="21">
        <f>IF(X573&gt;$B$8+$B$9,0,ABS(X573-O573)/X573)</f>
        <v>1.7500160615114245E-2</v>
      </c>
      <c r="AB573">
        <f>IF(OR(Z570&lt;&gt;Z576,X573&gt;$B$8+$B$9),0,((X576-X570)/(W576-W570)-(O576-O570)/(W576-W570))^2)</f>
        <v>2.4067690916785024E-7</v>
      </c>
    </row>
    <row r="574" spans="7:28" x14ac:dyDescent="0.2">
      <c r="G574" s="21"/>
      <c r="H574" s="21">
        <v>459</v>
      </c>
      <c r="I574">
        <f t="shared" si="94"/>
        <v>1.8328393748124179E-2</v>
      </c>
      <c r="J574">
        <f t="shared" si="95"/>
        <v>0.70644333165173734</v>
      </c>
      <c r="K574">
        <f t="shared" si="89"/>
        <v>27.902243502670892</v>
      </c>
      <c r="L574">
        <f>0.5*Z574*K574/J574/$B$7</f>
        <v>29.622592059966685</v>
      </c>
      <c r="M574">
        <f t="shared" si="92"/>
        <v>0.3475122900508566</v>
      </c>
      <c r="N574" s="21">
        <f t="shared" si="96"/>
        <v>4.8359126837592824E-2</v>
      </c>
      <c r="O574" s="21">
        <f t="shared" si="97"/>
        <v>13.446623963440397</v>
      </c>
      <c r="P574">
        <f t="shared" si="93"/>
        <v>0.43513423102365367</v>
      </c>
      <c r="Q574">
        <f t="shared" si="90"/>
        <v>0.70644333165173734</v>
      </c>
      <c r="R574">
        <f t="shared" si="91"/>
        <v>-1.9001474529340541</v>
      </c>
      <c r="T574" s="21">
        <f>(M574-M573)/(H574-H573)</f>
        <v>8.8587384456045859E-4</v>
      </c>
      <c r="W574">
        <v>459</v>
      </c>
      <c r="X574">
        <v>13.221677</v>
      </c>
      <c r="Y574">
        <v>1.5</v>
      </c>
      <c r="Z574">
        <f t="shared" ref="Z574:Z637" si="98">Y574</f>
        <v>1.5</v>
      </c>
      <c r="AA574" s="21">
        <f>IF(X574&gt;$B$8+$B$9,0,ABS(X574-O574)/X574)</f>
        <v>1.7013497110873067E-2</v>
      </c>
      <c r="AB574">
        <f>IF(OR(Z571&lt;&gt;Z577,X574&gt;$B$8+$B$9),0,((X577-X571)/(W577-W571)-(O577-O571)/(W577-W571))^2)</f>
        <v>7.7413047637892299E-7</v>
      </c>
    </row>
    <row r="575" spans="7:28" x14ac:dyDescent="0.2">
      <c r="G575" s="21"/>
      <c r="H575" s="21">
        <v>460</v>
      </c>
      <c r="I575">
        <f t="shared" si="94"/>
        <v>1.8310058697406248E-2</v>
      </c>
      <c r="J575">
        <f t="shared" si="95"/>
        <v>0.70581775046786943</v>
      </c>
      <c r="K575">
        <f t="shared" si="89"/>
        <v>27.878519228291761</v>
      </c>
      <c r="L575">
        <f>0.5*Z575*K575/J575/$B$7</f>
        <v>29.623637840446527</v>
      </c>
      <c r="M575">
        <f t="shared" si="92"/>
        <v>0.34839821862696041</v>
      </c>
      <c r="N575" s="21">
        <f t="shared" si="96"/>
        <v>4.8410472798633114E-2</v>
      </c>
      <c r="O575" s="21">
        <f t="shared" si="97"/>
        <v>13.464934022137802</v>
      </c>
      <c r="P575">
        <f t="shared" si="93"/>
        <v>0.43606151974414803</v>
      </c>
      <c r="Q575">
        <f t="shared" si="90"/>
        <v>0.70581775046786943</v>
      </c>
      <c r="R575">
        <f t="shared" si="91"/>
        <v>-1.9217258936906956</v>
      </c>
      <c r="T575" s="21">
        <f>(M575-M574)/(H575-H574)</f>
        <v>8.8592857610381159E-4</v>
      </c>
      <c r="W575">
        <v>460</v>
      </c>
      <c r="X575">
        <v>13.237901999999998</v>
      </c>
      <c r="Y575">
        <v>1.5</v>
      </c>
      <c r="Z575">
        <f t="shared" si="98"/>
        <v>1.5</v>
      </c>
      <c r="AA575" s="21">
        <f>IF(X575&gt;$B$8+$B$9,0,ABS(X575-O575)/X575)</f>
        <v>1.7150151295711659E-2</v>
      </c>
      <c r="AB575">
        <f>IF(OR(Z572&lt;&gt;Z578,X575&gt;$B$8+$B$9),0,((X578-X572)/(W578-W572)-(O578-O572)/(W578-W572))^2)</f>
        <v>9.8952065585705978E-7</v>
      </c>
    </row>
    <row r="576" spans="7:28" x14ac:dyDescent="0.2">
      <c r="G576" s="21"/>
      <c r="H576" s="21">
        <v>461</v>
      </c>
      <c r="I576">
        <f t="shared" si="94"/>
        <v>1.829191804315149E-2</v>
      </c>
      <c r="J576">
        <f t="shared" si="95"/>
        <v>0.70519268044546246</v>
      </c>
      <c r="K576">
        <f t="shared" si="89"/>
        <v>27.854907625422538</v>
      </c>
      <c r="L576">
        <f>0.5*Z576*K576/J576/$B$7</f>
        <v>29.624783833363349</v>
      </c>
      <c r="M576">
        <f t="shared" si="92"/>
        <v>0.34928420791463871</v>
      </c>
      <c r="N576" s="21">
        <f t="shared" si="96"/>
        <v>4.8461734315477956E-2</v>
      </c>
      <c r="O576" s="21">
        <f t="shared" si="97"/>
        <v>13.483225940180954</v>
      </c>
      <c r="P576">
        <f t="shared" si="93"/>
        <v>0.43698805077839903</v>
      </c>
      <c r="Q576">
        <f t="shared" si="90"/>
        <v>0.70519268044546246</v>
      </c>
      <c r="R576">
        <f t="shared" si="91"/>
        <v>-1.943781818108486</v>
      </c>
      <c r="T576" s="21">
        <f>(M576-M575)/(H576-H575)</f>
        <v>8.8598928767830154E-4</v>
      </c>
      <c r="W576">
        <v>461</v>
      </c>
      <c r="X576">
        <v>13.254127</v>
      </c>
      <c r="Y576">
        <v>1.5</v>
      </c>
      <c r="Z576">
        <f t="shared" si="98"/>
        <v>1.5</v>
      </c>
      <c r="AA576" s="21">
        <f>IF(X576&gt;$B$8+$B$9,0,ABS(X576-O576)/X576)</f>
        <v>1.7285102231248729E-2</v>
      </c>
      <c r="AB576">
        <f>IF(OR(Z573&lt;&gt;Z579,X576&gt;$B$8+$B$9),0,((X579-X573)/(W579-W573)-(O579-O573)/(W579-W573))^2)</f>
        <v>2.7401355474695001E-8</v>
      </c>
    </row>
    <row r="577" spans="7:28" x14ac:dyDescent="0.2">
      <c r="G577" s="21"/>
      <c r="H577" s="21">
        <v>462</v>
      </c>
      <c r="I577">
        <f t="shared" si="94"/>
        <v>1.8273970218558356E-2</v>
      </c>
      <c r="J577">
        <f t="shared" si="95"/>
        <v>0.70456811701412381</v>
      </c>
      <c r="K577">
        <f t="shared" si="89"/>
        <v>27.831407819706563</v>
      </c>
      <c r="L577">
        <f>0.5*Z577*K577/J577/$B$7</f>
        <v>29.62602956437992</v>
      </c>
      <c r="M577">
        <f t="shared" si="92"/>
        <v>0.35017026386586952</v>
      </c>
      <c r="N577" s="21">
        <f t="shared" si="96"/>
        <v>4.851291211736998E-2</v>
      </c>
      <c r="O577" s="21">
        <f t="shared" si="97"/>
        <v>13.501499910399513</v>
      </c>
      <c r="P577">
        <f t="shared" si="93"/>
        <v>0.43791383090102481</v>
      </c>
      <c r="Q577">
        <f t="shared" si="90"/>
        <v>0.70456811701412381</v>
      </c>
      <c r="R577">
        <f t="shared" si="91"/>
        <v>-1.9663313960513908</v>
      </c>
      <c r="T577" s="21">
        <f>(M577-M576)/(H577-H576)</f>
        <v>8.8605595123081304E-4</v>
      </c>
      <c r="W577">
        <v>462</v>
      </c>
      <c r="X577">
        <v>13.281708999999999</v>
      </c>
      <c r="Y577">
        <v>1.5</v>
      </c>
      <c r="Z577">
        <f t="shared" si="98"/>
        <v>1.5</v>
      </c>
      <c r="AA577" s="21">
        <f>IF(X577&gt;$B$8+$B$9,0,ABS(X577-O577)/X577)</f>
        <v>1.6548390752990728E-2</v>
      </c>
      <c r="AB577">
        <f>IF(OR(Z574&lt;&gt;Z580,X577&gt;$B$8+$B$9),0,((X580-X574)/(W580-W574)-(O580-O574)/(W580-W574))^2)</f>
        <v>8.7264371973568835E-7</v>
      </c>
    </row>
    <row r="578" spans="7:28" x14ac:dyDescent="0.2">
      <c r="G578" s="21"/>
      <c r="H578" s="21">
        <v>463</v>
      </c>
      <c r="I578">
        <f t="shared" si="94"/>
        <v>1.8256213678897699E-2</v>
      </c>
      <c r="J578">
        <f t="shared" si="95"/>
        <v>0.70394405563796214</v>
      </c>
      <c r="K578">
        <f t="shared" si="89"/>
        <v>27.808018946841038</v>
      </c>
      <c r="L578">
        <f>0.5*Z578*K578/J578/$B$7</f>
        <v>29.627374566334872</v>
      </c>
      <c r="M578">
        <f t="shared" si="92"/>
        <v>0.35105639240506736</v>
      </c>
      <c r="N578" s="21">
        <f t="shared" si="96"/>
        <v>4.8564006927481675E-2</v>
      </c>
      <c r="O578" s="21">
        <f t="shared" si="97"/>
        <v>13.519756124078411</v>
      </c>
      <c r="P578">
        <f t="shared" si="93"/>
        <v>0.43883886683550244</v>
      </c>
      <c r="Q578">
        <f t="shared" si="90"/>
        <v>0.70394405563796214</v>
      </c>
      <c r="R578">
        <f t="shared" si="91"/>
        <v>-1.9893915350070703</v>
      </c>
      <c r="T578" s="21">
        <f>(M578-M577)/(H578-H577)</f>
        <v>8.8612853919783907E-4</v>
      </c>
      <c r="W578">
        <v>463</v>
      </c>
      <c r="X578">
        <v>13.284953999999999</v>
      </c>
      <c r="Y578">
        <v>1.5</v>
      </c>
      <c r="Z578">
        <f t="shared" si="98"/>
        <v>1.5</v>
      </c>
      <c r="AA578" s="21">
        <f>IF(X578&gt;$B$8+$B$9,0,ABS(X578-O578)/X578)</f>
        <v>1.7674289581914377E-2</v>
      </c>
      <c r="AB578">
        <f>IF(OR(Z575&lt;&gt;Z581,X578&gt;$B$8+$B$9),0,((X581-X575)/(W581-W575)-(O581-O575)/(W581-W575))^2)</f>
        <v>1.6027930463007011E-7</v>
      </c>
    </row>
    <row r="579" spans="7:28" x14ac:dyDescent="0.2">
      <c r="G579" s="21"/>
      <c r="H579" s="21">
        <v>464</v>
      </c>
      <c r="I579">
        <f t="shared" si="94"/>
        <v>1.8238646901156546E-2</v>
      </c>
      <c r="J579">
        <f t="shared" si="95"/>
        <v>0.70332049181513301</v>
      </c>
      <c r="K579">
        <f t="shared" ref="K579:K642" si="99">IF(O579&lt;$B$8+$B$9,0.5*(($B$8+$B$9)^2+O579^2)/O579-$B$9,$B$8)</f>
        <v>27.784740152428004</v>
      </c>
      <c r="L579">
        <f>0.5*Z579*K579/J579/$B$7</f>
        <v>29.628818379144274</v>
      </c>
      <c r="M579">
        <f t="shared" si="92"/>
        <v>0.35194259942956468</v>
      </c>
      <c r="N579" s="21">
        <f t="shared" si="96"/>
        <v>4.861501946300089E-2</v>
      </c>
      <c r="O579" s="21">
        <f t="shared" si="97"/>
        <v>13.537994770979568</v>
      </c>
      <c r="P579">
        <f t="shared" si="93"/>
        <v>0.43976316525484205</v>
      </c>
      <c r="Q579">
        <f t="shared" ref="Q579:Q642" si="100">1-B$15*P579</f>
        <v>0.70332049181513301</v>
      </c>
      <c r="R579">
        <f t="shared" ref="R579:R642" si="101">$E$15/(P579+$E$16)</f>
        <v>-2.0129799226427116</v>
      </c>
      <c r="T579" s="21">
        <f>(M579-M578)/(H579-H578)</f>
        <v>8.8620702449732081E-4</v>
      </c>
      <c r="W579">
        <v>464</v>
      </c>
      <c r="X579">
        <v>13.306045999999998</v>
      </c>
      <c r="Y579">
        <v>1.5</v>
      </c>
      <c r="Z579">
        <f t="shared" si="98"/>
        <v>1.5</v>
      </c>
      <c r="AA579" s="21">
        <f>IF(X579&gt;$B$8+$B$9,0,ABS(X579-O579)/X579)</f>
        <v>1.7431832941173446E-2</v>
      </c>
      <c r="AB579">
        <f>IF(OR(Z576&lt;&gt;Z582,X579&gt;$B$8+$B$9),0,((X582-X576)/(W582-W576)-(O582-O576)/(W582-W576))^2)</f>
        <v>8.5323587069057562E-7</v>
      </c>
    </row>
    <row r="580" spans="7:28" x14ac:dyDescent="0.2">
      <c r="G580" s="21"/>
      <c r="H580" s="21">
        <v>465</v>
      </c>
      <c r="I580">
        <f t="shared" si="94"/>
        <v>1.8221268383689374E-2</v>
      </c>
      <c r="J580">
        <f t="shared" si="95"/>
        <v>0.70269742107739153</v>
      </c>
      <c r="K580">
        <f t="shared" si="99"/>
        <v>27.761570591828075</v>
      </c>
      <c r="L580">
        <f>0.5*Z580*K580/J580/$B$7</f>
        <v>29.630360549705102</v>
      </c>
      <c r="M580">
        <f t="shared" ref="M580:M643" si="102">-LN(J580)</f>
        <v>0.35282889081008556</v>
      </c>
      <c r="N580" s="21">
        <f t="shared" si="96"/>
        <v>4.86659504352151E-2</v>
      </c>
      <c r="O580" s="21">
        <f t="shared" si="97"/>
        <v>13.556216039363257</v>
      </c>
      <c r="P580">
        <f t="shared" ref="P580:P643" si="103">MIN(O580/(K580+$B$9),1)</f>
        <v>0.4406867327822499</v>
      </c>
      <c r="Q580">
        <f t="shared" si="100"/>
        <v>0.70269742107739153</v>
      </c>
      <c r="R580">
        <f t="shared" si="101"/>
        <v>-2.0371150723413001</v>
      </c>
      <c r="T580" s="21">
        <f>(M580-M579)/(H580-H579)</f>
        <v>8.8629138052087608E-4</v>
      </c>
      <c r="W580">
        <v>465</v>
      </c>
      <c r="X580">
        <v>13.336873999999998</v>
      </c>
      <c r="Y580">
        <v>1.5</v>
      </c>
      <c r="Z580">
        <f t="shared" si="98"/>
        <v>1.5</v>
      </c>
      <c r="AA580" s="21">
        <f>IF(X580&gt;$B$8+$B$9,0,ABS(X580-O580)/X580)</f>
        <v>1.6446285641092403E-2</v>
      </c>
      <c r="AB580">
        <f>IF(OR(Z577&lt;&gt;Z583,X580&gt;$B$8+$B$9),0,((X583-X577)/(W583-W577)-(O583-O577)/(W583-W577))^2)</f>
        <v>9.7301010439871033E-7</v>
      </c>
    </row>
    <row r="581" spans="7:28" x14ac:dyDescent="0.2">
      <c r="G581" s="21"/>
      <c r="H581" s="21">
        <v>466</v>
      </c>
      <c r="I581">
        <f t="shared" ref="I581:I644" si="104">IF(P580&lt;0.999,MAX(0,MIN(10000000,(L580/$E$8/M580^$E$10)^(1/$E$9)/N580)),0.1)</f>
        <v>1.8204076645876203E-2</v>
      </c>
      <c r="J581">
        <f t="shared" ref="J581:J644" si="105">Q581</f>
        <v>0.70207483898965073</v>
      </c>
      <c r="K581">
        <f t="shared" si="99"/>
        <v>27.738509430016816</v>
      </c>
      <c r="L581">
        <f>0.5*Z581*K581/J581/$B$7</f>
        <v>29.632000631800565</v>
      </c>
      <c r="M581">
        <f t="shared" si="102"/>
        <v>0.35371527239121558</v>
      </c>
      <c r="N581" s="21">
        <f t="shared" ref="N581:N644" si="106">-$B$15*(O581-2*(K581+$B$9))/(K581+$B$9)^2/J581</f>
        <v>4.8716800549594395E-2</v>
      </c>
      <c r="O581" s="21">
        <f t="shared" ref="O581:O644" si="107">O580+I581*(H581-H580)</f>
        <v>13.574420116009133</v>
      </c>
      <c r="P581">
        <f t="shared" si="103"/>
        <v>0.44160957599178247</v>
      </c>
      <c r="Q581">
        <f t="shared" si="100"/>
        <v>0.70207483898965073</v>
      </c>
      <c r="R581">
        <f t="shared" si="101"/>
        <v>-2.0618163719647882</v>
      </c>
      <c r="T581" s="21">
        <f>(M581-M580)/(H581-H580)</f>
        <v>8.8638158113002463E-4</v>
      </c>
      <c r="W581">
        <v>466</v>
      </c>
      <c r="X581">
        <v>13.344985999999999</v>
      </c>
      <c r="Y581">
        <v>1.5</v>
      </c>
      <c r="Z581">
        <f t="shared" si="98"/>
        <v>1.5</v>
      </c>
      <c r="AA581" s="21">
        <f>IF(X581&gt;$B$8+$B$9,0,ABS(X581-O581)/X581)</f>
        <v>1.7192533286219575E-2</v>
      </c>
      <c r="AB581">
        <f>IF(OR(Z578&lt;&gt;Z584,X581&gt;$B$8+$B$9),0,((X584-X578)/(W584-W578)-(O584-O578)/(W584-W578))^2)</f>
        <v>4.3479773972127787E-6</v>
      </c>
    </row>
    <row r="582" spans="7:28" x14ac:dyDescent="0.2">
      <c r="G582" s="21"/>
      <c r="H582" s="21">
        <v>467</v>
      </c>
      <c r="I582">
        <f t="shared" si="104"/>
        <v>1.8187070227787636E-2</v>
      </c>
      <c r="J582">
        <f t="shared" si="105"/>
        <v>0.70145274114954825</v>
      </c>
      <c r="K582">
        <f t="shared" si="99"/>
        <v>27.715555841443752</v>
      </c>
      <c r="L582">
        <f>0.5*Z582*K582/J582/$B$7</f>
        <v>29.633738186007236</v>
      </c>
      <c r="M582">
        <f t="shared" si="102"/>
        <v>0.35460174999186239</v>
      </c>
      <c r="N582" s="21">
        <f t="shared" si="106"/>
        <v>4.8767570505873013E-2</v>
      </c>
      <c r="O582" s="21">
        <f t="shared" si="107"/>
        <v>13.59260718623692</v>
      </c>
      <c r="P582">
        <f t="shared" si="103"/>
        <v>0.44253170140898918</v>
      </c>
      <c r="Q582">
        <f t="shared" si="100"/>
        <v>0.70145274114954825</v>
      </c>
      <c r="R582">
        <f t="shared" si="101"/>
        <v>-2.0871041361140659</v>
      </c>
      <c r="T582" s="21">
        <f>(M582-M581)/(H582-H581)</f>
        <v>8.864776006468067E-4</v>
      </c>
      <c r="W582">
        <v>467</v>
      </c>
      <c r="X582">
        <v>13.357966000000001</v>
      </c>
      <c r="Y582">
        <v>1.5</v>
      </c>
      <c r="Z582">
        <f t="shared" si="98"/>
        <v>1.5</v>
      </c>
      <c r="AA582" s="21">
        <f>IF(X582&gt;$B$8+$B$9,0,ABS(X582-O582)/X582)</f>
        <v>1.7565637331081622E-2</v>
      </c>
      <c r="AB582">
        <f>IF(OR(Z579&lt;&gt;Z585,X582&gt;$B$8+$B$9),0,((X585-X579)/(W585-W579)-(O585-O579)/(W585-W579))^2)</f>
        <v>2.301729910089006E-7</v>
      </c>
    </row>
    <row r="583" spans="7:28" x14ac:dyDescent="0.2">
      <c r="G583" s="21"/>
      <c r="H583" s="21">
        <v>468</v>
      </c>
      <c r="I583">
        <f t="shared" si="104"/>
        <v>1.817024768985661E-2</v>
      </c>
      <c r="J583">
        <f t="shared" si="105"/>
        <v>0.70083112318701846</v>
      </c>
      <c r="K583">
        <f t="shared" si="99"/>
        <v>27.692709009893917</v>
      </c>
      <c r="L583">
        <f>0.5*Z583*K583/J583/$B$7</f>
        <v>29.635572779603908</v>
      </c>
      <c r="M583">
        <f t="shared" si="102"/>
        <v>0.35548832940571179</v>
      </c>
      <c r="N583" s="21">
        <f t="shared" si="106"/>
        <v>4.8818260998129692E-2</v>
      </c>
      <c r="O583" s="21">
        <f t="shared" si="107"/>
        <v>13.610777433926776</v>
      </c>
      <c r="P583">
        <f t="shared" si="103"/>
        <v>0.44345311551154665</v>
      </c>
      <c r="Q583">
        <f t="shared" si="100"/>
        <v>0.70083112318701846</v>
      </c>
      <c r="R583">
        <f t="shared" si="101"/>
        <v>-2.1129996621818972</v>
      </c>
      <c r="T583" s="21">
        <f>(M583-M582)/(H583-H582)</f>
        <v>8.8657941384939765E-4</v>
      </c>
      <c r="W583">
        <v>468</v>
      </c>
      <c r="X583">
        <v>13.396905</v>
      </c>
      <c r="Y583">
        <v>1.5</v>
      </c>
      <c r="Z583">
        <f t="shared" si="98"/>
        <v>1.5</v>
      </c>
      <c r="AA583" s="21">
        <f>IF(X583&gt;$B$8+$B$9,0,ABS(X583-O583)/X583)</f>
        <v>1.5964316678126454E-2</v>
      </c>
      <c r="AB583">
        <f>IF(OR(Z580&lt;&gt;Z586,X583&gt;$B$8+$B$9),0,((X586-X580)/(W586-W580)-(O586-O580)/(W586-W580))^2)</f>
        <v>0</v>
      </c>
    </row>
    <row r="584" spans="7:28" x14ac:dyDescent="0.2">
      <c r="G584" s="21"/>
      <c r="H584" s="21">
        <v>469</v>
      </c>
      <c r="I584">
        <f t="shared" si="104"/>
        <v>1.8153607612556518E-2</v>
      </c>
      <c r="J584">
        <f t="shared" si="105"/>
        <v>0.70020998076387153</v>
      </c>
      <c r="K584">
        <f t="shared" si="99"/>
        <v>27.669968128351901</v>
      </c>
      <c r="L584">
        <f>0.5*Z584*K584/J584/$B$7</f>
        <v>29.637503986482283</v>
      </c>
      <c r="M584">
        <f t="shared" si="102"/>
        <v>0.35637501640167674</v>
      </c>
      <c r="N584" s="21">
        <f t="shared" si="106"/>
        <v>4.8868872714866708E-2</v>
      </c>
      <c r="O584" s="21">
        <f t="shared" si="107"/>
        <v>13.628931041539332</v>
      </c>
      <c r="P584">
        <f t="shared" si="103"/>
        <v>0.44437382472988257</v>
      </c>
      <c r="Q584">
        <f t="shared" si="100"/>
        <v>0.70020998076387153</v>
      </c>
      <c r="R584">
        <f t="shared" si="101"/>
        <v>-2.1395252905238671</v>
      </c>
      <c r="T584" s="21">
        <f>(M584-M583)/(H584-H583)</f>
        <v>8.8668699596494704E-4</v>
      </c>
      <c r="W584">
        <v>469</v>
      </c>
      <c r="X584">
        <v>13.406639999999999</v>
      </c>
      <c r="Y584">
        <v>1.5</v>
      </c>
      <c r="Z584">
        <f t="shared" si="98"/>
        <v>1.5</v>
      </c>
      <c r="AA584" s="21">
        <f>IF(X584&gt;$B$8+$B$9,0,ABS(X584-O584)/X584)</f>
        <v>1.6580667604957858E-2</v>
      </c>
      <c r="AB584">
        <f>IF(OR(Z581&lt;&gt;Z587,X584&gt;$B$8+$B$9),0,((X587-X581)/(W587-W581)-(O587-O581)/(W587-W581))^2)</f>
        <v>0</v>
      </c>
    </row>
    <row r="585" spans="7:28" x14ac:dyDescent="0.2">
      <c r="G585" s="21"/>
      <c r="H585" s="21">
        <v>470</v>
      </c>
      <c r="I585">
        <f t="shared" si="104"/>
        <v>1.8137148596086113E-2</v>
      </c>
      <c r="J585">
        <f t="shared" si="105"/>
        <v>0.69958930957337861</v>
      </c>
      <c r="K585">
        <f t="shared" si="99"/>
        <v>27.647332398868361</v>
      </c>
      <c r="L585">
        <f>0.5*Z585*K585/J585/$B$7</f>
        <v>29.639531387059257</v>
      </c>
      <c r="M585">
        <f t="shared" si="102"/>
        <v>0.35726181672434126</v>
      </c>
      <c r="N585" s="21">
        <f t="shared" si="106"/>
        <v>4.8919406339087569E-2</v>
      </c>
      <c r="O585" s="21">
        <f t="shared" si="107"/>
        <v>13.647068190135418</v>
      </c>
      <c r="P585">
        <f t="shared" si="103"/>
        <v>0.44529383544779022</v>
      </c>
      <c r="Q585">
        <f t="shared" si="100"/>
        <v>0.69958930957337861</v>
      </c>
      <c r="R585">
        <f t="shared" si="101"/>
        <v>-2.1667044691047064</v>
      </c>
      <c r="T585" s="21">
        <f>(M585-M584)/(H585-H584)</f>
        <v>8.8680032266452713E-4</v>
      </c>
      <c r="W585">
        <v>470</v>
      </c>
      <c r="X585">
        <v>13.417998000000001</v>
      </c>
      <c r="Y585">
        <v>1.5</v>
      </c>
      <c r="Z585">
        <f t="shared" si="98"/>
        <v>1.5</v>
      </c>
      <c r="AA585" s="21">
        <f>IF(X585&gt;$B$8+$B$9,0,ABS(X585-O585)/X585)</f>
        <v>1.7071860506717683E-2</v>
      </c>
      <c r="AB585">
        <f>IF(OR(Z582&lt;&gt;Z588,X585&gt;$B$8+$B$9),0,((X588-X582)/(W588-W582)-(O588-O582)/(W588-W582))^2)</f>
        <v>0</v>
      </c>
    </row>
    <row r="586" spans="7:28" x14ac:dyDescent="0.2">
      <c r="G586" s="21"/>
      <c r="H586" s="21">
        <v>471</v>
      </c>
      <c r="I586">
        <f t="shared" si="104"/>
        <v>1.8120869260060277E-2</v>
      </c>
      <c r="J586">
        <f t="shared" si="105"/>
        <v>0.69896910533986367</v>
      </c>
      <c r="K586">
        <f t="shared" si="99"/>
        <v>27.624801032428913</v>
      </c>
      <c r="L586">
        <f>0.5*Z586*K586/J586/$B$7</f>
        <v>19.761103045460608</v>
      </c>
      <c r="M586">
        <f t="shared" si="102"/>
        <v>0.35814873609439724</v>
      </c>
      <c r="N586" s="21">
        <f t="shared" si="106"/>
        <v>4.8969862548373752E-2</v>
      </c>
      <c r="O586" s="21">
        <f t="shared" si="107"/>
        <v>13.665189059395479</v>
      </c>
      <c r="P586">
        <f t="shared" si="103"/>
        <v>0.44621315400303407</v>
      </c>
      <c r="Q586">
        <f t="shared" si="100"/>
        <v>0.69896910533986367</v>
      </c>
      <c r="R586">
        <f t="shared" si="101"/>
        <v>-2.1945618230132178</v>
      </c>
      <c r="T586" s="21">
        <f>(M586-M585)/(H586-H585)</f>
        <v>8.8691937005597188E-4</v>
      </c>
      <c r="W586">
        <v>471</v>
      </c>
      <c r="X586">
        <v>13.432600000000001</v>
      </c>
      <c r="Y586">
        <v>1</v>
      </c>
      <c r="Z586">
        <f t="shared" si="98"/>
        <v>1</v>
      </c>
      <c r="AA586" s="21">
        <f>IF(X586&gt;$B$8+$B$9,0,ABS(X586-O586)/X586)</f>
        <v>1.7315267289689098E-2</v>
      </c>
      <c r="AB586">
        <f>IF(OR(Z583&lt;&gt;Z589,X586&gt;$B$8+$B$9),0,((X589-X583)/(W589-W583)-(O589-O583)/(W589-W583))^2)</f>
        <v>0</v>
      </c>
    </row>
    <row r="587" spans="7:28" x14ac:dyDescent="0.2">
      <c r="G587" s="21"/>
      <c r="H587" s="21">
        <v>472</v>
      </c>
      <c r="I587">
        <f t="shared" si="104"/>
        <v>8.1063474524961741E-3</v>
      </c>
      <c r="J587">
        <f t="shared" si="105"/>
        <v>0.69869162903734749</v>
      </c>
      <c r="K587">
        <f t="shared" si="99"/>
        <v>27.614748762892663</v>
      </c>
      <c r="L587">
        <f>0.5*Z587*K587/J587/$B$7</f>
        <v>19.761757272618304</v>
      </c>
      <c r="M587">
        <f t="shared" si="102"/>
        <v>0.35854579426357486</v>
      </c>
      <c r="N587" s="21">
        <f t="shared" si="106"/>
        <v>4.8992423718685653E-2</v>
      </c>
      <c r="O587" s="21">
        <f t="shared" si="107"/>
        <v>13.673295406847975</v>
      </c>
      <c r="P587">
        <f t="shared" si="103"/>
        <v>0.44662445257172972</v>
      </c>
      <c r="Q587">
        <f t="shared" si="100"/>
        <v>0.69869162903734749</v>
      </c>
      <c r="R587">
        <f t="shared" si="101"/>
        <v>-2.2072583377428101</v>
      </c>
      <c r="T587" s="21">
        <f>(M587-M586)/(H587-H586)</f>
        <v>3.9705816917762204E-4</v>
      </c>
      <c r="W587">
        <v>472</v>
      </c>
      <c r="X587">
        <v>13.429355000000001</v>
      </c>
      <c r="Y587">
        <v>1</v>
      </c>
      <c r="Z587">
        <f t="shared" si="98"/>
        <v>1</v>
      </c>
      <c r="AA587" s="21">
        <f>IF(X587&gt;$B$8+$B$9,0,ABS(X587-O587)/X587)</f>
        <v>1.8164715047593441E-2</v>
      </c>
      <c r="AB587">
        <f>IF(OR(Z584&lt;&gt;Z590,X587&gt;$B$8+$B$9),0,((X590-X584)/(W590-W584)-(O590-O584)/(W590-W584))^2)</f>
        <v>0</v>
      </c>
    </row>
    <row r="588" spans="7:28" x14ac:dyDescent="0.2">
      <c r="G588" s="21"/>
      <c r="H588" s="21">
        <v>473</v>
      </c>
      <c r="I588">
        <f t="shared" si="104"/>
        <v>8.1031460680228862E-3</v>
      </c>
      <c r="J588">
        <f t="shared" si="105"/>
        <v>0.69841424476542679</v>
      </c>
      <c r="K588">
        <f t="shared" si="99"/>
        <v>27.60471716852534</v>
      </c>
      <c r="L588">
        <f>0.5*Z588*K588/J588/$B$7</f>
        <v>19.76242421701809</v>
      </c>
      <c r="M588">
        <f t="shared" si="102"/>
        <v>0.35894287837977062</v>
      </c>
      <c r="N588" s="21">
        <f t="shared" si="106"/>
        <v>4.9014969596421459E-2</v>
      </c>
      <c r="O588" s="21">
        <f t="shared" si="107"/>
        <v>13.681398552915999</v>
      </c>
      <c r="P588">
        <f t="shared" si="103"/>
        <v>0.44703561472498404</v>
      </c>
      <c r="Q588">
        <f t="shared" si="100"/>
        <v>0.69841424476542679</v>
      </c>
      <c r="R588">
        <f t="shared" si="101"/>
        <v>-2.2200983324647048</v>
      </c>
      <c r="T588" s="21">
        <f>(M588-M587)/(H588-H587)</f>
        <v>3.9708411619576722E-4</v>
      </c>
      <c r="W588">
        <v>473</v>
      </c>
      <c r="X588">
        <v>13.430976999999999</v>
      </c>
      <c r="Y588">
        <v>1</v>
      </c>
      <c r="Z588">
        <f t="shared" si="98"/>
        <v>1</v>
      </c>
      <c r="AA588" s="21">
        <f>IF(X588&gt;$B$8+$B$9,0,ABS(X588-O588)/X588)</f>
        <v>1.8645073468296487E-2</v>
      </c>
      <c r="AB588">
        <f>IF(OR(Z585&lt;&gt;Z591,X588&gt;$B$8+$B$9),0,((X591-X585)/(W591-W585)-(O591-O585)/(W591-W585))^2)</f>
        <v>0</v>
      </c>
    </row>
    <row r="589" spans="7:28" x14ac:dyDescent="0.2">
      <c r="G589" s="21"/>
      <c r="H589" s="21">
        <v>474</v>
      </c>
      <c r="I589">
        <f t="shared" si="104"/>
        <v>8.099960504714605E-3</v>
      </c>
      <c r="J589">
        <f t="shared" si="105"/>
        <v>0.69813695214756888</v>
      </c>
      <c r="K589">
        <f t="shared" si="99"/>
        <v>27.594706180352127</v>
      </c>
      <c r="L589">
        <f>0.5*Z589*K589/J589/$B$7</f>
        <v>19.763103854814499</v>
      </c>
      <c r="M589">
        <f t="shared" si="102"/>
        <v>0.35933998895060382</v>
      </c>
      <c r="N589" s="21">
        <f t="shared" si="106"/>
        <v>4.9037500241213096E-2</v>
      </c>
      <c r="O589" s="21">
        <f t="shared" si="107"/>
        <v>13.689498513420714</v>
      </c>
      <c r="P589">
        <f t="shared" si="103"/>
        <v>0.44744664102092568</v>
      </c>
      <c r="Q589">
        <f t="shared" si="100"/>
        <v>0.69813695214756888</v>
      </c>
      <c r="R589">
        <f t="shared" si="101"/>
        <v>-2.2330842687245487</v>
      </c>
      <c r="T589" s="21">
        <f>(M589-M588)/(H589-H588)</f>
        <v>3.9711057083319234E-4</v>
      </c>
      <c r="W589">
        <v>474</v>
      </c>
      <c r="X589">
        <v>13.450447</v>
      </c>
      <c r="Y589">
        <v>1</v>
      </c>
      <c r="Z589">
        <f t="shared" si="98"/>
        <v>1</v>
      </c>
      <c r="AA589" s="21">
        <f>IF(X589&gt;$B$8+$B$9,0,ABS(X589-O589)/X589)</f>
        <v>1.777275605938701E-2</v>
      </c>
      <c r="AB589">
        <f>IF(OR(Z586&lt;&gt;Z592,X589&gt;$B$8+$B$9),0,((X592-X586)/(W592-W586)-(O592-O586)/(W592-W586))^2)</f>
        <v>1.2003468179772387E-6</v>
      </c>
    </row>
    <row r="590" spans="7:28" x14ac:dyDescent="0.2">
      <c r="G590" s="21"/>
      <c r="H590" s="21">
        <v>475</v>
      </c>
      <c r="I590">
        <f t="shared" si="104"/>
        <v>8.0967907095887345E-3</v>
      </c>
      <c r="J590">
        <f t="shared" si="105"/>
        <v>0.6978597508084341</v>
      </c>
      <c r="K590">
        <f t="shared" si="99"/>
        <v>27.584715729741422</v>
      </c>
      <c r="L590">
        <f>0.5*Z590*K590/J590/$B$7</f>
        <v>19.763796162327722</v>
      </c>
      <c r="M590">
        <f t="shared" si="102"/>
        <v>0.35973712648279299</v>
      </c>
      <c r="N590" s="21">
        <f t="shared" si="106"/>
        <v>4.9060015712484306E-2</v>
      </c>
      <c r="O590" s="21">
        <f t="shared" si="107"/>
        <v>13.697595304130303</v>
      </c>
      <c r="P590">
        <f t="shared" si="103"/>
        <v>0.44785753201591416</v>
      </c>
      <c r="Q590">
        <f t="shared" si="100"/>
        <v>0.6978597508084341</v>
      </c>
      <c r="R590">
        <f t="shared" si="101"/>
        <v>-2.2462186646621198</v>
      </c>
      <c r="T590" s="21">
        <f>(M590-M589)/(H590-H589)</f>
        <v>3.9713753218917347E-4</v>
      </c>
      <c r="W590">
        <v>475</v>
      </c>
      <c r="X590">
        <v>13.460182</v>
      </c>
      <c r="Y590">
        <v>1</v>
      </c>
      <c r="Z590">
        <f t="shared" si="98"/>
        <v>1</v>
      </c>
      <c r="AA590" s="21">
        <f>IF(X590&gt;$B$8+$B$9,0,ABS(X590-O590)/X590)</f>
        <v>1.7638194203488725E-2</v>
      </c>
      <c r="AB590">
        <f>IF(OR(Z587&lt;&gt;Z593,X590&gt;$B$8+$B$9),0,((X593-X587)/(W593-W587)-(O593-O587)/(W593-W587))^2)</f>
        <v>2.6882840422587212E-6</v>
      </c>
    </row>
    <row r="591" spans="7:28" x14ac:dyDescent="0.2">
      <c r="G591" s="21"/>
      <c r="H591" s="21">
        <v>476</v>
      </c>
      <c r="I591">
        <f t="shared" si="104"/>
        <v>8.0936366299905298E-3</v>
      </c>
      <c r="J591">
        <f t="shared" si="105"/>
        <v>0.69758264037386919</v>
      </c>
      <c r="K591">
        <f t="shared" si="99"/>
        <v>27.574745748402613</v>
      </c>
      <c r="L591">
        <f>0.5*Z591*K591/J591/$B$7</f>
        <v>19.764501116042638</v>
      </c>
      <c r="M591">
        <f t="shared" si="102"/>
        <v>0.36013429148216314</v>
      </c>
      <c r="N591" s="21">
        <f t="shared" si="106"/>
        <v>4.9082516069451937E-2</v>
      </c>
      <c r="O591" s="21">
        <f t="shared" si="107"/>
        <v>13.705688940760293</v>
      </c>
      <c r="P591">
        <f t="shared" si="103"/>
        <v>0.44826828826455084</v>
      </c>
      <c r="Q591">
        <f t="shared" si="100"/>
        <v>0.69758264037386919</v>
      </c>
      <c r="R591">
        <f t="shared" si="101"/>
        <v>-2.2595040966474169</v>
      </c>
      <c r="T591" s="21">
        <f>(M591-M590)/(H591-H590)</f>
        <v>3.971649993701476E-4</v>
      </c>
      <c r="W591">
        <v>476</v>
      </c>
      <c r="X591">
        <v>13.466671999999999</v>
      </c>
      <c r="Y591">
        <v>1</v>
      </c>
      <c r="Z591">
        <f t="shared" si="98"/>
        <v>1</v>
      </c>
      <c r="AA591" s="21">
        <f>IF(X591&gt;$B$8+$B$9,0,ABS(X591-O591)/X591)</f>
        <v>1.7748775700506706E-2</v>
      </c>
      <c r="AB591">
        <f>IF(OR(Z588&lt;&gt;Z594,X591&gt;$B$8+$B$9),0,((X594-X588)/(W594-W588)-(O594-O588)/(W594-W588))^2)</f>
        <v>8.9694962615527916E-6</v>
      </c>
    </row>
    <row r="592" spans="7:28" x14ac:dyDescent="0.2">
      <c r="G592" s="21"/>
      <c r="H592" s="21">
        <v>477</v>
      </c>
      <c r="I592">
        <f t="shared" si="104"/>
        <v>8.0904982135908705E-3</v>
      </c>
      <c r="J592">
        <f t="shared" si="105"/>
        <v>0.69730562047090094</v>
      </c>
      <c r="K592">
        <f t="shared" si="99"/>
        <v>27.564796168383943</v>
      </c>
      <c r="L592">
        <f>0.5*Z592*K592/J592/$B$7</f>
        <v>19.765218692607856</v>
      </c>
      <c r="M592">
        <f t="shared" si="102"/>
        <v>0.36053148445365241</v>
      </c>
      <c r="N592" s="21">
        <f t="shared" si="106"/>
        <v>4.9105001371127152E-2</v>
      </c>
      <c r="O592" s="21">
        <f t="shared" si="107"/>
        <v>13.713779438973884</v>
      </c>
      <c r="P592">
        <f t="shared" si="103"/>
        <v>0.44867891031968804</v>
      </c>
      <c r="Q592">
        <f t="shared" si="100"/>
        <v>0.69730562047090094</v>
      </c>
      <c r="R592">
        <f t="shared" si="101"/>
        <v>-2.2729432009737751</v>
      </c>
      <c r="T592" s="21">
        <f>(M592-M591)/(H592-H591)</f>
        <v>3.9719297148926858E-4</v>
      </c>
      <c r="W592">
        <v>477</v>
      </c>
      <c r="X592">
        <v>13.487763999999999</v>
      </c>
      <c r="Y592">
        <v>1</v>
      </c>
      <c r="Z592">
        <f t="shared" si="98"/>
        <v>1</v>
      </c>
      <c r="AA592" s="21">
        <f>IF(X592&gt;$B$8+$B$9,0,ABS(X592-O592)/X592)</f>
        <v>1.6757072482428158E-2</v>
      </c>
      <c r="AB592">
        <f>IF(OR(Z589&lt;&gt;Z595,X592&gt;$B$8+$B$9),0,((X595-X589)/(W595-W589)-(O595-O589)/(W595-W589))^2)</f>
        <v>4.7816965791466729E-6</v>
      </c>
    </row>
    <row r="593" spans="7:28" x14ac:dyDescent="0.2">
      <c r="G593" s="21"/>
      <c r="H593" s="21">
        <v>478</v>
      </c>
      <c r="I593">
        <f t="shared" si="104"/>
        <v>8.087375408383982E-3</v>
      </c>
      <c r="J593">
        <f t="shared" si="105"/>
        <v>0.69702869072772811</v>
      </c>
      <c r="K593">
        <f t="shared" si="99"/>
        <v>27.554866922070286</v>
      </c>
      <c r="L593">
        <f>0.5*Z593*K593/J593/$B$7</f>
        <v>19.765948868834805</v>
      </c>
      <c r="M593">
        <f t="shared" si="102"/>
        <v>0.36092870590132092</v>
      </c>
      <c r="N593" s="21">
        <f t="shared" si="106"/>
        <v>4.9127471676316883E-2</v>
      </c>
      <c r="O593" s="21">
        <f t="shared" si="107"/>
        <v>13.721866814382267</v>
      </c>
      <c r="P593">
        <f t="shared" si="103"/>
        <v>0.44908939873244008</v>
      </c>
      <c r="Q593">
        <f t="shared" si="100"/>
        <v>0.69702869072772811</v>
      </c>
      <c r="R593">
        <f t="shared" si="101"/>
        <v>-2.2865386756104691</v>
      </c>
      <c r="T593" s="21">
        <f>(M593-M592)/(H593-H592)</f>
        <v>3.9722144766851653E-4</v>
      </c>
      <c r="W593">
        <v>478</v>
      </c>
      <c r="X593">
        <v>13.487763999999999</v>
      </c>
      <c r="Y593">
        <v>1</v>
      </c>
      <c r="Z593">
        <f t="shared" si="98"/>
        <v>1</v>
      </c>
      <c r="AA593" s="21">
        <f>IF(X593&gt;$B$8+$B$9,0,ABS(X593-O593)/X593)</f>
        <v>1.7356680794701655E-2</v>
      </c>
      <c r="AB593">
        <f>IF(OR(Z590&lt;&gt;Z596,X593&gt;$B$8+$B$9),0,((X596-X590)/(W596-W590)-(O596-O590)/(W596-W590))^2)</f>
        <v>3.2185671302547175E-7</v>
      </c>
    </row>
    <row r="594" spans="7:28" x14ac:dyDescent="0.2">
      <c r="G594" s="21"/>
      <c r="H594" s="21">
        <v>479</v>
      </c>
      <c r="I594">
        <f t="shared" si="104"/>
        <v>8.0842681626852406E-3</v>
      </c>
      <c r="J594">
        <f t="shared" si="105"/>
        <v>0.69675185077371626</v>
      </c>
      <c r="K594">
        <f t="shared" si="99"/>
        <v>27.544957942181043</v>
      </c>
      <c r="L594">
        <f>0.5*Z594*K594/J594/$B$7</f>
        <v>19.766691621696751</v>
      </c>
      <c r="M594">
        <f t="shared" si="102"/>
        <v>0.36132595632835623</v>
      </c>
      <c r="N594" s="21">
        <f t="shared" si="106"/>
        <v>4.9149927043624912E-2</v>
      </c>
      <c r="O594" s="21">
        <f t="shared" si="107"/>
        <v>13.729951082544952</v>
      </c>
      <c r="P594">
        <f t="shared" si="103"/>
        <v>0.44949975405219283</v>
      </c>
      <c r="Q594">
        <f t="shared" si="100"/>
        <v>0.69675185077371626</v>
      </c>
      <c r="R594">
        <f t="shared" si="101"/>
        <v>-2.3002932820171411</v>
      </c>
      <c r="T594" s="21">
        <f>(M594-M593)/(H594-H593)</f>
        <v>3.9725042703531166E-4</v>
      </c>
      <c r="W594">
        <v>479</v>
      </c>
      <c r="X594">
        <v>13.497498999999998</v>
      </c>
      <c r="Y594">
        <v>1</v>
      </c>
      <c r="Z594">
        <f t="shared" si="98"/>
        <v>1</v>
      </c>
      <c r="AA594" s="21">
        <f>IF(X594&gt;$B$8+$B$9,0,ABS(X594-O594)/X594)</f>
        <v>1.7221863290744037E-2</v>
      </c>
      <c r="AB594">
        <f>IF(OR(Z591&lt;&gt;Z597,X594&gt;$B$8+$B$9),0,((X597-X591)/(W597-W591)-(O597-O591)/(W597-W591))^2)</f>
        <v>3.4716742441521448E-6</v>
      </c>
    </row>
    <row r="595" spans="7:28" x14ac:dyDescent="0.2">
      <c r="G595" s="21"/>
      <c r="H595" s="21">
        <v>480</v>
      </c>
      <c r="I595">
        <f t="shared" si="104"/>
        <v>8.0811764251289189E-3</v>
      </c>
      <c r="J595">
        <f t="shared" si="105"/>
        <v>0.69647510023938985</v>
      </c>
      <c r="K595">
        <f t="shared" si="99"/>
        <v>27.535069161768</v>
      </c>
      <c r="L595">
        <f>0.5*Z595*K595/J595/$B$7</f>
        <v>19.76744692832791</v>
      </c>
      <c r="M595">
        <f t="shared" si="102"/>
        <v>0.36172323623708202</v>
      </c>
      <c r="N595" s="21">
        <f t="shared" si="106"/>
        <v>4.9172367531453223E-2</v>
      </c>
      <c r="O595" s="21">
        <f t="shared" si="107"/>
        <v>13.738032258970081</v>
      </c>
      <c r="P595">
        <f t="shared" si="103"/>
        <v>0.44990997682661349</v>
      </c>
      <c r="Q595">
        <f t="shared" si="100"/>
        <v>0.69647510023938985</v>
      </c>
      <c r="R595">
        <f t="shared" si="101"/>
        <v>-2.3142098470226666</v>
      </c>
      <c r="T595" s="21">
        <f>(M595-M594)/(H595-H594)</f>
        <v>3.9727990872578944E-4</v>
      </c>
      <c r="W595">
        <v>480</v>
      </c>
      <c r="X595">
        <v>13.512100999999998</v>
      </c>
      <c r="Y595">
        <v>1</v>
      </c>
      <c r="Z595">
        <f t="shared" si="98"/>
        <v>1</v>
      </c>
      <c r="AA595" s="21">
        <f>IF(X595&gt;$B$8+$B$9,0,ABS(X595-O595)/X595)</f>
        <v>1.6720660907588225E-2</v>
      </c>
      <c r="AB595">
        <f>IF(OR(Z592&lt;&gt;Z598,X595&gt;$B$8+$B$9),0,((X598-X592)/(W598-W592)-(O598-O592)/(W598-W592))^2)</f>
        <v>5.6481734039056422E-8</v>
      </c>
    </row>
    <row r="596" spans="7:28" x14ac:dyDescent="0.2">
      <c r="G596" s="21"/>
      <c r="H596" s="21">
        <v>481</v>
      </c>
      <c r="I596">
        <f t="shared" si="104"/>
        <v>8.0781001446660634E-3</v>
      </c>
      <c r="J596">
        <f t="shared" si="105"/>
        <v>0.69619843875642595</v>
      </c>
      <c r="K596">
        <f t="shared" si="99"/>
        <v>27.5252005142132</v>
      </c>
      <c r="L596">
        <f>0.5*Z596*K596/J596/$B$7</f>
        <v>19.768214766022513</v>
      </c>
      <c r="M596">
        <f t="shared" si="102"/>
        <v>0.36212054612896488</v>
      </c>
      <c r="N596" s="21">
        <f t="shared" si="106"/>
        <v>4.9194793198003246E-2</v>
      </c>
      <c r="O596" s="21">
        <f t="shared" si="107"/>
        <v>13.746110359114747</v>
      </c>
      <c r="P596">
        <f t="shared" si="103"/>
        <v>0.45032006760166104</v>
      </c>
      <c r="Q596">
        <f t="shared" si="100"/>
        <v>0.69619843875642595</v>
      </c>
      <c r="R596">
        <f t="shared" si="101"/>
        <v>-2.3282912647711682</v>
      </c>
      <c r="T596" s="21">
        <f>(M596-M595)/(H596-H595)</f>
        <v>3.973098918828577E-4</v>
      </c>
      <c r="W596">
        <v>481</v>
      </c>
      <c r="X596">
        <v>13.512100999999998</v>
      </c>
      <c r="Y596">
        <v>1</v>
      </c>
      <c r="Z596">
        <f t="shared" si="98"/>
        <v>1</v>
      </c>
      <c r="AA596" s="21">
        <f>IF(X596&gt;$B$8+$B$9,0,ABS(X596-O596)/X596)</f>
        <v>1.7318502808315969E-2</v>
      </c>
      <c r="AB596">
        <f>IF(OR(Z593&lt;&gt;Z599,X596&gt;$B$8+$B$9),0,((X599-X593)/(W599-W593)-(O599-O593)/(W599-W593))^2)</f>
        <v>1.926293568758211E-6</v>
      </c>
    </row>
    <row r="597" spans="7:28" x14ac:dyDescent="0.2">
      <c r="G597" s="21"/>
      <c r="H597" s="21">
        <v>482</v>
      </c>
      <c r="I597">
        <f t="shared" si="104"/>
        <v>8.0750392705622939E-3</v>
      </c>
      <c r="J597">
        <f t="shared" si="105"/>
        <v>0.69592186595764804</v>
      </c>
      <c r="K597">
        <f t="shared" si="99"/>
        <v>27.515351933226864</v>
      </c>
      <c r="L597">
        <f>0.5*Z597*K597/J597/$B$7</f>
        <v>19.768995112233888</v>
      </c>
      <c r="M597">
        <f t="shared" si="102"/>
        <v>0.3625178865046208</v>
      </c>
      <c r="N597" s="21">
        <f t="shared" si="106"/>
        <v>4.9217204101277057E-2</v>
      </c>
      <c r="O597" s="21">
        <f t="shared" si="107"/>
        <v>13.754185398385308</v>
      </c>
      <c r="P597">
        <f t="shared" si="103"/>
        <v>0.45073002692159558</v>
      </c>
      <c r="Q597">
        <f t="shared" si="100"/>
        <v>0.69592186595764804</v>
      </c>
      <c r="R597">
        <f t="shared" si="101"/>
        <v>-2.3425404987379195</v>
      </c>
      <c r="T597" s="21">
        <f>(M597-M596)/(H597-H596)</f>
        <v>3.9734037565591906E-4</v>
      </c>
      <c r="W597">
        <v>482</v>
      </c>
      <c r="X597">
        <v>13.503989000000001</v>
      </c>
      <c r="Y597">
        <v>1</v>
      </c>
      <c r="Z597">
        <f t="shared" si="98"/>
        <v>1</v>
      </c>
      <c r="AA597" s="21">
        <f>IF(X597&gt;$B$8+$B$9,0,ABS(X597-O597)/X597)</f>
        <v>1.8527591986731307E-2</v>
      </c>
      <c r="AB597">
        <f>IF(OR(Z594&lt;&gt;Z600,X597&gt;$B$8+$B$9),0,((X600-X594)/(W600-W594)-(O600-O594)/(W600-W594))^2)</f>
        <v>9.566425103762744E-8</v>
      </c>
    </row>
    <row r="598" spans="7:28" x14ac:dyDescent="0.2">
      <c r="G598" s="21"/>
      <c r="H598" s="21">
        <v>483</v>
      </c>
      <c r="I598">
        <f t="shared" si="104"/>
        <v>8.0719937523956679E-3</v>
      </c>
      <c r="J598">
        <f t="shared" si="105"/>
        <v>0.69564538147701838</v>
      </c>
      <c r="K598">
        <f t="shared" si="99"/>
        <v>27.505523352845287</v>
      </c>
      <c r="L598">
        <f>0.5*Z598*K598/J598/$B$7</f>
        <v>19.769787944573576</v>
      </c>
      <c r="M598">
        <f t="shared" si="102"/>
        <v>0.36291525786382395</v>
      </c>
      <c r="N598" s="21">
        <f t="shared" si="106"/>
        <v>4.9239600299078701E-2</v>
      </c>
      <c r="O598" s="21">
        <f t="shared" si="107"/>
        <v>13.762257392137704</v>
      </c>
      <c r="P598">
        <f t="shared" si="103"/>
        <v>0.45113985532898854</v>
      </c>
      <c r="Q598">
        <f t="shared" si="100"/>
        <v>0.69564538147701838</v>
      </c>
      <c r="R598">
        <f t="shared" si="101"/>
        <v>-2.3569605838181715</v>
      </c>
      <c r="T598" s="21">
        <f>(M598-M597)/(H598-H597)</f>
        <v>3.9737135920314692E-4</v>
      </c>
      <c r="W598">
        <v>483</v>
      </c>
      <c r="X598">
        <v>13.534815999999999</v>
      </c>
      <c r="Y598">
        <v>1</v>
      </c>
      <c r="Z598">
        <f t="shared" si="98"/>
        <v>1</v>
      </c>
      <c r="AA598" s="21">
        <f>IF(X598&gt;$B$8+$B$9,0,ABS(X598-O598)/X598)</f>
        <v>1.6804173188442632E-2</v>
      </c>
      <c r="AB598">
        <f>IF(OR(Z595&lt;&gt;Z601,X598&gt;$B$8+$B$9),0,((X601-X595)/(W601-W595)-(O601-O595)/(W601-W595))^2)</f>
        <v>1.9432387297526812E-6</v>
      </c>
    </row>
    <row r="599" spans="7:28" x14ac:dyDescent="0.2">
      <c r="G599" s="21"/>
      <c r="H599" s="21">
        <v>484</v>
      </c>
      <c r="I599">
        <f t="shared" si="104"/>
        <v>8.0689635400545464E-3</v>
      </c>
      <c r="J599">
        <f t="shared" si="105"/>
        <v>0.69536898494963273</v>
      </c>
      <c r="K599">
        <f t="shared" si="99"/>
        <v>27.49571470742881</v>
      </c>
      <c r="L599">
        <f>0.5*Z599*K599/J599/$B$7</f>
        <v>19.77059324081041</v>
      </c>
      <c r="M599">
        <f t="shared" si="102"/>
        <v>0.36331266070551171</v>
      </c>
      <c r="N599" s="21">
        <f t="shared" si="106"/>
        <v>4.9261981849015271E-2</v>
      </c>
      <c r="O599" s="21">
        <f t="shared" si="107"/>
        <v>13.770326355677758</v>
      </c>
      <c r="P599">
        <f t="shared" si="103"/>
        <v>0.45154955336473168</v>
      </c>
      <c r="Q599">
        <f t="shared" si="100"/>
        <v>0.69536898494963273</v>
      </c>
      <c r="R599">
        <f t="shared" si="101"/>
        <v>-2.371554628491904</v>
      </c>
      <c r="T599" s="21">
        <f>(M599-M598)/(H599-H598)</f>
        <v>3.9740284168776618E-4</v>
      </c>
      <c r="W599">
        <v>484</v>
      </c>
      <c r="X599">
        <v>13.544550999999998</v>
      </c>
      <c r="Y599">
        <v>1</v>
      </c>
      <c r="Z599">
        <f t="shared" si="98"/>
        <v>1</v>
      </c>
      <c r="AA599" s="21">
        <f>IF(X599&gt;$B$8+$B$9,0,ABS(X599-O599)/X599)</f>
        <v>1.6669091184917075E-2</v>
      </c>
      <c r="AB599">
        <f>IF(OR(Z596&lt;&gt;Z602,X599&gt;$B$8+$B$9),0,((X602-X596)/(W602-W596)-(O602-O596)/(W602-W596))^2)</f>
        <v>1.9516750217684984E-6</v>
      </c>
    </row>
    <row r="600" spans="7:28" x14ac:dyDescent="0.2">
      <c r="G600" s="21"/>
      <c r="H600" s="21">
        <v>485</v>
      </c>
      <c r="I600">
        <f t="shared" si="104"/>
        <v>8.0659485837354869E-3</v>
      </c>
      <c r="J600">
        <f t="shared" si="105"/>
        <v>0.69509267601171254</v>
      </c>
      <c r="K600">
        <f t="shared" si="99"/>
        <v>27.485925931659718</v>
      </c>
      <c r="L600">
        <f>0.5*Z600*K600/J600/$B$7</f>
        <v>19.771410978869653</v>
      </c>
      <c r="M600">
        <f t="shared" si="102"/>
        <v>0.36371009552779393</v>
      </c>
      <c r="N600" s="21">
        <f t="shared" si="106"/>
        <v>4.9284348808498309E-2</v>
      </c>
      <c r="O600" s="21">
        <f t="shared" si="107"/>
        <v>13.778392304261494</v>
      </c>
      <c r="P600">
        <f t="shared" si="103"/>
        <v>0.45195912156804774</v>
      </c>
      <c r="Q600">
        <f t="shared" si="100"/>
        <v>0.69509267601171254</v>
      </c>
      <c r="R600">
        <f t="shared" si="101"/>
        <v>-2.3863258170678612</v>
      </c>
      <c r="T600" s="21">
        <f>(M600-M599)/(H600-H599)</f>
        <v>3.974348222822166E-4</v>
      </c>
      <c r="W600">
        <v>485</v>
      </c>
      <c r="X600">
        <v>13.547795999999998</v>
      </c>
      <c r="Y600">
        <v>1</v>
      </c>
      <c r="Z600">
        <f t="shared" si="98"/>
        <v>1</v>
      </c>
      <c r="AA600" s="21">
        <f>IF(X600&gt;$B$8+$B$9,0,ABS(X600-O600)/X600)</f>
        <v>1.7020946009335857E-2</v>
      </c>
      <c r="AB600">
        <f>IF(OR(Z597&lt;&gt;Z603,X600&gt;$B$8+$B$9),0,((X603-X597)/(W603-W597)-(O603-O597)/(W603-W597))^2)</f>
        <v>6.158823549411863E-6</v>
      </c>
    </row>
    <row r="601" spans="7:28" x14ac:dyDescent="0.2">
      <c r="G601" s="21"/>
      <c r="H601" s="21">
        <v>486</v>
      </c>
      <c r="I601">
        <f t="shared" si="104"/>
        <v>8.0629488339411491E-3</v>
      </c>
      <c r="J601">
        <f t="shared" si="105"/>
        <v>0.69481645430059968</v>
      </c>
      <c r="K601">
        <f t="shared" si="99"/>
        <v>27.476156960540266</v>
      </c>
      <c r="L601">
        <f>0.5*Z601*K601/J601/$B$7</f>
        <v>19.772241136832093</v>
      </c>
      <c r="M601">
        <f t="shared" si="102"/>
        <v>0.36410756282795803</v>
      </c>
      <c r="N601" s="21">
        <f t="shared" si="106"/>
        <v>4.9306701234744843E-2</v>
      </c>
      <c r="O601" s="21">
        <f t="shared" si="107"/>
        <v>13.786455253095436</v>
      </c>
      <c r="P601">
        <f t="shared" si="103"/>
        <v>0.45236856047649904</v>
      </c>
      <c r="Q601">
        <f t="shared" si="100"/>
        <v>0.69481645430059968</v>
      </c>
      <c r="R601">
        <f t="shared" si="101"/>
        <v>-2.4012774120101366</v>
      </c>
      <c r="T601" s="21">
        <f>(M601-M600)/(H601-H600)</f>
        <v>3.9746730016410048E-4</v>
      </c>
      <c r="W601">
        <v>486</v>
      </c>
      <c r="X601">
        <v>13.568887999999998</v>
      </c>
      <c r="Y601">
        <v>1</v>
      </c>
      <c r="Z601">
        <f t="shared" si="98"/>
        <v>1</v>
      </c>
      <c r="AA601" s="21">
        <f>IF(X601&gt;$B$8+$B$9,0,ABS(X601-O601)/X601)</f>
        <v>1.603427289660278E-2</v>
      </c>
      <c r="AB601">
        <f>IF(OR(Z598&lt;&gt;Z604,X601&gt;$B$8+$B$9),0,((X604-X598)/(W604-W598)-(O604-O598)/(W604-W598))^2)</f>
        <v>3.7785785526719684E-6</v>
      </c>
    </row>
    <row r="602" spans="7:28" x14ac:dyDescent="0.2">
      <c r="G602" s="21"/>
      <c r="H602" s="21">
        <v>487</v>
      </c>
      <c r="I602">
        <f t="shared" si="104"/>
        <v>8.0599642414782274E-3</v>
      </c>
      <c r="J602">
        <f t="shared" si="105"/>
        <v>0.69454031945474948</v>
      </c>
      <c r="K602">
        <f t="shared" si="99"/>
        <v>27.466407729390614</v>
      </c>
      <c r="L602">
        <f>0.5*Z602*K602/J602/$B$7</f>
        <v>19.773083692933177</v>
      </c>
      <c r="M602">
        <f t="shared" si="102"/>
        <v>0.36450506310247677</v>
      </c>
      <c r="N602" s="21">
        <f t="shared" si="106"/>
        <v>4.9329039184778663E-2</v>
      </c>
      <c r="O602" s="21">
        <f t="shared" si="107"/>
        <v>13.794515217336915</v>
      </c>
      <c r="P602">
        <f t="shared" si="103"/>
        <v>0.45277787062599756</v>
      </c>
      <c r="Q602">
        <f t="shared" si="100"/>
        <v>0.69454031945474948</v>
      </c>
      <c r="R602">
        <f t="shared" si="101"/>
        <v>-2.4164127563510016</v>
      </c>
      <c r="T602" s="21">
        <f>(M602-M601)/(H602-H601)</f>
        <v>3.9750027451873615E-4</v>
      </c>
      <c r="W602">
        <v>487</v>
      </c>
      <c r="X602">
        <v>13.568887999999998</v>
      </c>
      <c r="Y602">
        <v>1</v>
      </c>
      <c r="Z602">
        <f t="shared" si="98"/>
        <v>1</v>
      </c>
      <c r="AA602" s="21">
        <f>IF(X602&gt;$B$8+$B$9,0,ABS(X602-O602)/X602)</f>
        <v>1.6628276196024142E-2</v>
      </c>
      <c r="AB602">
        <f>IF(OR(Z599&lt;&gt;Z605,X602&gt;$B$8+$B$9),0,((X605-X599)/(W605-W599)-(O605-O599)/(W605-W599))^2)</f>
        <v>2.8100947460871798E-6</v>
      </c>
    </row>
    <row r="603" spans="7:28" x14ac:dyDescent="0.2">
      <c r="G603" s="21"/>
      <c r="H603" s="21">
        <v>488</v>
      </c>
      <c r="I603">
        <f t="shared" si="104"/>
        <v>8.0569947574553862E-3</v>
      </c>
      <c r="J603">
        <f t="shared" si="105"/>
        <v>0.69426427111372391</v>
      </c>
      <c r="K603">
        <f t="shared" si="99"/>
        <v>27.456678173846864</v>
      </c>
      <c r="L603">
        <f>0.5*Z603*K603/J603/$B$7</f>
        <v>19.77393862556217</v>
      </c>
      <c r="M603">
        <f t="shared" si="102"/>
        <v>0.36490259684701598</v>
      </c>
      <c r="N603" s="21">
        <f t="shared" si="106"/>
        <v>4.9351362715431564E-2</v>
      </c>
      <c r="O603" s="21">
        <f t="shared" si="107"/>
        <v>13.80257221209437</v>
      </c>
      <c r="P603">
        <f t="shared" si="103"/>
        <v>0.45318705255081404</v>
      </c>
      <c r="Q603">
        <f t="shared" si="100"/>
        <v>0.69426427111372391</v>
      </c>
      <c r="R603">
        <f t="shared" si="101"/>
        <v>-2.4317352761936446</v>
      </c>
      <c r="T603" s="21">
        <f>(M603-M602)/(H603-H602)</f>
        <v>3.9753374453921353E-4</v>
      </c>
      <c r="W603">
        <v>488</v>
      </c>
      <c r="X603">
        <v>13.567266</v>
      </c>
      <c r="Y603">
        <v>1</v>
      </c>
      <c r="Z603">
        <f t="shared" si="98"/>
        <v>1</v>
      </c>
      <c r="AA603" s="21">
        <f>IF(X603&gt;$B$8+$B$9,0,ABS(X603-O603)/X603)</f>
        <v>1.734367204817611E-2</v>
      </c>
      <c r="AB603">
        <f>IF(OR(Z600&lt;&gt;Z606,X603&gt;$B$8+$B$9),0,((X606-X600)/(W606-W600)-(O606-O600)/(W606-W600))^2)</f>
        <v>1.9851750641421984E-6</v>
      </c>
    </row>
    <row r="604" spans="7:28" x14ac:dyDescent="0.2">
      <c r="G604" s="21"/>
      <c r="H604" s="21">
        <v>489</v>
      </c>
      <c r="I604">
        <f t="shared" si="104"/>
        <v>8.0540403332812587E-3</v>
      </c>
      <c r="J604">
        <f t="shared" si="105"/>
        <v>0.69398830891818641</v>
      </c>
      <c r="K604">
        <f t="shared" si="99"/>
        <v>27.446968229859039</v>
      </c>
      <c r="L604">
        <f>0.5*Z604*K604/J604/$B$7</f>
        <v>19.774805913261236</v>
      </c>
      <c r="M604">
        <f t="shared" si="102"/>
        <v>0.36530016455643965</v>
      </c>
      <c r="N604" s="21">
        <f t="shared" si="106"/>
        <v>4.9373671883344371E-2</v>
      </c>
      <c r="O604" s="21">
        <f t="shared" si="107"/>
        <v>13.810626252427651</v>
      </c>
      <c r="P604">
        <f t="shared" si="103"/>
        <v>0.45359610678358797</v>
      </c>
      <c r="Q604">
        <f t="shared" si="100"/>
        <v>0.69398830891818641</v>
      </c>
      <c r="R604">
        <f t="shared" si="101"/>
        <v>-2.4472484833088179</v>
      </c>
      <c r="T604" s="21">
        <f>(M604-M603)/(H604-H603)</f>
        <v>3.9756770942367403E-4</v>
      </c>
      <c r="W604">
        <v>489</v>
      </c>
      <c r="X604">
        <v>13.594847999999999</v>
      </c>
      <c r="Y604">
        <v>1</v>
      </c>
      <c r="Z604">
        <f t="shared" si="98"/>
        <v>1</v>
      </c>
      <c r="AA604" s="21">
        <f>IF(X604&gt;$B$8+$B$9,0,ABS(X604-O604)/X604)</f>
        <v>1.5872060682668346E-2</v>
      </c>
      <c r="AB604">
        <f>IF(OR(Z601&lt;&gt;Z607,X604&gt;$B$8+$B$9),0,((X607-X601)/(W607-W601)-(O607-O601)/(W607-W601))^2)</f>
        <v>1.302815394488076E-6</v>
      </c>
    </row>
    <row r="605" spans="7:28" x14ac:dyDescent="0.2">
      <c r="G605" s="21"/>
      <c r="H605" s="21">
        <v>490</v>
      </c>
      <c r="I605">
        <f t="shared" si="104"/>
        <v>8.0511009206623574E-3</v>
      </c>
      <c r="J605">
        <f t="shared" si="105"/>
        <v>0.69371243250989401</v>
      </c>
      <c r="K605">
        <f t="shared" si="99"/>
        <v>27.437277833689141</v>
      </c>
      <c r="L605">
        <f>0.5*Z605*K605/J605/$B$7</f>
        <v>19.775685534724662</v>
      </c>
      <c r="M605">
        <f t="shared" si="102"/>
        <v>0.36569776672481907</v>
      </c>
      <c r="N605" s="21">
        <f t="shared" si="106"/>
        <v>4.9395966744968357E-2</v>
      </c>
      <c r="O605" s="21">
        <f t="shared" si="107"/>
        <v>13.818677353348313</v>
      </c>
      <c r="P605">
        <f t="shared" si="103"/>
        <v>0.45400503385533625</v>
      </c>
      <c r="Q605">
        <f t="shared" si="100"/>
        <v>0.69371243250989401</v>
      </c>
      <c r="R605">
        <f t="shared" si="101"/>
        <v>-2.4629559778294494</v>
      </c>
      <c r="T605" s="21">
        <f>(M605-M604)/(H605-H604)</f>
        <v>3.9760216837941842E-4</v>
      </c>
      <c r="W605">
        <v>490</v>
      </c>
      <c r="X605">
        <v>13.602959999999999</v>
      </c>
      <c r="Y605">
        <v>1</v>
      </c>
      <c r="Z605">
        <f t="shared" si="98"/>
        <v>1</v>
      </c>
      <c r="AA605" s="21">
        <f>IF(X605&gt;$B$8+$B$9,0,ABS(X605-O605)/X605)</f>
        <v>1.5858118626263247E-2</v>
      </c>
      <c r="AB605">
        <f>IF(OR(Z602&lt;&gt;Z608,X605&gt;$B$8+$B$9),0,((X608-X602)/(W608-W602)-(O608-O602)/(W608-W602))^2)</f>
        <v>1.1100539237889688E-7</v>
      </c>
    </row>
    <row r="606" spans="7:28" x14ac:dyDescent="0.2">
      <c r="G606" s="21"/>
      <c r="H606" s="21">
        <v>491</v>
      </c>
      <c r="I606">
        <f t="shared" si="104"/>
        <v>8.0481764716011425E-3</v>
      </c>
      <c r="J606">
        <f t="shared" si="105"/>
        <v>0.69343664153169293</v>
      </c>
      <c r="K606">
        <f t="shared" si="99"/>
        <v>27.427606921909188</v>
      </c>
      <c r="L606">
        <f>0.5*Z606*K606/J606/$B$7</f>
        <v>19.776577468797942</v>
      </c>
      <c r="M606">
        <f t="shared" si="102"/>
        <v>0.36609540384543721</v>
      </c>
      <c r="N606" s="21">
        <f t="shared" si="106"/>
        <v>4.9418247356566164E-2</v>
      </c>
      <c r="O606" s="21">
        <f t="shared" si="107"/>
        <v>13.826725529819914</v>
      </c>
      <c r="P606">
        <f t="shared" si="103"/>
        <v>0.45441383429546262</v>
      </c>
      <c r="Q606">
        <f t="shared" si="100"/>
        <v>0.69343664153169293</v>
      </c>
      <c r="R606">
        <f t="shared" si="101"/>
        <v>-2.4788614510476377</v>
      </c>
      <c r="T606" s="21">
        <f>(M606-M605)/(H606-H605)</f>
        <v>3.9763712061813283E-4</v>
      </c>
      <c r="W606">
        <v>491</v>
      </c>
      <c r="X606">
        <v>13.604582999999998</v>
      </c>
      <c r="Y606">
        <v>1</v>
      </c>
      <c r="Z606">
        <f t="shared" si="98"/>
        <v>1</v>
      </c>
      <c r="AA606" s="21">
        <f>IF(X606&gt;$B$8+$B$9,0,ABS(X606-O606)/X606)</f>
        <v>1.6328507078821587E-2</v>
      </c>
      <c r="AB606">
        <f>IF(OR(Z603&lt;&gt;Z609,X606&gt;$B$8+$B$9),0,((X609-X603)/(W609-W603)-(O609-O603)/(W609-W603))^2)</f>
        <v>1.2823024610299905E-5</v>
      </c>
    </row>
    <row r="607" spans="7:28" x14ac:dyDescent="0.2">
      <c r="G607" s="21"/>
      <c r="H607" s="21">
        <v>492</v>
      </c>
      <c r="I607">
        <f t="shared" si="104"/>
        <v>8.0452669383939933E-3</v>
      </c>
      <c r="J607">
        <f t="shared" si="105"/>
        <v>0.69316093562751058</v>
      </c>
      <c r="K607">
        <f t="shared" si="99"/>
        <v>27.417955431399264</v>
      </c>
      <c r="L607">
        <f>0.5*Z607*K607/J607/$B$7</f>
        <v>19.777481694476986</v>
      </c>
      <c r="M607">
        <f t="shared" si="102"/>
        <v>0.3664930764107977</v>
      </c>
      <c r="N607" s="21">
        <f t="shared" si="106"/>
        <v>4.9440513774213095E-2</v>
      </c>
      <c r="O607" s="21">
        <f t="shared" si="107"/>
        <v>13.834770796758308</v>
      </c>
      <c r="P607">
        <f t="shared" si="103"/>
        <v>0.45482250863176743</v>
      </c>
      <c r="Q607">
        <f t="shared" si="100"/>
        <v>0.69316093562751058</v>
      </c>
      <c r="R607">
        <f t="shared" si="101"/>
        <v>-2.4949686883185782</v>
      </c>
      <c r="T607" s="21">
        <f>(M607-M606)/(H607-H606)</f>
        <v>3.9767256536049622E-4</v>
      </c>
      <c r="W607">
        <v>492</v>
      </c>
      <c r="X607">
        <v>13.624051999999999</v>
      </c>
      <c r="Y607">
        <v>1</v>
      </c>
      <c r="Z607">
        <f t="shared" si="98"/>
        <v>1</v>
      </c>
      <c r="AA607" s="21">
        <f>IF(X607&gt;$B$8+$B$9,0,ABS(X607-O607)/X607)</f>
        <v>1.5466675902169861E-2</v>
      </c>
      <c r="AB607">
        <f>IF(OR(Z604&lt;&gt;Z610,X607&gt;$B$8+$B$9),0,((X610-X604)/(W610-W604)-(O610-O604)/(W610-W604))^2)</f>
        <v>1.1491688732283085E-7</v>
      </c>
    </row>
    <row r="608" spans="7:28" x14ac:dyDescent="0.2">
      <c r="G608" s="21"/>
      <c r="H608" s="21">
        <v>493</v>
      </c>
      <c r="I608">
        <f t="shared" si="104"/>
        <v>8.0423722736292624E-3</v>
      </c>
      <c r="J608">
        <f t="shared" si="105"/>
        <v>0.69288531444235057</v>
      </c>
      <c r="K608">
        <f t="shared" si="99"/>
        <v>27.408323299345607</v>
      </c>
      <c r="L608">
        <f>0.5*Z608*K608/J608/$B$7</f>
        <v>19.778398190907271</v>
      </c>
      <c r="M608">
        <f t="shared" si="102"/>
        <v>0.36689078491263027</v>
      </c>
      <c r="N608" s="21">
        <f t="shared" si="106"/>
        <v>4.9462766053798277E-2</v>
      </c>
      <c r="O608" s="21">
        <f t="shared" si="107"/>
        <v>13.842813169031936</v>
      </c>
      <c r="P608">
        <f t="shared" si="103"/>
        <v>0.45523105739045588</v>
      </c>
      <c r="Q608">
        <f t="shared" si="100"/>
        <v>0.69288531444235057</v>
      </c>
      <c r="R608">
        <f t="shared" si="101"/>
        <v>-2.5112815720761503</v>
      </c>
      <c r="T608" s="21">
        <f>(M608-M607)/(H608-H607)</f>
        <v>3.9770850183257211E-4</v>
      </c>
      <c r="W608">
        <v>493</v>
      </c>
      <c r="X608">
        <v>13.619184999999998</v>
      </c>
      <c r="Y608">
        <v>1</v>
      </c>
      <c r="Z608">
        <f t="shared" si="98"/>
        <v>1</v>
      </c>
      <c r="AA608" s="21">
        <f>IF(X608&gt;$B$8+$B$9,0,ABS(X608-O608)/X608)</f>
        <v>1.642008453750635E-2</v>
      </c>
      <c r="AB608">
        <f>IF(OR(Z605&lt;&gt;Z611,X608&gt;$B$8+$B$9),0,((X611-X605)/(W611-W605)-(O611-O605)/(W611-W605))^2)</f>
        <v>1.3299038770388161E-6</v>
      </c>
    </row>
    <row r="609" spans="7:28" x14ac:dyDescent="0.2">
      <c r="G609" s="21"/>
      <c r="H609" s="21">
        <v>494</v>
      </c>
      <c r="I609">
        <f t="shared" si="104"/>
        <v>8.039492430185308E-3</v>
      </c>
      <c r="J609">
        <f t="shared" si="105"/>
        <v>0.69260977762228626</v>
      </c>
      <c r="K609">
        <f t="shared" si="99"/>
        <v>27.398710463238697</v>
      </c>
      <c r="L609">
        <f>0.5*Z609*K609/J609/$B$7</f>
        <v>19.779326937383019</v>
      </c>
      <c r="M609">
        <f t="shared" si="102"/>
        <v>0.36728852984189769</v>
      </c>
      <c r="N609" s="21">
        <f t="shared" si="106"/>
        <v>4.9485004251025734E-2</v>
      </c>
      <c r="O609" s="21">
        <f t="shared" si="107"/>
        <v>13.850852661462122</v>
      </c>
      <c r="P609">
        <f t="shared" si="103"/>
        <v>0.45563948109614794</v>
      </c>
      <c r="Q609">
        <f t="shared" si="100"/>
        <v>0.69260977762228626</v>
      </c>
      <c r="R609">
        <f t="shared" si="101"/>
        <v>-2.5278040849653358</v>
      </c>
      <c r="T609" s="21">
        <f>(M609-M608)/(H609-H608)</f>
        <v>3.9774492926741845E-4</v>
      </c>
      <c r="W609">
        <v>494</v>
      </c>
      <c r="X609">
        <v>13.637031999999998</v>
      </c>
      <c r="Y609">
        <v>1</v>
      </c>
      <c r="Z609">
        <f t="shared" si="98"/>
        <v>1</v>
      </c>
      <c r="AA609" s="21">
        <f>IF(X609&gt;$B$8+$B$9,0,ABS(X609-O609)/X609)</f>
        <v>1.5679413340243267E-2</v>
      </c>
      <c r="AB609">
        <f>IF(OR(Z606&lt;&gt;Z612,X609&gt;$B$8+$B$9),0,((X612-X606)/(W612-W606)-(O612-O606)/(W612-W606))^2)</f>
        <v>1.3361520541628111E-6</v>
      </c>
    </row>
    <row r="610" spans="7:28" x14ac:dyDescent="0.2">
      <c r="G610" s="21"/>
      <c r="H610" s="21">
        <v>495</v>
      </c>
      <c r="I610">
        <f t="shared" si="104"/>
        <v>8.0366273612285603E-3</v>
      </c>
      <c r="J610">
        <f t="shared" si="105"/>
        <v>0.69233432481445445</v>
      </c>
      <c r="K610">
        <f t="shared" si="99"/>
        <v>27.389116860871368</v>
      </c>
      <c r="L610">
        <f>0.5*Z610*K610/J610/$B$7</f>
        <v>19.780267913346382</v>
      </c>
      <c r="M610">
        <f t="shared" si="102"/>
        <v>0.36768631168880295</v>
      </c>
      <c r="N610" s="21">
        <f t="shared" si="106"/>
        <v>4.9507228421415583E-2</v>
      </c>
      <c r="O610" s="21">
        <f t="shared" si="107"/>
        <v>13.858889288823351</v>
      </c>
      <c r="P610">
        <f t="shared" si="103"/>
        <v>0.45604778027188664</v>
      </c>
      <c r="Q610">
        <f t="shared" si="100"/>
        <v>0.69233432481445445</v>
      </c>
      <c r="R610">
        <f t="shared" si="101"/>
        <v>-2.5445403130966486</v>
      </c>
      <c r="T610" s="21">
        <f>(M610-M609)/(H610-H609)</f>
        <v>3.9778184690525409E-4</v>
      </c>
      <c r="W610">
        <v>495</v>
      </c>
      <c r="X610">
        <v>13.645144999999999</v>
      </c>
      <c r="Y610">
        <v>1</v>
      </c>
      <c r="Z610">
        <f t="shared" si="98"/>
        <v>1</v>
      </c>
      <c r="AA610" s="21">
        <f>IF(X610&gt;$B$8+$B$9,0,ABS(X610-O610)/X610)</f>
        <v>1.5664493768541937E-2</v>
      </c>
      <c r="AB610">
        <f>IF(OR(Z607&lt;&gt;Z613,X610&gt;$B$8+$B$9),0,((X613-X607)/(W613-W607)-(O613-O607)/(W613-W607))^2)</f>
        <v>3.2968456449187926E-6</v>
      </c>
    </row>
    <row r="611" spans="7:28" x14ac:dyDescent="0.2">
      <c r="G611" s="21"/>
      <c r="H611" s="21">
        <v>496</v>
      </c>
      <c r="I611">
        <f t="shared" si="104"/>
        <v>8.0337770202116403E-3</v>
      </c>
      <c r="J611">
        <f t="shared" si="105"/>
        <v>0.69205895566704956</v>
      </c>
      <c r="K611">
        <f t="shared" si="99"/>
        <v>27.379542430336912</v>
      </c>
      <c r="L611">
        <f>0.5*Z611*K611/J611/$B$7</f>
        <v>19.781221098386627</v>
      </c>
      <c r="M611">
        <f t="shared" si="102"/>
        <v>0.36808413094279524</v>
      </c>
      <c r="N611" s="21">
        <f t="shared" si="106"/>
        <v>4.9529438620305115E-2</v>
      </c>
      <c r="O611" s="21">
        <f t="shared" si="107"/>
        <v>13.866923065843562</v>
      </c>
      <c r="P611">
        <f t="shared" si="103"/>
        <v>0.45645595543914769</v>
      </c>
      <c r="Q611">
        <f t="shared" si="100"/>
        <v>0.69205895566704956</v>
      </c>
      <c r="R611">
        <f t="shared" si="101"/>
        <v>-2.5614944494282708</v>
      </c>
      <c r="T611" s="21">
        <f>(M611-M610)/(H611-H610)</f>
        <v>3.9781925399229312E-4</v>
      </c>
      <c r="W611">
        <v>496</v>
      </c>
      <c r="X611">
        <v>13.658124999999998</v>
      </c>
      <c r="Y611">
        <v>1</v>
      </c>
      <c r="Z611">
        <f t="shared" si="98"/>
        <v>1</v>
      </c>
      <c r="AA611" s="21">
        <f>IF(X611&gt;$B$8+$B$9,0,ABS(X611-O611)/X611)</f>
        <v>1.528746192054644E-2</v>
      </c>
      <c r="AB611">
        <f>IF(OR(Z608&lt;&gt;Z614,X611&gt;$B$8+$B$9),0,((X614-X608)/(W614-W608)-(O614-O608)/(W614-W608))^2)</f>
        <v>6.319129762627662E-6</v>
      </c>
    </row>
    <row r="612" spans="7:28" x14ac:dyDescent="0.2">
      <c r="G612" s="21"/>
      <c r="H612" s="21">
        <v>497</v>
      </c>
      <c r="I612">
        <f t="shared" si="104"/>
        <v>8.0309413608713985E-3</v>
      </c>
      <c r="J612">
        <f t="shared" si="105"/>
        <v>0.6917836698293176</v>
      </c>
      <c r="K612">
        <f t="shared" si="99"/>
        <v>27.369987110027221</v>
      </c>
      <c r="L612">
        <f>0.5*Z612*K612/J612/$B$7</f>
        <v>19.782186472239339</v>
      </c>
      <c r="M612">
        <f t="shared" si="102"/>
        <v>0.36848198809257693</v>
      </c>
      <c r="N612" s="21">
        <f t="shared" si="106"/>
        <v>4.9551634902849986E-2</v>
      </c>
      <c r="O612" s="21">
        <f t="shared" si="107"/>
        <v>13.874954007204433</v>
      </c>
      <c r="P612">
        <f t="shared" si="103"/>
        <v>0.45686400711784814</v>
      </c>
      <c r="Q612">
        <f t="shared" si="100"/>
        <v>0.6917836698293176</v>
      </c>
      <c r="R612">
        <f t="shared" si="101"/>
        <v>-2.5786707972816991</v>
      </c>
      <c r="T612" s="21">
        <f>(M612-M611)/(H612-H611)</f>
        <v>3.9785714978168851E-4</v>
      </c>
      <c r="W612">
        <v>497</v>
      </c>
      <c r="X612">
        <v>13.659746999999999</v>
      </c>
      <c r="Y612">
        <v>1</v>
      </c>
      <c r="Z612">
        <f t="shared" si="98"/>
        <v>1</v>
      </c>
      <c r="AA612" s="21">
        <f>IF(X612&gt;$B$8+$B$9,0,ABS(X612-O612)/X612)</f>
        <v>1.5754831125674135E-2</v>
      </c>
      <c r="AB612">
        <f>IF(OR(Z609&lt;&gt;Z615,X612&gt;$B$8+$B$9),0,((X615-X609)/(W615-W609)-(O615-O609)/(W615-W609))^2)</f>
        <v>6.3333577711985712E-6</v>
      </c>
    </row>
    <row r="613" spans="7:28" x14ac:dyDescent="0.2">
      <c r="G613" s="21"/>
      <c r="H613" s="21">
        <v>498</v>
      </c>
      <c r="I613">
        <f t="shared" si="104"/>
        <v>8.0281203372270689E-3</v>
      </c>
      <c r="J613">
        <f t="shared" si="105"/>
        <v>0.69150846695154988</v>
      </c>
      <c r="K613">
        <f t="shared" si="99"/>
        <v>27.360450838630943</v>
      </c>
      <c r="L613">
        <f>0.5*Z613*K613/J613/$B$7</f>
        <v>19.783164014785619</v>
      </c>
      <c r="M613">
        <f t="shared" si="102"/>
        <v>0.36887988362611052</v>
      </c>
      <c r="N613" s="21">
        <f t="shared" si="106"/>
        <v>4.9573817324025257E-2</v>
      </c>
      <c r="O613" s="21">
        <f t="shared" si="107"/>
        <v>13.882982127541661</v>
      </c>
      <c r="P613">
        <f t="shared" si="103"/>
        <v>0.45727193582635522</v>
      </c>
      <c r="Q613">
        <f t="shared" si="100"/>
        <v>0.69150846695154988</v>
      </c>
      <c r="R613">
        <f t="shared" si="101"/>
        <v>-2.5960737739971269</v>
      </c>
      <c r="T613" s="21">
        <f>(M613-M612)/(H613-H612)</f>
        <v>3.9789553353358764E-4</v>
      </c>
      <c r="W613">
        <v>498</v>
      </c>
      <c r="X613">
        <v>13.661369000000001</v>
      </c>
      <c r="Y613">
        <v>1</v>
      </c>
      <c r="Z613">
        <f t="shared" si="98"/>
        <v>1</v>
      </c>
      <c r="AA613" s="21">
        <f>IF(X613&gt;$B$8+$B$9,0,ABS(X613-O613)/X613)</f>
        <v>1.6221882853882388E-2</v>
      </c>
      <c r="AB613">
        <f>IF(OR(Z610&lt;&gt;Z616,X613&gt;$B$8+$B$9),0,((X616-X610)/(W616-W610)-(O616-O610)/(W616-W610))^2)</f>
        <v>8.0448364576884477E-7</v>
      </c>
    </row>
    <row r="614" spans="7:28" x14ac:dyDescent="0.2">
      <c r="G614" s="21"/>
      <c r="H614" s="21">
        <v>499</v>
      </c>
      <c r="I614">
        <f t="shared" si="104"/>
        <v>8.0253139035784127E-3</v>
      </c>
      <c r="J614">
        <f t="shared" si="105"/>
        <v>0.69123334668507763</v>
      </c>
      <c r="K614">
        <f t="shared" si="99"/>
        <v>27.350933555131633</v>
      </c>
      <c r="L614">
        <f>0.5*Z614*K614/J614/$B$7</f>
        <v>19.784153706051292</v>
      </c>
      <c r="M614">
        <f t="shared" si="102"/>
        <v>0.36927781803062404</v>
      </c>
      <c r="N614" s="21">
        <f t="shared" si="106"/>
        <v>4.9595985938626526E-2</v>
      </c>
      <c r="O614" s="21">
        <f t="shared" si="107"/>
        <v>13.89100744144524</v>
      </c>
      <c r="P614">
        <f t="shared" si="103"/>
        <v>0.45767974208149509</v>
      </c>
      <c r="Q614">
        <f t="shared" si="100"/>
        <v>0.69123334668507763</v>
      </c>
      <c r="R614">
        <f t="shared" si="101"/>
        <v>-2.613707914735079</v>
      </c>
      <c r="T614" s="21">
        <f>(M614-M613)/(H614-H613)</f>
        <v>3.9793440451352247E-4</v>
      </c>
      <c r="W614">
        <v>499</v>
      </c>
      <c r="X614">
        <v>13.682462000000001</v>
      </c>
      <c r="Y614">
        <v>1</v>
      </c>
      <c r="Z614">
        <f t="shared" si="98"/>
        <v>1</v>
      </c>
      <c r="AA614" s="21">
        <f>IF(X614&gt;$B$8+$B$9,0,ABS(X614-O614)/X614)</f>
        <v>1.5241806733703228E-2</v>
      </c>
      <c r="AB614">
        <f>IF(OR(Z611&lt;&gt;Z617,X614&gt;$B$8+$B$9),0,((X617-X611)/(W617-W611)-(O617-O611)/(W617-W611))^2)</f>
        <v>3.9592956843907075E-7</v>
      </c>
    </row>
    <row r="615" spans="7:28" x14ac:dyDescent="0.2">
      <c r="G615" s="21"/>
      <c r="H615" s="21">
        <v>500</v>
      </c>
      <c r="I615">
        <f t="shared" si="104"/>
        <v>8.0225220145038086E-3</v>
      </c>
      <c r="J615">
        <f t="shared" si="105"/>
        <v>0.69095830868226549</v>
      </c>
      <c r="K615">
        <f t="shared" si="99"/>
        <v>27.341435198805936</v>
      </c>
      <c r="L615">
        <f>0.5*Z615*K615/J615/$B$7</f>
        <v>19.785155526206132</v>
      </c>
      <c r="M615">
        <f t="shared" si="102"/>
        <v>0.36967579179261895</v>
      </c>
      <c r="N615" s="21">
        <f t="shared" si="106"/>
        <v>4.9618140801271082E-2</v>
      </c>
      <c r="O615" s="21">
        <f t="shared" si="107"/>
        <v>13.899029963459743</v>
      </c>
      <c r="P615">
        <f t="shared" si="103"/>
        <v>0.4580874263985617</v>
      </c>
      <c r="Q615">
        <f t="shared" si="100"/>
        <v>0.69095830868226549</v>
      </c>
      <c r="R615">
        <f t="shared" si="101"/>
        <v>-2.6315778764311806</v>
      </c>
      <c r="T615" s="21">
        <f>(M615-M614)/(H615-H614)</f>
        <v>3.9797376199490753E-4</v>
      </c>
      <c r="W615">
        <v>500</v>
      </c>
      <c r="X615">
        <v>13.700309000000001</v>
      </c>
      <c r="Y615">
        <v>1</v>
      </c>
      <c r="Z615">
        <f t="shared" si="98"/>
        <v>1</v>
      </c>
      <c r="AA615" s="21">
        <f>IF(X615&gt;$B$8+$B$9,0,ABS(X615-O615)/X615)</f>
        <v>1.4504852661333549E-2</v>
      </c>
      <c r="AB615">
        <f>IF(OR(Z612&lt;&gt;Z618,X615&gt;$B$8+$B$9),0,((X618-X612)/(W618-W612)-(O618-O612)/(W618-W612))^2)</f>
        <v>2.0832516523332155E-6</v>
      </c>
    </row>
    <row r="616" spans="7:28" x14ac:dyDescent="0.2">
      <c r="G616" s="21"/>
      <c r="H616" s="21">
        <v>501</v>
      </c>
      <c r="I616">
        <f t="shared" si="104"/>
        <v>8.0197446248584815E-3</v>
      </c>
      <c r="J616">
        <f t="shared" si="105"/>
        <v>0.69068335259650637</v>
      </c>
      <c r="K616">
        <f t="shared" si="99"/>
        <v>27.331955709221791</v>
      </c>
      <c r="L616">
        <f>0.5*Z616*K616/J616/$B$7</f>
        <v>19.786169455563076</v>
      </c>
      <c r="M616">
        <f t="shared" si="102"/>
        <v>0.37007380539787516</v>
      </c>
      <c r="N616" s="21">
        <f t="shared" si="106"/>
        <v>4.9640281966398879E-2</v>
      </c>
      <c r="O616" s="21">
        <f t="shared" si="107"/>
        <v>13.907049708084601</v>
      </c>
      <c r="P616">
        <f t="shared" si="103"/>
        <v>0.45849498929132537</v>
      </c>
      <c r="Q616">
        <f t="shared" si="100"/>
        <v>0.69068335259650637</v>
      </c>
      <c r="R616">
        <f t="shared" si="101"/>
        <v>-2.6496884419112821</v>
      </c>
      <c r="T616" s="21">
        <f>(M616-M615)/(H616-H615)</f>
        <v>3.9801360525620888E-4</v>
      </c>
      <c r="W616">
        <v>501</v>
      </c>
      <c r="X616">
        <v>13.698687</v>
      </c>
      <c r="Y616">
        <v>1</v>
      </c>
      <c r="Z616">
        <f t="shared" si="98"/>
        <v>1</v>
      </c>
      <c r="AA616" s="21">
        <f>IF(X616&gt;$B$8+$B$9,0,ABS(X616-O616)/X616)</f>
        <v>1.5210414551745126E-2</v>
      </c>
      <c r="AB616">
        <f>IF(OR(Z613&lt;&gt;Z619,X616&gt;$B$8+$B$9),0,((X619-X613)/(W619-W613)-(O619-O613)/(W619-W613))^2)</f>
        <v>1.7224859490643353E-5</v>
      </c>
    </row>
    <row r="617" spans="7:28" x14ac:dyDescent="0.2">
      <c r="G617" s="21"/>
      <c r="H617" s="21">
        <v>502</v>
      </c>
      <c r="I617">
        <f t="shared" si="104"/>
        <v>8.0169816897726325E-3</v>
      </c>
      <c r="J617">
        <f t="shared" si="105"/>
        <v>0.69040847808221462</v>
      </c>
      <c r="K617">
        <f t="shared" si="99"/>
        <v>27.322495026236609</v>
      </c>
      <c r="L617">
        <f>0.5*Z617*K617/J617/$B$7</f>
        <v>19.787195474577455</v>
      </c>
      <c r="M617">
        <f t="shared" si="102"/>
        <v>0.37047185933145915</v>
      </c>
      <c r="N617" s="21">
        <f t="shared" si="106"/>
        <v>4.9662409488273759E-2</v>
      </c>
      <c r="O617" s="21">
        <f t="shared" si="107"/>
        <v>13.915066689774374</v>
      </c>
      <c r="P617">
        <f t="shared" si="103"/>
        <v>0.45890243127204178</v>
      </c>
      <c r="Q617">
        <f t="shared" si="100"/>
        <v>0.69040847808221462</v>
      </c>
      <c r="R617">
        <f t="shared" si="101"/>
        <v>-2.6680445241746202</v>
      </c>
      <c r="T617" s="21">
        <f>(M617-M616)/(H617-H616)</f>
        <v>3.9805393358399721E-4</v>
      </c>
      <c r="W617">
        <v>502</v>
      </c>
      <c r="X617">
        <v>13.710044</v>
      </c>
      <c r="Y617">
        <v>1</v>
      </c>
      <c r="Z617">
        <f t="shared" si="98"/>
        <v>1</v>
      </c>
      <c r="AA617" s="21">
        <f>IF(X617&gt;$B$8+$B$9,0,ABS(X617-O617)/X617)</f>
        <v>1.4954196337690389E-2</v>
      </c>
      <c r="AB617">
        <f>IF(OR(Z614&lt;&gt;Z620,X617&gt;$B$8+$B$9),0,((X620-X614)/(W620-W614)-(O620-O614)/(W620-W614))^2)</f>
        <v>7.8448917410105621E-6</v>
      </c>
    </row>
    <row r="618" spans="7:28" x14ac:dyDescent="0.2">
      <c r="G618" s="21"/>
      <c r="H618" s="21">
        <v>503</v>
      </c>
      <c r="I618">
        <f t="shared" si="104"/>
        <v>8.0142331646496628E-3</v>
      </c>
      <c r="J618">
        <f t="shared" si="105"/>
        <v>0.69013368479482129</v>
      </c>
      <c r="K618">
        <f t="shared" si="99"/>
        <v>27.31305308999551</v>
      </c>
      <c r="L618">
        <f>0.5*Z618*K618/J618/$B$7</f>
        <v>19.788233563846227</v>
      </c>
      <c r="M618">
        <f t="shared" si="102"/>
        <v>0.3708699540777286</v>
      </c>
      <c r="N618" s="21">
        <f t="shared" si="106"/>
        <v>4.9684523420984443E-2</v>
      </c>
      <c r="O618" s="21">
        <f t="shared" si="107"/>
        <v>13.923080922939024</v>
      </c>
      <c r="P618">
        <f t="shared" si="103"/>
        <v>0.45930975285146003</v>
      </c>
      <c r="Q618">
        <f t="shared" si="100"/>
        <v>0.69013368479482129</v>
      </c>
      <c r="R618">
        <f t="shared" si="101"/>
        <v>-2.6866511708530014</v>
      </c>
      <c r="T618" s="21">
        <f>(M618-M617)/(H618-H617)</f>
        <v>3.9809474626945063E-4</v>
      </c>
      <c r="W618">
        <v>503</v>
      </c>
      <c r="X618">
        <v>13.716533999999999</v>
      </c>
      <c r="Y618">
        <v>1</v>
      </c>
      <c r="Z618">
        <f t="shared" si="98"/>
        <v>1</v>
      </c>
      <c r="AA618" s="21">
        <f>IF(X618&gt;$B$8+$B$9,0,ABS(X618-O618)/X618)</f>
        <v>1.5058244520009516E-2</v>
      </c>
      <c r="AB618">
        <f>IF(OR(Z615&lt;&gt;Z621,X618&gt;$B$8+$B$9),0,((X621-X615)/(W621-W615)-(O621-O615)/(W621-W615))^2)</f>
        <v>9.8899292723247521E-9</v>
      </c>
    </row>
    <row r="619" spans="7:28" x14ac:dyDescent="0.2">
      <c r="G619" s="21"/>
      <c r="H619" s="21">
        <v>504</v>
      </c>
      <c r="I619">
        <f t="shared" si="104"/>
        <v>8.0114990051643516E-3</v>
      </c>
      <c r="J619">
        <f t="shared" si="105"/>
        <v>0.68985897239076754</v>
      </c>
      <c r="K619">
        <f t="shared" si="99"/>
        <v>27.303629840929549</v>
      </c>
      <c r="L619">
        <f>0.5*Z619*K619/J619/$B$7</f>
        <v>19.789283704107227</v>
      </c>
      <c r="M619">
        <f t="shared" si="102"/>
        <v>0.37126809012034029</v>
      </c>
      <c r="N619" s="21">
        <f t="shared" si="106"/>
        <v>4.9706623818445622E-2</v>
      </c>
      <c r="O619" s="21">
        <f t="shared" si="107"/>
        <v>13.931092421944188</v>
      </c>
      <c r="P619">
        <f t="shared" si="103"/>
        <v>0.45971695453883149</v>
      </c>
      <c r="Q619">
        <f t="shared" si="100"/>
        <v>0.68985897239076754</v>
      </c>
      <c r="R619">
        <f t="shared" si="101"/>
        <v>-2.7055135688545917</v>
      </c>
      <c r="T619" s="21">
        <f>(M619-M618)/(H619-H618)</f>
        <v>3.9813604261168534E-4</v>
      </c>
      <c r="W619">
        <v>504</v>
      </c>
      <c r="X619">
        <v>13.734380999999999</v>
      </c>
      <c r="Y619">
        <v>1</v>
      </c>
      <c r="Z619">
        <f t="shared" si="98"/>
        <v>1</v>
      </c>
      <c r="AA619" s="21">
        <f>IF(X619&gt;$B$8+$B$9,0,ABS(X619-O619)/X619)</f>
        <v>1.4322554612704321E-2</v>
      </c>
      <c r="AB619">
        <f>IF(OR(Z616&lt;&gt;Z622,X619&gt;$B$8+$B$9),0,((X622-X616)/(W622-W616)-(O622-O616)/(W622-W616))^2)</f>
        <v>2.9745044792016268E-6</v>
      </c>
    </row>
    <row r="620" spans="7:28" x14ac:dyDescent="0.2">
      <c r="G620" s="21"/>
      <c r="H620" s="21">
        <v>505</v>
      </c>
      <c r="I620">
        <f t="shared" si="104"/>
        <v>8.0087791672611222E-3</v>
      </c>
      <c r="J620">
        <f t="shared" si="105"/>
        <v>0.68958434052749962</v>
      </c>
      <c r="K620">
        <f t="shared" si="99"/>
        <v>27.294225219753969</v>
      </c>
      <c r="L620">
        <f>0.5*Z620*K620/J620/$B$7</f>
        <v>19.790345876238408</v>
      </c>
      <c r="M620">
        <f t="shared" si="102"/>
        <v>0.3716662679422551</v>
      </c>
      <c r="N620" s="21">
        <f t="shared" si="106"/>
        <v>4.9728710734399009E-2</v>
      </c>
      <c r="O620" s="21">
        <f t="shared" si="107"/>
        <v>13.939101201111448</v>
      </c>
      <c r="P620">
        <f t="shared" si="103"/>
        <v>0.46012403684191838</v>
      </c>
      <c r="Q620">
        <f t="shared" si="100"/>
        <v>0.68958434052749962</v>
      </c>
      <c r="R620">
        <f t="shared" si="101"/>
        <v>-2.7246370492012422</v>
      </c>
      <c r="T620" s="21">
        <f>(M620-M619)/(H620-H619)</f>
        <v>3.9817782191481355E-4</v>
      </c>
      <c r="W620">
        <v>505</v>
      </c>
      <c r="X620">
        <v>13.747360999999998</v>
      </c>
      <c r="Y620">
        <v>1</v>
      </c>
      <c r="Z620">
        <f t="shared" si="98"/>
        <v>1</v>
      </c>
      <c r="AA620" s="21">
        <f>IF(X620&gt;$B$8+$B$9,0,ABS(X620-O620)/X620)</f>
        <v>1.3947418789064346E-2</v>
      </c>
      <c r="AB620">
        <f>IF(OR(Z617&lt;&gt;Z623,X620&gt;$B$8+$B$9),0,((X623-X617)/(W623-W617)-(O623-O617)/(W623-W617))^2)</f>
        <v>3.9915562127803317E-6</v>
      </c>
    </row>
    <row r="621" spans="7:28" x14ac:dyDescent="0.2">
      <c r="G621" s="21"/>
      <c r="H621" s="21">
        <v>506</v>
      </c>
      <c r="I621">
        <f t="shared" si="104"/>
        <v>8.0060736071522597E-3</v>
      </c>
      <c r="J621">
        <f t="shared" si="105"/>
        <v>0.6893097888634625</v>
      </c>
      <c r="K621">
        <f t="shared" si="99"/>
        <v>27.284839167466458</v>
      </c>
      <c r="L621">
        <f>0.5*Z621*K621/J621/$B$7</f>
        <v>19.791420061257103</v>
      </c>
      <c r="M621">
        <f t="shared" si="102"/>
        <v>0.3720644880257456</v>
      </c>
      <c r="N621" s="21">
        <f t="shared" si="106"/>
        <v>4.9750784222414433E-2</v>
      </c>
      <c r="O621" s="21">
        <f t="shared" si="107"/>
        <v>13.947107274718601</v>
      </c>
      <c r="P621">
        <f t="shared" si="103"/>
        <v>0.46053100026700178</v>
      </c>
      <c r="Q621">
        <f t="shared" si="100"/>
        <v>0.6893097888634625</v>
      </c>
      <c r="R621">
        <f t="shared" si="101"/>
        <v>-2.7440270920688072</v>
      </c>
      <c r="T621" s="21">
        <f>(M621-M620)/(H621-H620)</f>
        <v>3.9822008349049698E-4</v>
      </c>
      <c r="W621">
        <v>506</v>
      </c>
      <c r="X621">
        <v>13.748982999999999</v>
      </c>
      <c r="Y621">
        <v>1</v>
      </c>
      <c r="Z621">
        <f t="shared" si="98"/>
        <v>1</v>
      </c>
      <c r="AA621" s="21">
        <f>IF(X621&gt;$B$8+$B$9,0,ABS(X621-O621)/X621)</f>
        <v>1.4410103985043957E-2</v>
      </c>
      <c r="AB621">
        <f>IF(OR(Z618&lt;&gt;Z624,X621&gt;$B$8+$B$9),0,((X624-X618)/(W624-W618)-(O624-O618)/(W624-W618))^2)</f>
        <v>7.9059555262094357E-6</v>
      </c>
    </row>
    <row r="622" spans="7:28" x14ac:dyDescent="0.2">
      <c r="G622" s="21"/>
      <c r="H622" s="21">
        <v>507</v>
      </c>
      <c r="I622">
        <f t="shared" si="104"/>
        <v>8.0033822813161404E-3</v>
      </c>
      <c r="J622">
        <f t="shared" si="105"/>
        <v>0.68903531705809462</v>
      </c>
      <c r="K622">
        <f t="shared" si="99"/>
        <v>27.275471625345411</v>
      </c>
      <c r="L622">
        <f>0.5*Z622*K622/J622/$B$7</f>
        <v>19.79250624031927</v>
      </c>
      <c r="M622">
        <f t="shared" si="102"/>
        <v>0.37246275085240144</v>
      </c>
      <c r="N622" s="21">
        <f t="shared" si="106"/>
        <v>4.9772844335890853E-2</v>
      </c>
      <c r="O622" s="21">
        <f t="shared" si="107"/>
        <v>13.955110656999917</v>
      </c>
      <c r="P622">
        <f t="shared" si="103"/>
        <v>0.46093784531889037</v>
      </c>
      <c r="Q622">
        <f t="shared" si="100"/>
        <v>0.68903531705809462</v>
      </c>
      <c r="R622">
        <f t="shared" si="101"/>
        <v>-2.7636893320405314</v>
      </c>
      <c r="T622" s="21">
        <f>(M622-M621)/(H622-H621)</f>
        <v>3.9826282665583745E-4</v>
      </c>
      <c r="W622">
        <v>507</v>
      </c>
      <c r="X622">
        <v>13.757096000000001</v>
      </c>
      <c r="Y622">
        <v>1</v>
      </c>
      <c r="Z622">
        <f t="shared" si="98"/>
        <v>1</v>
      </c>
      <c r="AA622" s="21">
        <f>IF(X622&gt;$B$8+$B$9,0,ABS(X622-O622)/X622)</f>
        <v>1.4393637799715607E-2</v>
      </c>
      <c r="AB622">
        <f>IF(OR(Z619&lt;&gt;Z625,X622&gt;$B$8+$B$9),0,((X625-X619)/(W625-W619)-(O625-O619)/(W625-W619))^2)</f>
        <v>1.4207147495848212E-6</v>
      </c>
    </row>
    <row r="623" spans="7:28" x14ac:dyDescent="0.2">
      <c r="G623" s="21"/>
      <c r="H623" s="21">
        <v>508</v>
      </c>
      <c r="I623">
        <f t="shared" si="104"/>
        <v>8.0007051464955539E-3</v>
      </c>
      <c r="J623">
        <f t="shared" si="105"/>
        <v>0.68876092477182249</v>
      </c>
      <c r="K623">
        <f t="shared" si="99"/>
        <v>27.266122534948227</v>
      </c>
      <c r="L623">
        <f>0.5*Z623*K623/J623/$B$7</f>
        <v>19.793604394718777</v>
      </c>
      <c r="M623">
        <f t="shared" si="102"/>
        <v>0.37286105690313553</v>
      </c>
      <c r="N623" s="21">
        <f t="shared" si="106"/>
        <v>4.9794891128057434E-2</v>
      </c>
      <c r="O623" s="21">
        <f t="shared" si="107"/>
        <v>13.963111362146412</v>
      </c>
      <c r="P623">
        <f t="shared" si="103"/>
        <v>0.46134457250092864</v>
      </c>
      <c r="Q623">
        <f t="shared" si="100"/>
        <v>0.68876092477182249</v>
      </c>
      <c r="R623">
        <f t="shared" si="101"/>
        <v>-2.7836295635840211</v>
      </c>
      <c r="T623" s="21">
        <f>(M623-M622)/(H623-H622)</f>
        <v>3.9830605073409853E-4</v>
      </c>
      <c r="W623">
        <v>508</v>
      </c>
      <c r="X623">
        <v>13.770076</v>
      </c>
      <c r="Y623">
        <v>1</v>
      </c>
      <c r="Z623">
        <f t="shared" si="98"/>
        <v>1</v>
      </c>
      <c r="AA623" s="21">
        <f>IF(X623&gt;$B$8+$B$9,0,ABS(X623-O623)/X623)</f>
        <v>1.4018467446832718E-2</v>
      </c>
      <c r="AB623">
        <f>IF(OR(Z620&lt;&gt;Z626,X623&gt;$B$8+$B$9),0,((X626-X620)/(W626-W620)-(O626-O620)/(W626-W620))^2)</f>
        <v>2.4772395505966623E-8</v>
      </c>
    </row>
    <row r="624" spans="7:28" x14ac:dyDescent="0.2">
      <c r="G624" s="21"/>
      <c r="H624" s="21">
        <v>509</v>
      </c>
      <c r="I624">
        <f t="shared" si="104"/>
        <v>7.9980421596959304E-3</v>
      </c>
      <c r="J624">
        <f t="shared" si="105"/>
        <v>0.68848661166605452</v>
      </c>
      <c r="K624">
        <f t="shared" si="99"/>
        <v>27.256791838109596</v>
      </c>
      <c r="L624">
        <f>0.5*Z624*K624/J624/$B$7</f>
        <v>19.794714505886649</v>
      </c>
      <c r="M624">
        <f t="shared" si="102"/>
        <v>0.37325940665819096</v>
      </c>
      <c r="N624" s="21">
        <f t="shared" si="106"/>
        <v>4.9816924651974577E-2</v>
      </c>
      <c r="O624" s="21">
        <f t="shared" si="107"/>
        <v>13.971109404306109</v>
      </c>
      <c r="P624">
        <f t="shared" si="103"/>
        <v>0.46175118231500534</v>
      </c>
      <c r="Q624">
        <f t="shared" si="100"/>
        <v>0.68848661166605452</v>
      </c>
      <c r="R624">
        <f t="shared" si="101"/>
        <v>-2.8038537467630258</v>
      </c>
      <c r="T624" s="21">
        <f>(M624-M623)/(H624-H623)</f>
        <v>3.9834975505542713E-4</v>
      </c>
      <c r="W624">
        <v>509</v>
      </c>
      <c r="X624">
        <v>13.781433</v>
      </c>
      <c r="Y624">
        <v>1</v>
      </c>
      <c r="Z624">
        <f t="shared" si="98"/>
        <v>1</v>
      </c>
      <c r="AA624" s="21">
        <f>IF(X624&gt;$B$8+$B$9,0,ABS(X624-O624)/X624)</f>
        <v>1.3763184445776356E-2</v>
      </c>
      <c r="AB624">
        <f>IF(OR(Z621&lt;&gt;Z627,X624&gt;$B$8+$B$9),0,((X627-X621)/(W627-W621)-(O627-O621)/(W627-W621))^2)</f>
        <v>1.43383900940736E-6</v>
      </c>
    </row>
    <row r="625" spans="7:28" x14ac:dyDescent="0.2">
      <c r="G625" s="21"/>
      <c r="H625" s="21">
        <v>510</v>
      </c>
      <c r="I625">
        <f t="shared" si="104"/>
        <v>7.9953932781836722E-3</v>
      </c>
      <c r="J625">
        <f t="shared" si="105"/>
        <v>0.68821237740317609</v>
      </c>
      <c r="K625">
        <f t="shared" si="99"/>
        <v>27.247479476939837</v>
      </c>
      <c r="L625">
        <f>0.5*Z625*K625/J625/$B$7</f>
        <v>19.795836555390387</v>
      </c>
      <c r="M625">
        <f t="shared" si="102"/>
        <v>0.37365780059714632</v>
      </c>
      <c r="N625" s="21">
        <f t="shared" si="106"/>
        <v>4.9838944960534891E-2</v>
      </c>
      <c r="O625" s="21">
        <f t="shared" si="107"/>
        <v>13.979104797584293</v>
      </c>
      <c r="P625">
        <f t="shared" si="103"/>
        <v>0.46215767526156104</v>
      </c>
      <c r="Q625">
        <f t="shared" si="100"/>
        <v>0.68821237740317609</v>
      </c>
      <c r="R625">
        <f t="shared" si="101"/>
        <v>-2.8243680131957949</v>
      </c>
      <c r="T625" s="21">
        <f>(M625-M624)/(H625-H624)</f>
        <v>3.983939389553548E-4</v>
      </c>
      <c r="W625">
        <v>510</v>
      </c>
      <c r="X625">
        <v>13.789545</v>
      </c>
      <c r="Y625">
        <v>1</v>
      </c>
      <c r="Z625">
        <f t="shared" si="98"/>
        <v>1</v>
      </c>
      <c r="AA625" s="21">
        <f>IF(X625&gt;$B$8+$B$9,0,ABS(X625-O625)/X625)</f>
        <v>1.3746631784028615E-2</v>
      </c>
      <c r="AB625">
        <f>IF(OR(Z622&lt;&gt;Z628,X625&gt;$B$8+$B$9),0,((X628-X622)/(W628-W622)-(O628-O622)/(W628-W622))^2)</f>
        <v>8.1582283731514668E-6</v>
      </c>
    </row>
    <row r="626" spans="7:28" x14ac:dyDescent="0.2">
      <c r="G626" s="21"/>
      <c r="H626" s="21">
        <v>511</v>
      </c>
      <c r="I626">
        <f t="shared" si="104"/>
        <v>7.9927584594844774E-3</v>
      </c>
      <c r="J626">
        <f t="shared" si="105"/>
        <v>0.68793822164654339</v>
      </c>
      <c r="K626">
        <f t="shared" si="99"/>
        <v>27.238185393823183</v>
      </c>
      <c r="L626">
        <f>0.5*Z626*K626/J626/$B$7</f>
        <v>19.796970524933215</v>
      </c>
      <c r="M626">
        <f t="shared" si="102"/>
        <v>0.37405623919892284</v>
      </c>
      <c r="N626" s="21">
        <f t="shared" si="106"/>
        <v>4.9860952106464282E-2</v>
      </c>
      <c r="O626" s="21">
        <f t="shared" si="107"/>
        <v>13.987097556043778</v>
      </c>
      <c r="P626">
        <f t="shared" si="103"/>
        <v>0.4625640518395972</v>
      </c>
      <c r="Q626">
        <f t="shared" si="100"/>
        <v>0.68793822164654339</v>
      </c>
      <c r="R626">
        <f t="shared" si="101"/>
        <v>-2.8451786722726466</v>
      </c>
      <c r="T626" s="21">
        <f>(M626-M625)/(H626-H625)</f>
        <v>3.9843860177651846E-4</v>
      </c>
      <c r="W626">
        <v>511</v>
      </c>
      <c r="X626">
        <v>13.794412999999999</v>
      </c>
      <c r="Y626">
        <v>1</v>
      </c>
      <c r="Z626">
        <f t="shared" si="98"/>
        <v>1</v>
      </c>
      <c r="AA626" s="21">
        <f>IF(X626&gt;$B$8+$B$9,0,ABS(X626-O626)/X626)</f>
        <v>1.3968304127459414E-2</v>
      </c>
      <c r="AB626">
        <f>IF(OR(Z623&lt;&gt;Z629,X626&gt;$B$8+$B$9),0,((X629-X623)/(W629-W623)-(O629-O623)/(W629-W623))^2)</f>
        <v>2.234030238237616E-8</v>
      </c>
    </row>
    <row r="627" spans="7:28" x14ac:dyDescent="0.2">
      <c r="G627" s="21"/>
      <c r="H627" s="21">
        <v>512</v>
      </c>
      <c r="I627">
        <f t="shared" si="104"/>
        <v>7.9901376613816331E-3</v>
      </c>
      <c r="J627">
        <f t="shared" si="105"/>
        <v>0.68766414406047871</v>
      </c>
      <c r="K627">
        <f t="shared" si="99"/>
        <v>27.228909531416154</v>
      </c>
      <c r="L627">
        <f>0.5*Z627*K627/J627/$B$7</f>
        <v>19.798116396353382</v>
      </c>
      <c r="M627">
        <f t="shared" si="102"/>
        <v>0.37445472294178922</v>
      </c>
      <c r="N627" s="21">
        <f t="shared" si="106"/>
        <v>4.9882946142322977E-2</v>
      </c>
      <c r="O627" s="21">
        <f t="shared" si="107"/>
        <v>13.995087693705161</v>
      </c>
      <c r="P627">
        <f t="shared" si="103"/>
        <v>0.46297031254668364</v>
      </c>
      <c r="Q627">
        <f t="shared" si="100"/>
        <v>0.68766414406047871</v>
      </c>
      <c r="R627">
        <f t="shared" si="101"/>
        <v>-2.8662922176458365</v>
      </c>
      <c r="T627" s="21">
        <f>(M627-M626)/(H627-H626)</f>
        <v>3.9848374286638455E-4</v>
      </c>
      <c r="W627">
        <v>512</v>
      </c>
      <c r="X627">
        <v>13.804147999999998</v>
      </c>
      <c r="Y627">
        <v>1</v>
      </c>
      <c r="Z627">
        <f t="shared" si="98"/>
        <v>1</v>
      </c>
      <c r="AA627" s="21">
        <f>IF(X627&gt;$B$8+$B$9,0,ABS(X627-O627)/X627)</f>
        <v>1.3832052054582641E-2</v>
      </c>
      <c r="AB627">
        <f>IF(OR(Z624&lt;&gt;Z630,X627&gt;$B$8+$B$9),0,((X630-X624)/(W630-W624)-(O630-O624)/(W630-W624))^2)</f>
        <v>3.0484478058961693E-6</v>
      </c>
    </row>
    <row r="628" spans="7:28" x14ac:dyDescent="0.2">
      <c r="G628" s="21"/>
      <c r="H628" s="21">
        <v>513</v>
      </c>
      <c r="I628">
        <f t="shared" si="104"/>
        <v>7.9875308419143903E-3</v>
      </c>
      <c r="J628">
        <f t="shared" si="105"/>
        <v>0.68739014431026413</v>
      </c>
      <c r="K628">
        <f t="shared" si="99"/>
        <v>27.219651832645877</v>
      </c>
      <c r="L628">
        <f>0.5*Z628*K628/J628/$B$7</f>
        <v>19.799274151623468</v>
      </c>
      <c r="M628">
        <f t="shared" si="102"/>
        <v>0.37485325230336919</v>
      </c>
      <c r="N628" s="21">
        <f t="shared" si="106"/>
        <v>4.9904927120506516E-2</v>
      </c>
      <c r="O628" s="21">
        <f t="shared" si="107"/>
        <v>14.003075224547075</v>
      </c>
      <c r="P628">
        <f t="shared" si="103"/>
        <v>0.46337645787896686</v>
      </c>
      <c r="Q628">
        <f t="shared" si="100"/>
        <v>0.68739014431026413</v>
      </c>
      <c r="R628">
        <f t="shared" si="101"/>
        <v>-2.887715334005875</v>
      </c>
      <c r="T628" s="21">
        <f>(M628-M627)/(H628-H627)</f>
        <v>3.9852936157996899E-4</v>
      </c>
      <c r="W628">
        <v>513</v>
      </c>
      <c r="X628">
        <v>13.787922999999999</v>
      </c>
      <c r="Y628">
        <v>1</v>
      </c>
      <c r="Z628">
        <f t="shared" si="98"/>
        <v>1</v>
      </c>
      <c r="AA628" s="21">
        <f>IF(X628&gt;$B$8+$B$9,0,ABS(X628-O628)/X628)</f>
        <v>1.5604397018106052E-2</v>
      </c>
      <c r="AB628">
        <f>IF(OR(Z625&lt;&gt;Z631,X628&gt;$B$8+$B$9),0,((X631-X625)/(W631-W625)-(O631-O625)/(W631-W625))^2)</f>
        <v>4.4499623026895907E-7</v>
      </c>
    </row>
    <row r="629" spans="7:28" x14ac:dyDescent="0.2">
      <c r="G629" s="21"/>
      <c r="H629" s="21">
        <v>514</v>
      </c>
      <c r="I629">
        <f t="shared" si="104"/>
        <v>7.9849379593762756E-3</v>
      </c>
      <c r="J629">
        <f t="shared" si="105"/>
        <v>0.68711622206213707</v>
      </c>
      <c r="K629">
        <f t="shared" si="99"/>
        <v>27.210412240708465</v>
      </c>
      <c r="L629">
        <f>0.5*Z629*K629/J629/$B$7</f>
        <v>19.800443772849668</v>
      </c>
      <c r="M629">
        <f t="shared" si="102"/>
        <v>0.37525182776064597</v>
      </c>
      <c r="N629" s="21">
        <f t="shared" si="106"/>
        <v>4.9926895093246708E-2</v>
      </c>
      <c r="O629" s="21">
        <f t="shared" si="107"/>
        <v>14.011060162506451</v>
      </c>
      <c r="P629">
        <f t="shared" si="103"/>
        <v>0.46378248833117802</v>
      </c>
      <c r="Q629">
        <f t="shared" si="100"/>
        <v>0.68711622206213707</v>
      </c>
      <c r="R629">
        <f t="shared" si="101"/>
        <v>-2.9094549041590785</v>
      </c>
      <c r="T629" s="21">
        <f>(M629-M628)/(H629-H628)</f>
        <v>3.9857545727678412E-4</v>
      </c>
      <c r="W629">
        <v>514</v>
      </c>
      <c r="X629">
        <v>13.817128</v>
      </c>
      <c r="Y629">
        <v>1</v>
      </c>
      <c r="Z629">
        <f t="shared" si="98"/>
        <v>1</v>
      </c>
      <c r="AA629" s="21">
        <f>IF(X629&gt;$B$8+$B$9,0,ABS(X629-O629)/X629)</f>
        <v>1.4035634793746659E-2</v>
      </c>
      <c r="AB629">
        <f>IF(OR(Z626&lt;&gt;Z632,X629&gt;$B$8+$B$9),0,((X632-X626)/(W632-W626)-(O632-O626)/(W632-W626))^2)</f>
        <v>3.0665836469197145E-6</v>
      </c>
    </row>
    <row r="630" spans="7:28" x14ac:dyDescent="0.2">
      <c r="G630" s="21"/>
      <c r="H630" s="21">
        <v>515</v>
      </c>
      <c r="I630">
        <f t="shared" si="104"/>
        <v>7.982358972313499E-3</v>
      </c>
      <c r="J630">
        <f t="shared" si="105"/>
        <v>0.6868423769832841</v>
      </c>
      <c r="K630">
        <f t="shared" si="99"/>
        <v>27.2011906990674</v>
      </c>
      <c r="L630">
        <f>0.5*Z630*K630/J630/$B$7</f>
        <v>19.801625242271129</v>
      </c>
      <c r="M630">
        <f t="shared" si="102"/>
        <v>0.3756504497899697</v>
      </c>
      <c r="N630" s="21">
        <f t="shared" si="106"/>
        <v>4.9948850112612686E-2</v>
      </c>
      <c r="O630" s="21">
        <f t="shared" si="107"/>
        <v>14.019042521478765</v>
      </c>
      <c r="P630">
        <f t="shared" si="103"/>
        <v>0.46418840439664077</v>
      </c>
      <c r="Q630">
        <f t="shared" si="100"/>
        <v>0.6868423769832841</v>
      </c>
      <c r="R630">
        <f t="shared" si="101"/>
        <v>-2.9315180164221228</v>
      </c>
      <c r="T630" s="21">
        <f>(M630-M629)/(H630-H629)</f>
        <v>3.9862202932372526E-4</v>
      </c>
      <c r="W630">
        <v>515</v>
      </c>
      <c r="X630">
        <v>13.839842000000001</v>
      </c>
      <c r="Y630">
        <v>1</v>
      </c>
      <c r="Z630">
        <f t="shared" si="98"/>
        <v>1</v>
      </c>
      <c r="AA630" s="21">
        <f>IF(X630&gt;$B$8+$B$9,0,ABS(X630-O630)/X630)</f>
        <v>1.2948162376330884E-2</v>
      </c>
      <c r="AB630">
        <f>IF(OR(Z627&lt;&gt;Z633,X630&gt;$B$8+$B$9),0,((X633-X627)/(W633-W627)-(O633-O627)/(W633-W627))^2)</f>
        <v>5.5240646297960976E-5</v>
      </c>
    </row>
    <row r="631" spans="7:28" x14ac:dyDescent="0.2">
      <c r="G631" s="21"/>
      <c r="H631" s="21">
        <v>516</v>
      </c>
      <c r="I631">
        <f t="shared" si="104"/>
        <v>7.9797938395233196E-3</v>
      </c>
      <c r="J631">
        <f t="shared" si="105"/>
        <v>0.68656860874183612</v>
      </c>
      <c r="K631">
        <f t="shared" si="99"/>
        <v>27.191987151451883</v>
      </c>
      <c r="L631">
        <f>0.5*Z631*K631/J631/$B$7</f>
        <v>19.80281854225921</v>
      </c>
      <c r="M631">
        <f t="shared" si="102"/>
        <v>0.37604911886706238</v>
      </c>
      <c r="N631" s="21">
        <f t="shared" si="106"/>
        <v>4.9970792230511894E-2</v>
      </c>
      <c r="O631" s="21">
        <f t="shared" si="107"/>
        <v>14.027022315318288</v>
      </c>
      <c r="P631">
        <f t="shared" si="103"/>
        <v>0.46459420656727957</v>
      </c>
      <c r="Q631">
        <f t="shared" si="100"/>
        <v>0.68656860874183612</v>
      </c>
      <c r="R631">
        <f t="shared" si="101"/>
        <v>-2.9539119723503009</v>
      </c>
      <c r="T631" s="21">
        <f>(M631-M630)/(H631-H630)</f>
        <v>3.9866907709268373E-4</v>
      </c>
      <c r="W631">
        <v>516</v>
      </c>
      <c r="X631">
        <v>13.841464999999999</v>
      </c>
      <c r="Y631">
        <v>1</v>
      </c>
      <c r="Z631">
        <f t="shared" si="98"/>
        <v>1</v>
      </c>
      <c r="AA631" s="21">
        <f>IF(X631&gt;$B$8+$B$9,0,ABS(X631-O631)/X631)</f>
        <v>1.3405901421438274E-2</v>
      </c>
      <c r="AB631">
        <f>IF(OR(Z628&lt;&gt;Z634,X631&gt;$B$8+$B$9),0,((X634-X628)/(W634-W628)-(O634-O628)/(W634-W628))^2)</f>
        <v>4.0364379756727145E-5</v>
      </c>
    </row>
    <row r="632" spans="7:28" x14ac:dyDescent="0.2">
      <c r="G632" s="21"/>
      <c r="H632" s="21">
        <v>517</v>
      </c>
      <c r="I632">
        <f t="shared" si="104"/>
        <v>7.9772425200524393E-3</v>
      </c>
      <c r="J632">
        <f t="shared" si="105"/>
        <v>0.6862949170068624</v>
      </c>
      <c r="K632">
        <f t="shared" si="99"/>
        <v>27.182801541855277</v>
      </c>
      <c r="L632">
        <f>0.5*Z632*K632/J632/$B$7</f>
        <v>19.804023655316879</v>
      </c>
      <c r="M632">
        <f t="shared" si="102"/>
        <v>0.37644783546702493</v>
      </c>
      <c r="N632" s="21">
        <f t="shared" si="106"/>
        <v>4.9992721498691099E-2</v>
      </c>
      <c r="O632" s="21">
        <f t="shared" si="107"/>
        <v>14.03499955783834</v>
      </c>
      <c r="P632">
        <f t="shared" si="103"/>
        <v>0.46499989533362701</v>
      </c>
      <c r="Q632">
        <f t="shared" si="100"/>
        <v>0.6862949170068624</v>
      </c>
      <c r="R632">
        <f t="shared" si="101"/>
        <v>-2.9766442948171266</v>
      </c>
      <c r="T632" s="21">
        <f>(M632-M631)/(H632-H631)</f>
        <v>3.9871659996254527E-4</v>
      </c>
      <c r="W632">
        <v>517</v>
      </c>
      <c r="X632">
        <v>13.852822</v>
      </c>
      <c r="Y632">
        <v>1</v>
      </c>
      <c r="Z632">
        <f t="shared" si="98"/>
        <v>1</v>
      </c>
      <c r="AA632" s="21">
        <f>IF(X632&gt;$B$8+$B$9,0,ABS(X632-O632)/X632)</f>
        <v>1.3150934722061702E-2</v>
      </c>
      <c r="AB632">
        <f>IF(OR(Z629&lt;&gt;Z635,X632&gt;$B$8+$B$9),0,((X635-X629)/(W635-W629)-(O635-O629)/(W635-W629))^2)</f>
        <v>5.2885031897603297E-6</v>
      </c>
    </row>
    <row r="633" spans="7:28" x14ac:dyDescent="0.2">
      <c r="G633" s="21"/>
      <c r="H633" s="21">
        <v>518</v>
      </c>
      <c r="I633">
        <f t="shared" si="104"/>
        <v>7.9747049731954209E-3</v>
      </c>
      <c r="J633">
        <f t="shared" si="105"/>
        <v>0.68602130144836648</v>
      </c>
      <c r="K633">
        <f t="shared" si="99"/>
        <v>27.173633814533485</v>
      </c>
      <c r="L633">
        <f>0.5*Z633*K633/J633/$B$7</f>
        <v>19.805240564077959</v>
      </c>
      <c r="M633">
        <f t="shared" si="102"/>
        <v>0.37684660006434145</v>
      </c>
      <c r="N633" s="21">
        <f t="shared" si="106"/>
        <v>5.0014637968737258E-2</v>
      </c>
      <c r="O633" s="21">
        <f t="shared" si="107"/>
        <v>14.042974262811535</v>
      </c>
      <c r="P633">
        <f t="shared" si="103"/>
        <v>0.46540547118483194</v>
      </c>
      <c r="Q633">
        <f t="shared" si="100"/>
        <v>0.68602130144836648</v>
      </c>
      <c r="R633">
        <f t="shared" si="101"/>
        <v>-2.9997227364641428</v>
      </c>
      <c r="T633" s="21">
        <f>(M633-M632)/(H633-H632)</f>
        <v>3.9876459731652547E-4</v>
      </c>
      <c r="W633">
        <v>518</v>
      </c>
      <c r="X633">
        <v>13.896629000000001</v>
      </c>
      <c r="Y633">
        <v>1</v>
      </c>
      <c r="Z633">
        <f t="shared" si="98"/>
        <v>1</v>
      </c>
      <c r="AA633" s="21">
        <f>IF(X633&gt;$B$8+$B$9,0,ABS(X633-O633)/X633)</f>
        <v>1.0530990128004026E-2</v>
      </c>
      <c r="AB633">
        <f>IF(OR(Z630&lt;&gt;Z636,X633&gt;$B$8+$B$9),0,((X636-X630)/(W636-W630)-(O636-O630)/(W636-W630))^2)</f>
        <v>1.4716795815600641E-6</v>
      </c>
    </row>
    <row r="634" spans="7:28" x14ac:dyDescent="0.2">
      <c r="G634" s="21"/>
      <c r="H634" s="21">
        <v>519</v>
      </c>
      <c r="I634">
        <f t="shared" si="104"/>
        <v>7.972181158493092E-3</v>
      </c>
      <c r="J634">
        <f t="shared" si="105"/>
        <v>0.68574776173727969</v>
      </c>
      <c r="K634">
        <f t="shared" si="99"/>
        <v>27.164483914003384</v>
      </c>
      <c r="L634">
        <f>0.5*Z634*K634/J634/$B$7</f>
        <v>19.80646925130651</v>
      </c>
      <c r="M634">
        <f t="shared" si="102"/>
        <v>0.3772454131328869</v>
      </c>
      <c r="N634" s="21">
        <f t="shared" si="106"/>
        <v>5.0036541692078593E-2</v>
      </c>
      <c r="O634" s="21">
        <f t="shared" si="107"/>
        <v>14.050946443970028</v>
      </c>
      <c r="P634">
        <f t="shared" si="103"/>
        <v>0.46581093460866735</v>
      </c>
      <c r="Q634">
        <f t="shared" si="100"/>
        <v>0.68574776173727969</v>
      </c>
      <c r="R634">
        <f t="shared" si="101"/>
        <v>-3.0231552885408375</v>
      </c>
      <c r="T634" s="21">
        <f>(M634-M633)/(H634-H633)</f>
        <v>3.9881306854544496E-4</v>
      </c>
      <c r="W634">
        <v>519</v>
      </c>
      <c r="X634">
        <v>13.873913999999999</v>
      </c>
      <c r="Y634">
        <v>1</v>
      </c>
      <c r="Z634">
        <f t="shared" si="98"/>
        <v>1</v>
      </c>
      <c r="AA634" s="21">
        <f>IF(X634&gt;$B$8+$B$9,0,ABS(X634-O634)/X634)</f>
        <v>1.2760093796893168E-2</v>
      </c>
      <c r="AB634">
        <f>IF(OR(Z631&lt;&gt;Z637,X634&gt;$B$8+$B$9),0,((X637-X631)/(W637-W631)-(O637-O631)/(W637-W631))^2)</f>
        <v>8.0971870911844135E-6</v>
      </c>
    </row>
    <row r="635" spans="7:28" x14ac:dyDescent="0.2">
      <c r="G635" s="21"/>
      <c r="H635" s="21">
        <v>520</v>
      </c>
      <c r="I635">
        <f t="shared" si="104"/>
        <v>7.9696710357310199E-3</v>
      </c>
      <c r="J635">
        <f t="shared" si="105"/>
        <v>0.68547429754545663</v>
      </c>
      <c r="K635">
        <f t="shared" si="99"/>
        <v>27.155351785041262</v>
      </c>
      <c r="L635">
        <f>0.5*Z635*K635/J635/$B$7</f>
        <v>19.807709699896137</v>
      </c>
      <c r="M635">
        <f t="shared" si="102"/>
        <v>0.37764427514593174</v>
      </c>
      <c r="N635" s="21">
        <f t="shared" si="106"/>
        <v>5.0058432719985557E-2</v>
      </c>
      <c r="O635" s="21">
        <f t="shared" si="107"/>
        <v>14.05891611500576</v>
      </c>
      <c r="P635">
        <f t="shared" si="103"/>
        <v>0.4662162860915377</v>
      </c>
      <c r="Q635">
        <f t="shared" si="100"/>
        <v>0.68547429754545663</v>
      </c>
      <c r="R635">
        <f t="shared" si="101"/>
        <v>-3.0469501901558051</v>
      </c>
      <c r="T635" s="21">
        <f>(M635-M634)/(H635-H634)</f>
        <v>3.9886201304484281E-4</v>
      </c>
      <c r="W635">
        <v>520</v>
      </c>
      <c r="X635">
        <v>13.878782000000001</v>
      </c>
      <c r="Y635">
        <v>1</v>
      </c>
      <c r="Z635">
        <f t="shared" si="98"/>
        <v>1</v>
      </c>
      <c r="AA635" s="21">
        <f>IF(X635&gt;$B$8+$B$9,0,ABS(X635-O635)/X635)</f>
        <v>1.2979101120383509E-2</v>
      </c>
      <c r="AB635">
        <f>IF(OR(Z632&lt;&gt;Z638,X635&gt;$B$8+$B$9),0,((X638-X632)/(W638-W632)-(O638-O632)/(W638-W632))^2)</f>
        <v>1.7641895847883566E-5</v>
      </c>
    </row>
    <row r="636" spans="7:28" x14ac:dyDescent="0.2">
      <c r="G636" s="21"/>
      <c r="H636" s="21">
        <v>521</v>
      </c>
      <c r="I636">
        <f t="shared" si="104"/>
        <v>7.9671745649379025E-3</v>
      </c>
      <c r="J636">
        <f t="shared" si="105"/>
        <v>0.68520090854566962</v>
      </c>
      <c r="K636">
        <f t="shared" si="99"/>
        <v>27.146237372681259</v>
      </c>
      <c r="L636">
        <f>0.5*Z636*K636/J636/$B$7</f>
        <v>19.808961892869355</v>
      </c>
      <c r="M636">
        <f t="shared" si="102"/>
        <v>0.37804318657614877</v>
      </c>
      <c r="N636" s="21">
        <f t="shared" si="106"/>
        <v>5.0080311103571737E-2</v>
      </c>
      <c r="O636" s="21">
        <f t="shared" si="107"/>
        <v>14.066883289570697</v>
      </c>
      <c r="P636">
        <f t="shared" si="103"/>
        <v>0.46662152611848701</v>
      </c>
      <c r="Q636">
        <f t="shared" si="100"/>
        <v>0.68520090854566962</v>
      </c>
      <c r="R636">
        <f t="shared" si="101"/>
        <v>-3.071115937961737</v>
      </c>
      <c r="T636" s="21">
        <f>(M636-M635)/(H636-H635)</f>
        <v>3.9891143021703046E-4</v>
      </c>
      <c r="W636">
        <v>521</v>
      </c>
      <c r="X636">
        <v>13.880403999999999</v>
      </c>
      <c r="Y636">
        <v>1</v>
      </c>
      <c r="Z636">
        <f t="shared" si="98"/>
        <v>1</v>
      </c>
      <c r="AA636" s="21">
        <f>IF(X636&gt;$B$8+$B$9,0,ABS(X636-O636)/X636)</f>
        <v>1.3434716278481404E-2</v>
      </c>
      <c r="AB636">
        <f>IF(OR(Z633&lt;&gt;Z639,X636&gt;$B$8+$B$9),0,((X639-X633)/(W639-W633)-(O639-O633)/(W639-W633))^2)</f>
        <v>1.1349832585969871E-5</v>
      </c>
    </row>
    <row r="637" spans="7:28" x14ac:dyDescent="0.2">
      <c r="G637" s="21"/>
      <c r="H637" s="21">
        <v>522</v>
      </c>
      <c r="I637">
        <f t="shared" si="104"/>
        <v>7.964691706384067E-3</v>
      </c>
      <c r="J637">
        <f t="shared" si="105"/>
        <v>0.68492759441160422</v>
      </c>
      <c r="K637">
        <f t="shared" si="99"/>
        <v>27.137140622213824</v>
      </c>
      <c r="L637">
        <f>0.5*Z637*K637/J637/$B$7</f>
        <v>19.81022581337691</v>
      </c>
      <c r="M637">
        <f t="shared" si="102"/>
        <v>0.37844214789561736</v>
      </c>
      <c r="N637" s="21">
        <f t="shared" si="106"/>
        <v>5.0102176893794856E-2</v>
      </c>
      <c r="O637" s="21">
        <f t="shared" si="107"/>
        <v>14.074847981277081</v>
      </c>
      <c r="P637">
        <f t="shared" si="103"/>
        <v>0.46702665517320624</v>
      </c>
      <c r="Q637">
        <f t="shared" si="100"/>
        <v>0.68492759441160422</v>
      </c>
      <c r="R637">
        <f t="shared" si="101"/>
        <v>-3.095661296298073</v>
      </c>
      <c r="T637" s="21">
        <f>(M637-M636)/(H637-H636)</f>
        <v>3.989613194685937E-4</v>
      </c>
      <c r="W637">
        <v>522</v>
      </c>
      <c r="X637">
        <v>13.906364</v>
      </c>
      <c r="Y637">
        <v>1</v>
      </c>
      <c r="Z637">
        <f t="shared" si="98"/>
        <v>1</v>
      </c>
      <c r="AA637" s="21">
        <f>IF(X637&gt;$B$8+$B$9,0,ABS(X637-O637)/X637)</f>
        <v>1.2115602703703217E-2</v>
      </c>
      <c r="AB637">
        <f>IF(OR(Z634&lt;&gt;Z640,X637&gt;$B$8+$B$9),0,((X640-X634)/(W640-W634)-(O640-O634)/(W640-W634))^2)</f>
        <v>1.7586129901802437E-7</v>
      </c>
    </row>
    <row r="638" spans="7:28" x14ac:dyDescent="0.2">
      <c r="G638" s="21"/>
      <c r="H638" s="21">
        <v>523</v>
      </c>
      <c r="I638">
        <f t="shared" si="104"/>
        <v>7.9622224205799595E-3</v>
      </c>
      <c r="J638">
        <f t="shared" si="105"/>
        <v>0.68465435481785319</v>
      </c>
      <c r="K638">
        <f t="shared" si="99"/>
        <v>27.128061479184186</v>
      </c>
      <c r="L638">
        <f>0.5*Z638*K638/J638/$B$7</f>
        <v>19.81150144469715</v>
      </c>
      <c r="M638">
        <f t="shared" si="102"/>
        <v>0.37884115957583109</v>
      </c>
      <c r="N638" s="21">
        <f t="shared" si="106"/>
        <v>5.0124030141457686E-2</v>
      </c>
      <c r="O638" s="21">
        <f t="shared" si="107"/>
        <v>14.082810203697662</v>
      </c>
      <c r="P638">
        <f t="shared" si="103"/>
        <v>0.46743167373804095</v>
      </c>
      <c r="Q638">
        <f t="shared" si="100"/>
        <v>0.68465435481785319</v>
      </c>
      <c r="R638">
        <f t="shared" si="101"/>
        <v>-3.1205953078168029</v>
      </c>
      <c r="T638" s="21">
        <f>(M638-M637)/(H638-H637)</f>
        <v>3.9901168021372335E-4</v>
      </c>
      <c r="W638">
        <v>523</v>
      </c>
      <c r="X638">
        <v>13.925833999999998</v>
      </c>
      <c r="Y638">
        <v>1</v>
      </c>
      <c r="Z638">
        <f t="shared" ref="Z638:Z701" si="108">Y638</f>
        <v>1</v>
      </c>
      <c r="AA638" s="21">
        <f>IF(X638&gt;$B$8+$B$9,0,ABS(X638-O638)/X638)</f>
        <v>1.1272301802366984E-2</v>
      </c>
      <c r="AB638">
        <f>IF(OR(Z635&lt;&gt;Z641,X638&gt;$B$8+$B$9),0,((X641-X635)/(W641-W635)-(O641-O635)/(W641-W635))^2)</f>
        <v>4.7907730299837818E-7</v>
      </c>
    </row>
    <row r="639" spans="7:28" x14ac:dyDescent="0.2">
      <c r="G639" s="21"/>
      <c r="H639" s="21">
        <v>524</v>
      </c>
      <c r="I639">
        <f t="shared" si="104"/>
        <v>7.9597666682745764E-3</v>
      </c>
      <c r="J639">
        <f t="shared" si="105"/>
        <v>0.684381189439912</v>
      </c>
      <c r="K639">
        <f t="shared" si="99"/>
        <v>27.118999889390828</v>
      </c>
      <c r="L639">
        <f>0.5*Z639*K639/J639/$B$7</f>
        <v>19.812788770235372</v>
      </c>
      <c r="M639">
        <f t="shared" si="102"/>
        <v>0.37924022208770247</v>
      </c>
      <c r="N639" s="21">
        <f t="shared" si="106"/>
        <v>5.0145870897209024E-2</v>
      </c>
      <c r="O639" s="21">
        <f t="shared" si="107"/>
        <v>14.090769970365937</v>
      </c>
      <c r="P639">
        <f t="shared" si="103"/>
        <v>0.46783658229399894</v>
      </c>
      <c r="Q639">
        <f t="shared" si="100"/>
        <v>0.684381189439912</v>
      </c>
      <c r="R639">
        <f t="shared" si="101"/>
        <v>-3.1459273046184664</v>
      </c>
      <c r="T639" s="21">
        <f>(M639-M638)/(H639-H638)</f>
        <v>3.990625118713842E-4</v>
      </c>
      <c r="W639">
        <v>524</v>
      </c>
      <c r="X639">
        <v>13.924211</v>
      </c>
      <c r="Y639">
        <v>1</v>
      </c>
      <c r="Z639">
        <f t="shared" si="108"/>
        <v>1</v>
      </c>
      <c r="AA639" s="21">
        <f>IF(X639&gt;$B$8+$B$9,0,ABS(X639-O639)/X639)</f>
        <v>1.1961824649593226E-2</v>
      </c>
      <c r="AB639">
        <f>IF(OR(Z636&lt;&gt;Z642,X639&gt;$B$8+$B$9),0,((X642-X636)/(W642-W636)-(O642-O636)/(W642-W636))^2)</f>
        <v>4.1892667251129673E-6</v>
      </c>
    </row>
    <row r="640" spans="7:28" x14ac:dyDescent="0.2">
      <c r="G640" s="21"/>
      <c r="H640" s="21">
        <v>525</v>
      </c>
      <c r="I640">
        <f t="shared" si="104"/>
        <v>7.957324410454018E-3</v>
      </c>
      <c r="J640">
        <f t="shared" si="105"/>
        <v>0.68410809795417371</v>
      </c>
      <c r="K640">
        <f t="shared" si="99"/>
        <v>27.109955798883991</v>
      </c>
      <c r="L640">
        <f>0.5*Z640*K640/J640/$B$7</f>
        <v>19.814087773523188</v>
      </c>
      <c r="M640">
        <f t="shared" si="102"/>
        <v>0.37963933590156862</v>
      </c>
      <c r="N640" s="21">
        <f t="shared" si="106"/>
        <v>5.0167699211544618E-2</v>
      </c>
      <c r="O640" s="21">
        <f t="shared" si="107"/>
        <v>14.09872729477639</v>
      </c>
      <c r="P640">
        <f t="shared" si="103"/>
        <v>0.46824138132075743</v>
      </c>
      <c r="Q640">
        <f t="shared" si="100"/>
        <v>0.68410809795417371</v>
      </c>
      <c r="R640">
        <f t="shared" si="101"/>
        <v>-3.171666919927139</v>
      </c>
      <c r="T640" s="21">
        <f>(M640-M639)/(H640-H639)</f>
        <v>3.9911381386614764E-4</v>
      </c>
      <c r="W640">
        <v>525</v>
      </c>
      <c r="X640">
        <v>13.924211</v>
      </c>
      <c r="Y640">
        <v>1</v>
      </c>
      <c r="Z640">
        <f t="shared" si="108"/>
        <v>1</v>
      </c>
      <c r="AA640" s="21">
        <f>IF(X640&gt;$B$8+$B$9,0,ABS(X640-O640)/X640)</f>
        <v>1.253329863906763E-2</v>
      </c>
      <c r="AB640">
        <f>IF(OR(Z637&lt;&gt;Z643,X640&gt;$B$8+$B$9),0,((X643-X637)/(W643-W637)-(O643-O637)/(W643-W637))^2)</f>
        <v>2.1500198287321584E-6</v>
      </c>
    </row>
    <row r="641" spans="7:28" x14ac:dyDescent="0.2">
      <c r="G641" s="21"/>
      <c r="H641" s="21">
        <v>526</v>
      </c>
      <c r="I641">
        <f t="shared" si="104"/>
        <v>7.9548956083399826E-3</v>
      </c>
      <c r="J641">
        <f t="shared" si="105"/>
        <v>0.68383508003792381</v>
      </c>
      <c r="K641">
        <f t="shared" si="99"/>
        <v>27.10092915396417</v>
      </c>
      <c r="L641">
        <f>0.5*Z641*K641/J641/$B$7</f>
        <v>19.815398438217894</v>
      </c>
      <c r="M641">
        <f t="shared" si="102"/>
        <v>0.38003850148719726</v>
      </c>
      <c r="N641" s="21">
        <f t="shared" si="106"/>
        <v>5.0189515134808065E-2</v>
      </c>
      <c r="O641" s="21">
        <f t="shared" si="107"/>
        <v>14.106682190384729</v>
      </c>
      <c r="P641">
        <f t="shared" si="103"/>
        <v>0.4686460712966708</v>
      </c>
      <c r="Q641">
        <f t="shared" si="100"/>
        <v>0.68383508003792381</v>
      </c>
      <c r="R641">
        <f t="shared" si="101"/>
        <v>-3.1978241003351373</v>
      </c>
      <c r="T641" s="21">
        <f>(M641-M640)/(H641-H640)</f>
        <v>3.991655856286358E-4</v>
      </c>
      <c r="W641">
        <v>526</v>
      </c>
      <c r="X641">
        <v>13.930700999999999</v>
      </c>
      <c r="Y641">
        <v>1</v>
      </c>
      <c r="Z641">
        <f t="shared" si="108"/>
        <v>1</v>
      </c>
      <c r="AA641" s="21">
        <f>IF(X641&gt;$B$8+$B$9,0,ABS(X641-O641)/X641)</f>
        <v>1.2632615572233614E-2</v>
      </c>
      <c r="AB641">
        <f>IF(OR(Z638&lt;&gt;Z644,X641&gt;$B$8+$B$9),0,((X644-X638)/(W644-W638)-(O644-O638)/(W644-W638))^2)</f>
        <v>5.175802966967545E-6</v>
      </c>
    </row>
    <row r="642" spans="7:28" x14ac:dyDescent="0.2">
      <c r="G642" s="21"/>
      <c r="H642" s="21">
        <v>527</v>
      </c>
      <c r="I642">
        <f t="shared" si="104"/>
        <v>7.9524802233882624E-3</v>
      </c>
      <c r="J642">
        <f t="shared" si="105"/>
        <v>0.6835621353693353</v>
      </c>
      <c r="K642">
        <f t="shared" si="99"/>
        <v>27.091919901180621</v>
      </c>
      <c r="L642">
        <f>0.5*Z642*K642/J642/$B$7</f>
        <v>19.816720748101847</v>
      </c>
      <c r="M642">
        <f t="shared" si="102"/>
        <v>0.38043771931379239</v>
      </c>
      <c r="N642" s="21">
        <f t="shared" si="106"/>
        <v>5.0211318717191776E-2</v>
      </c>
      <c r="O642" s="21">
        <f t="shared" si="107"/>
        <v>14.114634670608117</v>
      </c>
      <c r="P642">
        <f t="shared" si="103"/>
        <v>0.46905065269877799</v>
      </c>
      <c r="Q642">
        <f t="shared" si="100"/>
        <v>0.6835621353693353</v>
      </c>
      <c r="R642">
        <f t="shared" si="101"/>
        <v>-3.2244091186501094</v>
      </c>
      <c r="T642" s="21">
        <f>(M642-M641)/(H642-H641)</f>
        <v>3.9921782659513294E-4</v>
      </c>
      <c r="W642">
        <v>527</v>
      </c>
      <c r="X642">
        <v>13.940435999999998</v>
      </c>
      <c r="Y642">
        <v>1</v>
      </c>
      <c r="Z642">
        <f t="shared" si="108"/>
        <v>1</v>
      </c>
      <c r="AA642" s="21">
        <f>IF(X642&gt;$B$8+$B$9,0,ABS(X642-O642)/X642)</f>
        <v>1.2495927000283126E-2</v>
      </c>
      <c r="AB642">
        <f>IF(OR(Z639&lt;&gt;Z645,X642&gt;$B$8+$B$9),0,((X645-X639)/(W645-W639)-(O645-O639)/(W645-W639))^2)</f>
        <v>9.4550270351398028E-7</v>
      </c>
    </row>
    <row r="643" spans="7:28" x14ac:dyDescent="0.2">
      <c r="G643" s="21"/>
      <c r="H643" s="21">
        <v>528</v>
      </c>
      <c r="I643">
        <f t="shared" si="104"/>
        <v>7.9500782172873298E-3</v>
      </c>
      <c r="J643">
        <f t="shared" si="105"/>
        <v>0.68328926362746367</v>
      </c>
      <c r="K643">
        <f t="shared" ref="K643:K706" si="109">IF(O643&lt;$B$8+$B$9,0.5*(($B$8+$B$9)^2+O643^2)/O643-$B$9,$B$8)</f>
        <v>27.082927987329885</v>
      </c>
      <c r="L643">
        <f>0.5*Z643*K643/J643/$B$7</f>
        <v>19.818054687081823</v>
      </c>
      <c r="M643">
        <f t="shared" si="102"/>
        <v>0.38083698984999981</v>
      </c>
      <c r="N643" s="21">
        <f t="shared" si="106"/>
        <v>5.0233110008737897E-2</v>
      </c>
      <c r="O643" s="21">
        <f t="shared" si="107"/>
        <v>14.122584748825405</v>
      </c>
      <c r="P643">
        <f t="shared" si="103"/>
        <v>0.46945512600280981</v>
      </c>
      <c r="Q643">
        <f t="shared" ref="Q643:Q706" si="110">1-B$15*P643</f>
        <v>0.68328926362746367</v>
      </c>
      <c r="R643">
        <f t="shared" ref="R643:R706" si="111">$E$15/(P643+$E$16)</f>
        <v>-3.251432587379361</v>
      </c>
      <c r="T643" s="21">
        <f>(M643-M642)/(H643-H642)</f>
        <v>3.9927053620741892E-4</v>
      </c>
      <c r="W643">
        <v>528</v>
      </c>
      <c r="X643">
        <v>13.945302999999999</v>
      </c>
      <c r="Y643">
        <v>1</v>
      </c>
      <c r="Z643">
        <f t="shared" si="108"/>
        <v>1</v>
      </c>
      <c r="AA643" s="21">
        <f>IF(X643&gt;$B$8+$B$9,0,ABS(X643-O643)/X643)</f>
        <v>1.2712649472399843E-2</v>
      </c>
      <c r="AB643">
        <f>IF(OR(Z640&lt;&gt;Z646,X643&gt;$B$8+$B$9),0,((X646-X640)/(W646-W640)-(O646-O640)/(W646-W640))^2)</f>
        <v>6.7457855815599048E-6</v>
      </c>
    </row>
    <row r="644" spans="7:28" x14ac:dyDescent="0.2">
      <c r="G644" s="21"/>
      <c r="H644" s="21">
        <v>529</v>
      </c>
      <c r="I644">
        <f t="shared" si="104"/>
        <v>7.9476895519568456E-3</v>
      </c>
      <c r="J644">
        <f t="shared" si="105"/>
        <v>0.68301646449224229</v>
      </c>
      <c r="K644">
        <f t="shared" si="109"/>
        <v>27.073953359454347</v>
      </c>
      <c r="L644">
        <f>0.5*Z644*K644/J644/$B$7</f>
        <v>19.819400239188415</v>
      </c>
      <c r="M644">
        <f t="shared" ref="M644:M707" si="112">-LN(J644)</f>
        <v>0.38123631356391241</v>
      </c>
      <c r="N644" s="21">
        <f t="shared" si="106"/>
        <v>5.0254889059339163E-2</v>
      </c>
      <c r="O644" s="21">
        <f t="shared" si="107"/>
        <v>14.130532438377362</v>
      </c>
      <c r="P644">
        <f t="shared" ref="P644:P707" si="113">MIN(O644/(K644+$B$9),1)</f>
        <v>0.46985949168319591</v>
      </c>
      <c r="Q644">
        <f t="shared" si="110"/>
        <v>0.68301646449224229</v>
      </c>
      <c r="R644">
        <f t="shared" si="111"/>
        <v>-3.2789054728886038</v>
      </c>
      <c r="T644" s="21">
        <f>(M644-M643)/(H644-H643)</f>
        <v>3.9932371391260268E-4</v>
      </c>
      <c r="W644">
        <v>529</v>
      </c>
      <c r="X644">
        <v>13.959906</v>
      </c>
      <c r="Y644">
        <v>1</v>
      </c>
      <c r="Z644">
        <f t="shared" si="108"/>
        <v>1</v>
      </c>
      <c r="AA644" s="21">
        <f>IF(X644&gt;$B$8+$B$9,0,ABS(X644-O644)/X644)</f>
        <v>1.2222606540284831E-2</v>
      </c>
      <c r="AB644">
        <f>IF(OR(Z641&lt;&gt;Z647,X644&gt;$B$8+$B$9),0,((X647-X641)/(W647-W641)-(O647-O641)/(W647-W641))^2)</f>
        <v>6.7581649597597636E-6</v>
      </c>
    </row>
    <row r="645" spans="7:28" x14ac:dyDescent="0.2">
      <c r="G645" s="21"/>
      <c r="H645" s="21">
        <v>530</v>
      </c>
      <c r="I645">
        <f t="shared" ref="I645:I708" si="114">IF(P644&lt;0.999,MAX(0,MIN(10000000,(L644/$E$8/M644^$E$10)^(1/$E$9)/N644)),0.1)</f>
        <v>7.9453141895462227E-3</v>
      </c>
      <c r="J645">
        <f t="shared" ref="J645:J708" si="115">Q645</f>
        <v>0.6827437376444766</v>
      </c>
      <c r="K645">
        <f t="shared" si="109"/>
        <v>27.064995964840744</v>
      </c>
      <c r="L645">
        <f>0.5*Z645*K645/J645/$B$7</f>
        <v>19.820757388575441</v>
      </c>
      <c r="M645">
        <f t="shared" si="112"/>
        <v>0.38163569092307703</v>
      </c>
      <c r="N645" s="21">
        <f t="shared" ref="N645:N708" si="116">-$B$15*(O645-2*(K645+$B$9))/(K645+$B$9)^2/J645</f>
        <v>5.0276655918739942E-2</v>
      </c>
      <c r="O645" s="21">
        <f t="shared" ref="O645:O708" si="117">O644+I645*(H645-H644)</f>
        <v>14.138477752566908</v>
      </c>
      <c r="P645">
        <f t="shared" si="113"/>
        <v>0.47026375021307276</v>
      </c>
      <c r="Q645">
        <f t="shared" si="110"/>
        <v>0.6827437376444766</v>
      </c>
      <c r="R645">
        <f t="shared" si="111"/>
        <v>-3.3068391102748906</v>
      </c>
      <c r="T645" s="21">
        <f>(M645-M644)/(H645-H644)</f>
        <v>3.9937735916462103E-4</v>
      </c>
      <c r="W645">
        <v>530</v>
      </c>
      <c r="X645">
        <v>13.977753</v>
      </c>
      <c r="Y645">
        <v>1</v>
      </c>
      <c r="Z645">
        <f t="shared" si="108"/>
        <v>1</v>
      </c>
      <c r="AA645" s="21">
        <f>IF(X645&gt;$B$8+$B$9,0,ABS(X645-O645)/X645)</f>
        <v>1.1498611584201584E-2</v>
      </c>
      <c r="AB645">
        <f>IF(OR(Z642&lt;&gt;Z648,X645&gt;$B$8+$B$9),0,((X648-X642)/(W648-W642)-(O648-O642)/(W648-W642))^2)</f>
        <v>1.5634241448557447E-5</v>
      </c>
    </row>
    <row r="646" spans="7:28" x14ac:dyDescent="0.2">
      <c r="G646" s="21"/>
      <c r="H646" s="21">
        <v>531</v>
      </c>
      <c r="I646">
        <f t="shared" si="114"/>
        <v>7.9429520924332413E-3</v>
      </c>
      <c r="J646">
        <f t="shared" si="115"/>
        <v>0.68247108276584045</v>
      </c>
      <c r="K646">
        <f t="shared" si="109"/>
        <v>27.056055751018761</v>
      </c>
      <c r="L646">
        <f>0.5*Z646*K646/J646/$B$7</f>
        <v>19.822126119519293</v>
      </c>
      <c r="M646">
        <f t="shared" si="112"/>
        <v>0.38203512239449816</v>
      </c>
      <c r="N646" s="21">
        <f t="shared" si="116"/>
        <v>5.029841063653695E-2</v>
      </c>
      <c r="O646" s="21">
        <f t="shared" si="117"/>
        <v>14.146420704659342</v>
      </c>
      <c r="P646">
        <f t="shared" si="113"/>
        <v>0.4706679020642901</v>
      </c>
      <c r="Q646">
        <f t="shared" si="110"/>
        <v>0.68247108276584045</v>
      </c>
      <c r="R646">
        <f t="shared" si="111"/>
        <v>-3.3352452189959489</v>
      </c>
      <c r="T646" s="21">
        <f>(M646-M645)/(H646-H645)</f>
        <v>3.9943147142113E-4</v>
      </c>
      <c r="W646">
        <v>531</v>
      </c>
      <c r="X646">
        <v>13.987487999999999</v>
      </c>
      <c r="Y646">
        <v>1</v>
      </c>
      <c r="Z646">
        <f t="shared" si="108"/>
        <v>1</v>
      </c>
      <c r="AA646" s="21">
        <f>IF(X646&gt;$B$8+$B$9,0,ABS(X646-O646)/X646)</f>
        <v>1.1362490867505482E-2</v>
      </c>
      <c r="AB646">
        <f>IF(OR(Z643&lt;&gt;Z649,X646&gt;$B$8+$B$9),0,((X649-X643)/(W649-W643)-(O649-O643)/(W649-W643))^2)</f>
        <v>2.2731008389357842E-5</v>
      </c>
    </row>
    <row r="647" spans="7:28" x14ac:dyDescent="0.2">
      <c r="G647" s="21"/>
      <c r="H647" s="21">
        <v>532</v>
      </c>
      <c r="I647">
        <f t="shared" si="114"/>
        <v>7.9406032232225681E-3</v>
      </c>
      <c r="J647">
        <f t="shared" si="115"/>
        <v>0.6821984995388708</v>
      </c>
      <c r="K647">
        <f t="shared" si="109"/>
        <v>27.04713266575957</v>
      </c>
      <c r="L647">
        <f>0.5*Z647*K647/J647/$B$7</f>
        <v>19.823506416418361</v>
      </c>
      <c r="M647">
        <f t="shared" si="112"/>
        <v>0.38243460844464433</v>
      </c>
      <c r="N647" s="21">
        <f t="shared" si="116"/>
        <v>5.0320153262180256E-2</v>
      </c>
      <c r="O647" s="21">
        <f t="shared" si="117"/>
        <v>14.154361307882564</v>
      </c>
      <c r="P647">
        <f t="shared" si="113"/>
        <v>0.47107194770741867</v>
      </c>
      <c r="Q647">
        <f t="shared" si="110"/>
        <v>0.6821984995388708</v>
      </c>
      <c r="R647">
        <f t="shared" si="111"/>
        <v>-3.3641359193013805</v>
      </c>
      <c r="T647" s="21">
        <f>(M647-M646)/(H647-H646)</f>
        <v>3.9948605014616945E-4</v>
      </c>
      <c r="W647">
        <v>532</v>
      </c>
      <c r="X647">
        <v>13.993977999999998</v>
      </c>
      <c r="Y647">
        <v>1</v>
      </c>
      <c r="Z647">
        <f t="shared" si="108"/>
        <v>1</v>
      </c>
      <c r="AA647" s="21">
        <f>IF(X647&gt;$B$8+$B$9,0,ABS(X647-O647)/X647)</f>
        <v>1.1460880378871911E-2</v>
      </c>
      <c r="AB647">
        <f>IF(OR(Z644&lt;&gt;Z650,X647&gt;$B$8+$B$9),0,((X650-X644)/(W650-W644)-(O650-O644)/(W650-W644))^2)</f>
        <v>6.7940875391312661E-6</v>
      </c>
    </row>
    <row r="648" spans="7:28" x14ac:dyDescent="0.2">
      <c r="G648" s="21"/>
      <c r="H648" s="21">
        <v>533</v>
      </c>
      <c r="I648">
        <f t="shared" si="114"/>
        <v>7.9382675447444012E-3</v>
      </c>
      <c r="J648">
        <f t="shared" si="115"/>
        <v>0.68192598764696188</v>
      </c>
      <c r="K648">
        <f t="shared" si="109"/>
        <v>27.038226657074418</v>
      </c>
      <c r="L648">
        <f>0.5*Z648*K648/J648/$B$7</f>
        <v>19.824898263792452</v>
      </c>
      <c r="M648">
        <f t="shared" si="112"/>
        <v>0.38283414953945488</v>
      </c>
      <c r="N648" s="21">
        <f t="shared" si="116"/>
        <v>5.0341883844974226E-2</v>
      </c>
      <c r="O648" s="21">
        <f t="shared" si="117"/>
        <v>14.162299575427308</v>
      </c>
      <c r="P648">
        <f t="shared" si="113"/>
        <v>0.47147588761175724</v>
      </c>
      <c r="Q648">
        <f t="shared" si="110"/>
        <v>0.68192598764696188</v>
      </c>
      <c r="R648">
        <f t="shared" si="111"/>
        <v>-3.3935237495139843</v>
      </c>
      <c r="T648" s="21">
        <f>(M648-M647)/(H648-H647)</f>
        <v>3.9954109481055156E-4</v>
      </c>
      <c r="W648">
        <v>533</v>
      </c>
      <c r="X648">
        <v>14.011824999999998</v>
      </c>
      <c r="Y648">
        <v>1</v>
      </c>
      <c r="Z648">
        <f t="shared" si="108"/>
        <v>1</v>
      </c>
      <c r="AA648" s="21">
        <f>IF(X648&gt;$B$8+$B$9,0,ABS(X648-O648)/X648)</f>
        <v>1.0739113243800166E-2</v>
      </c>
      <c r="AB648">
        <f>IF(OR(Z645&lt;&gt;Z651,X648&gt;$B$8+$B$9),0,((X651-X645)/(W651-W645)-(O651-O645)/(W651-W645))^2)</f>
        <v>1.3035400685451686E-5</v>
      </c>
    </row>
    <row r="649" spans="7:28" x14ac:dyDescent="0.2">
      <c r="G649" s="21"/>
      <c r="H649" s="21">
        <v>534</v>
      </c>
      <c r="I649">
        <f t="shared" si="114"/>
        <v>7.9359450200530476E-3</v>
      </c>
      <c r="J649">
        <f t="shared" si="115"/>
        <v>0.6816535467743623</v>
      </c>
      <c r="K649">
        <f t="shared" si="109"/>
        <v>27.029337673213217</v>
      </c>
      <c r="L649">
        <f>0.5*Z649*K649/J649/$B$7</f>
        <v>19.826301646282154</v>
      </c>
      <c r="M649">
        <f t="shared" si="112"/>
        <v>0.38323374614434297</v>
      </c>
      <c r="N649" s="21">
        <f t="shared" si="116"/>
        <v>5.0363602434078295E-2</v>
      </c>
      <c r="O649" s="21">
        <f t="shared" si="117"/>
        <v>14.170235520447362</v>
      </c>
      <c r="P649">
        <f t="shared" si="113"/>
        <v>0.47187972224533947</v>
      </c>
      <c r="Q649">
        <f t="shared" si="110"/>
        <v>0.6816535467743623</v>
      </c>
      <c r="R649">
        <f t="shared" si="111"/>
        <v>-3.4234216842130123</v>
      </c>
      <c r="T649" s="21">
        <f>(M649-M648)/(H649-H648)</f>
        <v>3.9959660488808613E-4</v>
      </c>
      <c r="W649">
        <v>534</v>
      </c>
      <c r="X649">
        <v>14.021560000000001</v>
      </c>
      <c r="Y649">
        <v>1</v>
      </c>
      <c r="Z649">
        <f t="shared" si="108"/>
        <v>1</v>
      </c>
      <c r="AA649" s="21">
        <f>IF(X649&gt;$B$8+$B$9,0,ABS(X649-O649)/X649)</f>
        <v>1.0603350871612049E-2</v>
      </c>
      <c r="AB649">
        <f>IF(OR(Z646&lt;&gt;Z652,X649&gt;$B$8+$B$9),0,((X652-X646)/(W652-W646)-(O652-O646)/(W652-W646))^2)</f>
        <v>8.6132842878081308E-9</v>
      </c>
    </row>
    <row r="650" spans="7:28" x14ac:dyDescent="0.2">
      <c r="G650" s="21"/>
      <c r="H650" s="21">
        <v>535</v>
      </c>
      <c r="I650">
        <f t="shared" si="114"/>
        <v>7.9336356124255648E-3</v>
      </c>
      <c r="J650">
        <f t="shared" si="115"/>
        <v>0.6813811766061687</v>
      </c>
      <c r="K650">
        <f t="shared" si="109"/>
        <v>27.020465662663145</v>
      </c>
      <c r="L650">
        <f>0.5*Z650*K650/J650/$B$7</f>
        <v>19.827716548648286</v>
      </c>
      <c r="M650">
        <f t="shared" si="112"/>
        <v>0.38363339872420293</v>
      </c>
      <c r="N650" s="21">
        <f t="shared" si="116"/>
        <v>5.0385309078507877E-2</v>
      </c>
      <c r="O650" s="21">
        <f t="shared" si="117"/>
        <v>14.178169156059788</v>
      </c>
      <c r="P650">
        <f t="shared" si="113"/>
        <v>0.47228345207494121</v>
      </c>
      <c r="Q650">
        <f t="shared" si="110"/>
        <v>0.6813811766061687</v>
      </c>
      <c r="R650">
        <f t="shared" si="111"/>
        <v>-3.4538431533747986</v>
      </c>
      <c r="T650" s="21">
        <f>(M650-M649)/(H650-H649)</f>
        <v>3.9965257985996594E-4</v>
      </c>
      <c r="W650">
        <v>535</v>
      </c>
      <c r="X650">
        <v>14.023181999999998</v>
      </c>
      <c r="Y650">
        <v>1</v>
      </c>
      <c r="Z650">
        <f t="shared" si="108"/>
        <v>1</v>
      </c>
      <c r="AA650" s="21">
        <f>IF(X650&gt;$B$8+$B$9,0,ABS(X650-O650)/X650)</f>
        <v>1.1052210265814801E-2</v>
      </c>
      <c r="AB650">
        <f>IF(OR(Z647&lt;&gt;Z653,X650&gt;$B$8+$B$9),0,((X653-X647)/(W653-W647)-(O653-O647)/(W653-W647))^2)</f>
        <v>9.8240171603587141E-7</v>
      </c>
    </row>
    <row r="651" spans="7:28" x14ac:dyDescent="0.2">
      <c r="G651" s="21"/>
      <c r="H651" s="21">
        <v>536</v>
      </c>
      <c r="I651">
        <f t="shared" si="114"/>
        <v>7.931339285360375E-3</v>
      </c>
      <c r="J651">
        <f t="shared" si="115"/>
        <v>0.68110887682832177</v>
      </c>
      <c r="K651">
        <f t="shared" si="109"/>
        <v>27.011610574147245</v>
      </c>
      <c r="L651">
        <f>0.5*Z651*K651/J651/$B$7</f>
        <v>19.829142955771307</v>
      </c>
      <c r="M651">
        <f t="shared" si="112"/>
        <v>0.38403310774341509</v>
      </c>
      <c r="N651" s="21">
        <f t="shared" si="116"/>
        <v>5.0407003827135297E-2</v>
      </c>
      <c r="O651" s="21">
        <f t="shared" si="117"/>
        <v>14.186100495345148</v>
      </c>
      <c r="P651">
        <f t="shared" si="113"/>
        <v>0.47268707756608741</v>
      </c>
      <c r="Q651">
        <f t="shared" si="110"/>
        <v>0.68110887682832177</v>
      </c>
      <c r="R651">
        <f t="shared" si="111"/>
        <v>-3.4848020625300284</v>
      </c>
      <c r="T651" s="21">
        <f>(M651-M650)/(H651-H650)</f>
        <v>3.9970901921215773E-4</v>
      </c>
      <c r="W651">
        <v>536</v>
      </c>
      <c r="X651">
        <v>14.003712999999998</v>
      </c>
      <c r="Y651">
        <v>1</v>
      </c>
      <c r="Z651">
        <f t="shared" si="108"/>
        <v>1</v>
      </c>
      <c r="AA651" s="21">
        <f>IF(X651&gt;$B$8+$B$9,0,ABS(X651-O651)/X651)</f>
        <v>1.3024224028666549E-2</v>
      </c>
      <c r="AB651">
        <f>IF(OR(Z648&lt;&gt;Z654,X651&gt;$B$8+$B$9),0,((X654-X648)/(W654-W648)-(O654-O648)/(W654-W648))^2)</f>
        <v>3.9570182123594793E-7</v>
      </c>
    </row>
    <row r="652" spans="7:28" x14ac:dyDescent="0.2">
      <c r="G652" s="21"/>
      <c r="H652" s="21">
        <v>537</v>
      </c>
      <c r="I652">
        <f t="shared" si="114"/>
        <v>7.9290560025758981E-3</v>
      </c>
      <c r="J652">
        <f t="shared" si="115"/>
        <v>0.6808366471276015</v>
      </c>
      <c r="K652">
        <f t="shared" si="109"/>
        <v>27.002772356623055</v>
      </c>
      <c r="L652">
        <f>0.5*Z652*K652/J652/$B$7</f>
        <v>19.830580852650716</v>
      </c>
      <c r="M652">
        <f t="shared" si="112"/>
        <v>0.38443287366585088</v>
      </c>
      <c r="N652" s="21">
        <f t="shared" si="116"/>
        <v>5.0428686728690587E-2</v>
      </c>
      <c r="O652" s="21">
        <f t="shared" si="117"/>
        <v>14.194029551347723</v>
      </c>
      <c r="P652">
        <f t="shared" si="113"/>
        <v>0.47309059918305912</v>
      </c>
      <c r="Q652">
        <f t="shared" si="110"/>
        <v>0.6808366471276015</v>
      </c>
      <c r="R652">
        <f t="shared" si="111"/>
        <v>-3.5163128140012501</v>
      </c>
      <c r="T652" s="21">
        <f>(M652-M651)/(H652-H651)</f>
        <v>3.9976592243579079E-4</v>
      </c>
      <c r="W652">
        <v>537</v>
      </c>
      <c r="X652">
        <v>14.03454</v>
      </c>
      <c r="Y652">
        <v>1</v>
      </c>
      <c r="Z652">
        <f t="shared" si="108"/>
        <v>1</v>
      </c>
      <c r="AA652" s="21">
        <f>IF(X652&gt;$B$8+$B$9,0,ABS(X652-O652)/X652)</f>
        <v>1.1364074016513808E-2</v>
      </c>
      <c r="AB652">
        <f>IF(OR(Z649&lt;&gt;Z655,X652&gt;$B$8+$B$9),0,((X655-X649)/(W655-W649)-(O655-O649)/(W655-W649))^2)</f>
        <v>3.9284253714493926E-7</v>
      </c>
    </row>
    <row r="653" spans="7:28" x14ac:dyDescent="0.2">
      <c r="G653" s="21"/>
      <c r="H653" s="21">
        <v>538</v>
      </c>
      <c r="I653">
        <f t="shared" si="114"/>
        <v>7.9267857280092453E-3</v>
      </c>
      <c r="J653">
        <f t="shared" si="115"/>
        <v>0.68056448719162221</v>
      </c>
      <c r="K653">
        <f t="shared" si="109"/>
        <v>26.993950959281229</v>
      </c>
      <c r="L653">
        <f>0.5*Z653*K653/J653/$B$7</f>
        <v>19.832030224404519</v>
      </c>
      <c r="M653">
        <f t="shared" si="112"/>
        <v>0.38483269695487876</v>
      </c>
      <c r="N653" s="21">
        <f t="shared" si="116"/>
        <v>5.0450357831762417E-2</v>
      </c>
      <c r="O653" s="21">
        <f t="shared" si="117"/>
        <v>14.201956337075734</v>
      </c>
      <c r="P653">
        <f t="shared" si="113"/>
        <v>0.47349401738890046</v>
      </c>
      <c r="Q653">
        <f t="shared" si="110"/>
        <v>0.68056448719162221</v>
      </c>
      <c r="R653">
        <f t="shared" si="111"/>
        <v>-3.5483903292887535</v>
      </c>
      <c r="T653" s="21">
        <f>(M653-M652)/(H653-H652)</f>
        <v>3.9982328902787856E-4</v>
      </c>
      <c r="W653">
        <v>538</v>
      </c>
      <c r="X653">
        <v>14.047519999999999</v>
      </c>
      <c r="Y653">
        <v>1</v>
      </c>
      <c r="Z653">
        <f t="shared" si="108"/>
        <v>1</v>
      </c>
      <c r="AA653" s="21">
        <f>IF(X653&gt;$B$8+$B$9,0,ABS(X653-O653)/X653)</f>
        <v>1.0993850663728181E-2</v>
      </c>
      <c r="AB653">
        <f>IF(OR(Z650&lt;&gt;Z656,X653&gt;$B$8+$B$9),0,((X656-X650)/(W656-W650)-(O656-O650)/(W656-W650))^2)</f>
        <v>6.8669799831389723E-6</v>
      </c>
    </row>
    <row r="654" spans="7:28" x14ac:dyDescent="0.2">
      <c r="G654" s="21"/>
      <c r="H654" s="21">
        <v>539</v>
      </c>
      <c r="I654">
        <f t="shared" si="114"/>
        <v>7.9245284258148158E-3</v>
      </c>
      <c r="J654">
        <f t="shared" si="115"/>
        <v>0.68029239670882802</v>
      </c>
      <c r="K654">
        <f t="shared" si="109"/>
        <v>26.985146331544176</v>
      </c>
      <c r="L654">
        <f>0.5*Z654*K654/J654/$B$7</f>
        <v>19.833491056268624</v>
      </c>
      <c r="M654">
        <f t="shared" si="112"/>
        <v>0.38523257807336941</v>
      </c>
      <c r="N654" s="21">
        <f t="shared" si="116"/>
        <v>5.0472017184798913E-2</v>
      </c>
      <c r="O654" s="21">
        <f t="shared" si="117"/>
        <v>14.209880865501548</v>
      </c>
      <c r="P654">
        <f t="shared" si="113"/>
        <v>0.47389733264542544</v>
      </c>
      <c r="Q654">
        <f t="shared" si="110"/>
        <v>0.68029239670882802</v>
      </c>
      <c r="R654">
        <f t="shared" si="111"/>
        <v>-3.5810500726779346</v>
      </c>
      <c r="T654" s="21">
        <f>(M654-M653)/(H654-H653)</f>
        <v>3.9988111849065255E-4</v>
      </c>
      <c r="W654">
        <v>539</v>
      </c>
      <c r="X654">
        <v>14.055631999999999</v>
      </c>
      <c r="Y654">
        <v>1</v>
      </c>
      <c r="Z654">
        <f t="shared" si="108"/>
        <v>1</v>
      </c>
      <c r="AA654" s="21">
        <f>IF(X654&gt;$B$8+$B$9,0,ABS(X654-O654)/X654)</f>
        <v>1.0974167899497412E-2</v>
      </c>
      <c r="AB654">
        <f>IF(OR(Z651&lt;&gt;Z657,X654&gt;$B$8+$B$9),0,((X657-X651)/(W657-W651)-(O657-O651)/(W657-W651))^2)</f>
        <v>5.6101246447124268E-5</v>
      </c>
    </row>
    <row r="655" spans="7:28" x14ac:dyDescent="0.2">
      <c r="G655" s="21"/>
      <c r="H655" s="21">
        <v>540</v>
      </c>
      <c r="I655">
        <f t="shared" si="114"/>
        <v>7.9222840603630235E-3</v>
      </c>
      <c r="J655">
        <f t="shared" si="115"/>
        <v>0.68002037536848858</v>
      </c>
      <c r="K655">
        <f t="shared" si="109"/>
        <v>26.97635842306472</v>
      </c>
      <c r="L655">
        <f>0.5*Z655*K655/J655/$B$7</f>
        <v>19.834963333596296</v>
      </c>
      <c r="M655">
        <f t="shared" si="112"/>
        <v>0.38563251748370059</v>
      </c>
      <c r="N655" s="21">
        <f t="shared" si="116"/>
        <v>5.0493664836108509E-2</v>
      </c>
      <c r="O655" s="21">
        <f t="shared" si="117"/>
        <v>14.217803149561911</v>
      </c>
      <c r="P655">
        <f t="shared" si="113"/>
        <v>0.47430054541322475</v>
      </c>
      <c r="Q655">
        <f t="shared" si="110"/>
        <v>0.68002037536848858</v>
      </c>
      <c r="R655">
        <f t="shared" si="111"/>
        <v>-3.6143080761465929</v>
      </c>
      <c r="T655" s="21">
        <f>(M655-M654)/(H655-H654)</f>
        <v>3.9993941033117375E-4</v>
      </c>
      <c r="W655">
        <v>540</v>
      </c>
      <c r="X655">
        <v>14.065366999999998</v>
      </c>
      <c r="Y655">
        <v>1</v>
      </c>
      <c r="Z655">
        <f t="shared" si="108"/>
        <v>1</v>
      </c>
      <c r="AA655" s="21">
        <f>IF(X655&gt;$B$8+$B$9,0,ABS(X655-O655)/X655)</f>
        <v>1.0837694427874715E-2</v>
      </c>
      <c r="AB655">
        <f>IF(OR(Z652&lt;&gt;Z658,X655&gt;$B$8+$B$9),0,((X658-X652)/(W658-W652)-(O658-O652)/(W658-W652))^2)</f>
        <v>1.5816379146929919E-5</v>
      </c>
    </row>
    <row r="656" spans="7:28" x14ac:dyDescent="0.2">
      <c r="G656" s="21"/>
      <c r="H656" s="21">
        <v>541</v>
      </c>
      <c r="I656">
        <f t="shared" si="114"/>
        <v>7.9200525962389787E-3</v>
      </c>
      <c r="J656">
        <f t="shared" si="115"/>
        <v>0.67974842286069381</v>
      </c>
      <c r="K656">
        <f t="shared" si="109"/>
        <v>26.967587183724746</v>
      </c>
      <c r="L656">
        <f>0.5*Z656*K656/J656/$B$7</f>
        <v>19.836447041857593</v>
      </c>
      <c r="M656">
        <f t="shared" si="112"/>
        <v>0.38603251564776336</v>
      </c>
      <c r="N656" s="21">
        <f t="shared" si="116"/>
        <v>5.0515300833860799E-2</v>
      </c>
      <c r="O656" s="21">
        <f t="shared" si="117"/>
        <v>14.22572320215815</v>
      </c>
      <c r="P656">
        <f t="shared" si="113"/>
        <v>0.47470365615167287</v>
      </c>
      <c r="Q656">
        <f t="shared" si="110"/>
        <v>0.67974842286069381</v>
      </c>
      <c r="R656">
        <f t="shared" si="111"/>
        <v>-3.6481809656565143</v>
      </c>
      <c r="T656" s="21">
        <f>(M656-M655)/(H656-H655)</f>
        <v>3.9999816406277588E-4</v>
      </c>
      <c r="W656">
        <v>541</v>
      </c>
      <c r="X656">
        <v>14.086458999999998</v>
      </c>
      <c r="Y656">
        <v>1</v>
      </c>
      <c r="Z656">
        <f t="shared" si="108"/>
        <v>1</v>
      </c>
      <c r="AA656" s="21">
        <f>IF(X656&gt;$B$8+$B$9,0,ABS(X656-O656)/X656)</f>
        <v>9.886388208573375E-3</v>
      </c>
      <c r="AB656">
        <f>IF(OR(Z653&lt;&gt;Z659,X656&gt;$B$8+$B$9),0,((X659-X653)/(W659-W653)-(O659-O653)/(W659-W653))^2)</f>
        <v>1.0090997500677626E-6</v>
      </c>
    </row>
    <row r="657" spans="7:28" x14ac:dyDescent="0.2">
      <c r="G657" s="21"/>
      <c r="H657" s="21">
        <v>542</v>
      </c>
      <c r="I657">
        <f t="shared" si="114"/>
        <v>7.9178339982411503E-3</v>
      </c>
      <c r="J657">
        <f t="shared" si="115"/>
        <v>0.67947653887634996</v>
      </c>
      <c r="K657">
        <f t="shared" si="109"/>
        <v>26.95883256363388</v>
      </c>
      <c r="L657">
        <f>0.5*Z657*K657/J657/$B$7</f>
        <v>19.837942166638815</v>
      </c>
      <c r="M657">
        <f t="shared" si="112"/>
        <v>0.38643257302696654</v>
      </c>
      <c r="N657" s="21">
        <f t="shared" si="116"/>
        <v>5.0536925226087416E-2</v>
      </c>
      <c r="O657" s="21">
        <f t="shared" si="117"/>
        <v>14.233641036156392</v>
      </c>
      <c r="P657">
        <f t="shared" si="113"/>
        <v>0.47510666531893431</v>
      </c>
      <c r="Q657">
        <f t="shared" si="110"/>
        <v>0.67947653887634996</v>
      </c>
      <c r="R657">
        <f t="shared" si="111"/>
        <v>-3.6826859889198009</v>
      </c>
      <c r="T657" s="21">
        <f>(M657-M656)/(H657-H656)</f>
        <v>4.0005737920317808E-4</v>
      </c>
      <c r="W657">
        <v>542</v>
      </c>
      <c r="X657">
        <v>14.096194000000001</v>
      </c>
      <c r="Y657">
        <v>1</v>
      </c>
      <c r="Z657">
        <f t="shared" si="108"/>
        <v>1</v>
      </c>
      <c r="AA657" s="21">
        <f>IF(X657&gt;$B$8+$B$9,0,ABS(X657-O657)/X657)</f>
        <v>9.7506487323026012E-3</v>
      </c>
      <c r="AB657">
        <f>IF(OR(Z654&lt;&gt;Z660,X657&gt;$B$8+$B$9),0,((X660-X654)/(W660-W654)-(O660-O654)/(W660-W654))^2)</f>
        <v>5.4231215822883329E-7</v>
      </c>
    </row>
    <row r="658" spans="7:28" x14ac:dyDescent="0.2">
      <c r="G658" s="21"/>
      <c r="H658" s="21">
        <v>543</v>
      </c>
      <c r="I658">
        <f t="shared" si="114"/>
        <v>7.9156282313801035E-3</v>
      </c>
      <c r="J658">
        <f t="shared" si="115"/>
        <v>0.67920472310717495</v>
      </c>
      <c r="K658">
        <f t="shared" si="109"/>
        <v>26.950094513128153</v>
      </c>
      <c r="L658">
        <f>0.5*Z658*K658/J658/$B$7</f>
        <v>19.839448693641938</v>
      </c>
      <c r="M658">
        <f t="shared" si="112"/>
        <v>0.38683269008224191</v>
      </c>
      <c r="N658" s="21">
        <f t="shared" si="116"/>
        <v>5.0558538060682799E-2</v>
      </c>
      <c r="O658" s="21">
        <f t="shared" si="117"/>
        <v>14.241556664387772</v>
      </c>
      <c r="P658">
        <f t="shared" si="113"/>
        <v>0.47550957337197081</v>
      </c>
      <c r="Q658">
        <f t="shared" si="110"/>
        <v>0.67920472310717495</v>
      </c>
      <c r="R658">
        <f t="shared" si="111"/>
        <v>-3.7178410447375487</v>
      </c>
      <c r="T658" s="21">
        <f>(M658-M657)/(H658-H657)</f>
        <v>4.00117055275373E-4</v>
      </c>
      <c r="W658">
        <v>543</v>
      </c>
      <c r="X658">
        <v>14.105929</v>
      </c>
      <c r="Y658">
        <v>1</v>
      </c>
      <c r="Z658">
        <f t="shared" si="108"/>
        <v>1</v>
      </c>
      <c r="AA658" s="21">
        <f>IF(X658&gt;$B$8+$B$9,0,ABS(X658-O658)/X658)</f>
        <v>9.6149402416368848E-3</v>
      </c>
      <c r="AB658">
        <f>IF(OR(Z655&lt;&gt;Z661,X658&gt;$B$8+$B$9),0,((X661-X655)/(W661-W655)-(O661-O655)/(W661-W655))^2)</f>
        <v>2.4023487689943859E-6</v>
      </c>
    </row>
    <row r="659" spans="7:28" x14ac:dyDescent="0.2">
      <c r="G659" s="21"/>
      <c r="H659" s="21">
        <v>544</v>
      </c>
      <c r="I659">
        <f t="shared" si="114"/>
        <v>7.9134352608771965E-3</v>
      </c>
      <c r="J659">
        <f t="shared" si="115"/>
        <v>0.6789329752456934</v>
      </c>
      <c r="K659">
        <f t="shared" si="109"/>
        <v>26.941372982768694</v>
      </c>
      <c r="L659">
        <f>0.5*Z659*K659/J659/$B$7</f>
        <v>19.840966608684095</v>
      </c>
      <c r="M659">
        <f t="shared" si="112"/>
        <v>0.38723286727405043</v>
      </c>
      <c r="N659" s="21">
        <f t="shared" si="116"/>
        <v>5.0580139385405121E-2</v>
      </c>
      <c r="O659" s="21">
        <f t="shared" si="117"/>
        <v>14.249470099648649</v>
      </c>
      <c r="P659">
        <f t="shared" si="113"/>
        <v>0.47591238076654802</v>
      </c>
      <c r="Q659">
        <f t="shared" si="110"/>
        <v>0.6789329752456934</v>
      </c>
      <c r="R659">
        <f t="shared" si="111"/>
        <v>-3.7536647140155965</v>
      </c>
      <c r="T659" s="21">
        <f>(M659-M658)/(H659-H658)</f>
        <v>4.0017719180851508E-4</v>
      </c>
      <c r="W659">
        <v>544</v>
      </c>
      <c r="X659">
        <v>14.101060999999998</v>
      </c>
      <c r="Y659">
        <v>1</v>
      </c>
      <c r="Z659">
        <f t="shared" si="108"/>
        <v>1</v>
      </c>
      <c r="AA659" s="21">
        <f>IF(X659&gt;$B$8+$B$9,0,ABS(X659-O659)/X659)</f>
        <v>1.05246760969725E-2</v>
      </c>
      <c r="AB659">
        <f>IF(OR(Z656&lt;&gt;Z662,X659&gt;$B$8+$B$9),0,((X662-X656)/(W662-W656)-(O662-O656)/(W662-W656))^2)</f>
        <v>2.2134313491078741E-7</v>
      </c>
    </row>
    <row r="660" spans="7:28" x14ac:dyDescent="0.2">
      <c r="G660" s="21"/>
      <c r="H660" s="21">
        <v>545</v>
      </c>
      <c r="I660">
        <f t="shared" si="114"/>
        <v>7.9112550521633178E-3</v>
      </c>
      <c r="J660">
        <f t="shared" si="115"/>
        <v>0.67866129498523253</v>
      </c>
      <c r="K660">
        <f t="shared" si="109"/>
        <v>26.932667923340446</v>
      </c>
      <c r="L660">
        <f>0.5*Z660*K660/J660/$B$7</f>
        <v>19.84249589769702</v>
      </c>
      <c r="M660">
        <f t="shared" si="112"/>
        <v>0.38763310506238663</v>
      </c>
      <c r="N660" s="21">
        <f t="shared" si="116"/>
        <v>5.0601729247877029E-2</v>
      </c>
      <c r="O660" s="21">
        <f t="shared" si="117"/>
        <v>14.257381354700811</v>
      </c>
      <c r="P660">
        <f t="shared" si="113"/>
        <v>0.4763150879572417</v>
      </c>
      <c r="Q660">
        <f t="shared" si="110"/>
        <v>0.67866129498523253</v>
      </c>
      <c r="R660">
        <f t="shared" si="111"/>
        <v>-3.7901762925702771</v>
      </c>
      <c r="T660" s="21">
        <f>(M660-M659)/(H660-H659)</f>
        <v>4.0023778833619961E-4</v>
      </c>
      <c r="W660">
        <v>545</v>
      </c>
      <c r="X660">
        <v>14.107551000000001</v>
      </c>
      <c r="Y660">
        <v>1</v>
      </c>
      <c r="Z660">
        <f t="shared" si="108"/>
        <v>1</v>
      </c>
      <c r="AA660" s="21">
        <f>IF(X660&gt;$B$8+$B$9,0,ABS(X660-O660)/X660)</f>
        <v>1.0620578632025545E-2</v>
      </c>
      <c r="AB660">
        <f>IF(OR(Z657&lt;&gt;Z663,X660&gt;$B$8+$B$9),0,((X663-X657)/(W663-W657)-(O663-O657)/(W663-W657))^2)</f>
        <v>4.6496386279186808E-9</v>
      </c>
    </row>
    <row r="661" spans="7:28" x14ac:dyDescent="0.2">
      <c r="G661" s="21"/>
      <c r="H661" s="21">
        <v>546</v>
      </c>
      <c r="I661">
        <f t="shared" si="114"/>
        <v>7.9090875708776303E-3</v>
      </c>
      <c r="J661">
        <f t="shared" si="115"/>
        <v>0.67838968201991778</v>
      </c>
      <c r="K661">
        <f t="shared" si="109"/>
        <v>26.923979285850837</v>
      </c>
      <c r="L661">
        <f>0.5*Z661*K661/J661/$B$7</f>
        <v>19.844036546726503</v>
      </c>
      <c r="M661">
        <f t="shared" si="112"/>
        <v>0.38803340390678392</v>
      </c>
      <c r="N661" s="21">
        <f t="shared" si="116"/>
        <v>5.0623307695586525E-2</v>
      </c>
      <c r="O661" s="21">
        <f t="shared" si="117"/>
        <v>14.26529044227169</v>
      </c>
      <c r="P661">
        <f t="shared" si="113"/>
        <v>0.47671769539744491</v>
      </c>
      <c r="Q661">
        <f t="shared" si="110"/>
        <v>0.67838968201991778</v>
      </c>
      <c r="R661">
        <f t="shared" si="111"/>
        <v>-3.8273958258459939</v>
      </c>
      <c r="T661" s="21">
        <f>(M661-M660)/(H661-H660)</f>
        <v>4.0029884439729546E-4</v>
      </c>
      <c r="W661">
        <v>546</v>
      </c>
      <c r="X661">
        <v>14.122153999999998</v>
      </c>
      <c r="Y661">
        <v>1</v>
      </c>
      <c r="Z661">
        <f t="shared" si="108"/>
        <v>1</v>
      </c>
      <c r="AA661" s="21">
        <f>IF(X661&gt;$B$8+$B$9,0,ABS(X661-O661)/X661)</f>
        <v>1.0135595623138753E-2</v>
      </c>
      <c r="AB661">
        <f>IF(OR(Z658&lt;&gt;Z664,X661&gt;$B$8+$B$9),0,((X664-X658)/(W664-W658)-(O664-O658)/(W664-W658))^2)</f>
        <v>3.6827955966149478E-7</v>
      </c>
    </row>
    <row r="662" spans="7:28" x14ac:dyDescent="0.2">
      <c r="G662" s="21"/>
      <c r="H662" s="21">
        <v>547</v>
      </c>
      <c r="I662">
        <f t="shared" si="114"/>
        <v>7.9069327828662876E-3</v>
      </c>
      <c r="J662">
        <f t="shared" si="115"/>
        <v>0.67811813604466831</v>
      </c>
      <c r="K662">
        <f t="shared" si="109"/>
        <v>26.915307021528527</v>
      </c>
      <c r="L662">
        <f>0.5*Z662*K662/J662/$B$7</f>
        <v>19.845588541931864</v>
      </c>
      <c r="M662">
        <f t="shared" si="112"/>
        <v>0.38843376426631954</v>
      </c>
      <c r="N662" s="21">
        <f t="shared" si="116"/>
        <v>5.0644874775887729E-2</v>
      </c>
      <c r="O662" s="21">
        <f t="shared" si="117"/>
        <v>14.273197375054556</v>
      </c>
      <c r="P662">
        <f t="shared" si="113"/>
        <v>0.47712020353937401</v>
      </c>
      <c r="Q662">
        <f t="shared" si="110"/>
        <v>0.67811813604466831</v>
      </c>
      <c r="R662">
        <f t="shared" si="111"/>
        <v>-3.8653441456756878</v>
      </c>
      <c r="T662" s="21">
        <f>(M662-M661)/(H662-H661)</f>
        <v>4.00360359535612E-4</v>
      </c>
      <c r="W662">
        <v>547</v>
      </c>
      <c r="X662">
        <v>14.136755999999998</v>
      </c>
      <c r="Y662">
        <v>1</v>
      </c>
      <c r="Z662">
        <f t="shared" si="108"/>
        <v>1</v>
      </c>
      <c r="AA662" s="21">
        <f>IF(X662&gt;$B$8+$B$9,0,ABS(X662-O662)/X662)</f>
        <v>9.6515335664389829E-3</v>
      </c>
      <c r="AB662">
        <f>IF(OR(Z659&lt;&gt;Z665,X662&gt;$B$8+$B$9),0,((X665-X659)/(W665-W659)-(O665-O659)/(W665-W659))^2)</f>
        <v>1.6596862066214267E-6</v>
      </c>
    </row>
    <row r="663" spans="7:28" x14ac:dyDescent="0.2">
      <c r="G663" s="21"/>
      <c r="H663" s="21">
        <v>548</v>
      </c>
      <c r="I663">
        <f t="shared" si="114"/>
        <v>7.9047906541812336E-3</v>
      </c>
      <c r="J663">
        <f t="shared" si="115"/>
        <v>0.67784665675519218</v>
      </c>
      <c r="K663">
        <f t="shared" si="109"/>
        <v>26.906651081822119</v>
      </c>
      <c r="L663">
        <f>0.5*Z663*K663/J663/$B$7</f>
        <v>19.847151869585449</v>
      </c>
      <c r="M663">
        <f t="shared" si="112"/>
        <v>0.3888341865996206</v>
      </c>
      <c r="N663" s="21">
        <f t="shared" si="116"/>
        <v>5.0666430536001755E-2</v>
      </c>
      <c r="O663" s="21">
        <f t="shared" si="117"/>
        <v>14.281102165708738</v>
      </c>
      <c r="P663">
        <f t="shared" si="113"/>
        <v>0.47752261283407582</v>
      </c>
      <c r="Q663">
        <f t="shared" si="110"/>
        <v>0.67784665675519218</v>
      </c>
      <c r="R663">
        <f t="shared" si="111"/>
        <v>-3.9040429092260363</v>
      </c>
      <c r="T663" s="21">
        <f>(M663-M662)/(H663-H662)</f>
        <v>4.004223333010648E-4</v>
      </c>
      <c r="W663">
        <v>548</v>
      </c>
      <c r="X663">
        <v>14.143245999999998</v>
      </c>
      <c r="Y663">
        <v>1</v>
      </c>
      <c r="Z663">
        <f t="shared" si="108"/>
        <v>1</v>
      </c>
      <c r="AA663" s="21">
        <f>IF(X663&gt;$B$8+$B$9,0,ABS(X663-O663)/X663)</f>
        <v>9.7471376591158985E-3</v>
      </c>
      <c r="AB663">
        <f>IF(OR(Z660&lt;&gt;Z666,X663&gt;$B$8+$B$9),0,((X666-X660)/(W666-W660)-(O666-O660)/(W666-W660))^2)</f>
        <v>3.353503245886605E-6</v>
      </c>
    </row>
    <row r="664" spans="7:28" x14ac:dyDescent="0.2">
      <c r="G664" s="21"/>
      <c r="H664" s="21">
        <v>549</v>
      </c>
      <c r="I664">
        <f t="shared" si="114"/>
        <v>7.9026611510789602E-3</v>
      </c>
      <c r="J664">
        <f t="shared" si="115"/>
        <v>0.67757524384798251</v>
      </c>
      <c r="K664">
        <f t="shared" si="109"/>
        <v>26.898011418398884</v>
      </c>
      <c r="L664">
        <f>0.5*Z664*K664/J664/$B$7</f>
        <v>19.848726516072059</v>
      </c>
      <c r="M664">
        <f t="shared" si="112"/>
        <v>0.38923467136486822</v>
      </c>
      <c r="N664" s="21">
        <f t="shared" si="116"/>
        <v>5.0687975023017522E-2</v>
      </c>
      <c r="O664" s="21">
        <f t="shared" si="117"/>
        <v>14.289004826859816</v>
      </c>
      <c r="P664">
        <f t="shared" si="113"/>
        <v>0.47792492373143358</v>
      </c>
      <c r="Q664">
        <f t="shared" si="110"/>
        <v>0.67757524384798251</v>
      </c>
      <c r="R664">
        <f t="shared" si="111"/>
        <v>-3.9435146402801711</v>
      </c>
      <c r="T664" s="21">
        <f>(M664-M663)/(H664-H663)</f>
        <v>4.0048476524762178E-4</v>
      </c>
      <c r="W664">
        <v>549</v>
      </c>
      <c r="X664">
        <v>14.149736000000001</v>
      </c>
      <c r="Y664">
        <v>1</v>
      </c>
      <c r="Z664">
        <f t="shared" si="108"/>
        <v>1</v>
      </c>
      <c r="AA664" s="21">
        <f>IF(X664&gt;$B$8+$B$9,0,ABS(X664-O664)/X664)</f>
        <v>9.8425035534101604E-3</v>
      </c>
      <c r="AB664">
        <f>IF(OR(Z661&lt;&gt;Z667,X664&gt;$B$8+$B$9),0,((X667-X661)/(W667-W661)-(O667-O661)/(W667-W661))^2)</f>
        <v>3.3606730951860785E-6</v>
      </c>
    </row>
    <row r="665" spans="7:28" x14ac:dyDescent="0.2">
      <c r="G665" s="21"/>
      <c r="H665" s="21">
        <v>550</v>
      </c>
      <c r="I665">
        <f t="shared" si="114"/>
        <v>7.9005442400192413E-3</v>
      </c>
      <c r="J665">
        <f t="shared" si="115"/>
        <v>0.67730389702031313</v>
      </c>
      <c r="K665">
        <f t="shared" si="109"/>
        <v>26.889387983143532</v>
      </c>
      <c r="L665">
        <f>0.5*Z665*K665/J665/$B$7</f>
        <v>19.850312467888465</v>
      </c>
      <c r="M665">
        <f t="shared" si="112"/>
        <v>0.38963521901980275</v>
      </c>
      <c r="N665" s="21">
        <f t="shared" si="116"/>
        <v>5.0709508283892459E-2</v>
      </c>
      <c r="O665" s="21">
        <f t="shared" si="117"/>
        <v>14.296905371099836</v>
      </c>
      <c r="P665">
        <f t="shared" si="113"/>
        <v>0.47832713668017363</v>
      </c>
      <c r="Q665">
        <f t="shared" si="110"/>
        <v>0.67730389702031313</v>
      </c>
      <c r="R665">
        <f t="shared" si="111"/>
        <v>-3.9837827730234316</v>
      </c>
      <c r="T665" s="21">
        <f>(M665-M664)/(H665-H664)</f>
        <v>4.0054765493452438E-4</v>
      </c>
      <c r="W665">
        <v>550</v>
      </c>
      <c r="X665">
        <v>14.156226</v>
      </c>
      <c r="Y665">
        <v>1</v>
      </c>
      <c r="Z665">
        <f t="shared" si="108"/>
        <v>1</v>
      </c>
      <c r="AA665" s="21">
        <f>IF(X665&gt;$B$8+$B$9,0,ABS(X665-O665)/X665)</f>
        <v>9.9376324664381416E-3</v>
      </c>
      <c r="AB665">
        <f>IF(OR(Z662&lt;&gt;Z668,X665&gt;$B$8+$B$9),0,((X668-X662)/(W668-W662)-(O668-O662)/(W668-W662))^2)</f>
        <v>2.3360261732403626E-7</v>
      </c>
    </row>
    <row r="666" spans="7:28" x14ac:dyDescent="0.2">
      <c r="G666" s="21"/>
      <c r="H666" s="21">
        <v>551</v>
      </c>
      <c r="I666">
        <f t="shared" si="114"/>
        <v>7.8984398876639685E-3</v>
      </c>
      <c r="J666">
        <f t="shared" si="115"/>
        <v>0.67703261597023356</v>
      </c>
      <c r="K666">
        <f t="shared" si="109"/>
        <v>26.880780728156939</v>
      </c>
      <c r="L666">
        <f>0.5*Z666*K666/J666/$B$7</f>
        <v>19.85190971164289</v>
      </c>
      <c r="M666">
        <f t="shared" si="112"/>
        <v>0.3900358300217297</v>
      </c>
      <c r="N666" s="21">
        <f t="shared" si="116"/>
        <v>5.0731030365453407E-2</v>
      </c>
      <c r="O666" s="21">
        <f t="shared" si="117"/>
        <v>14.304803810987499</v>
      </c>
      <c r="P666">
        <f t="shared" si="113"/>
        <v>0.47872925212787193</v>
      </c>
      <c r="Q666">
        <f t="shared" si="110"/>
        <v>0.67703261597023356</v>
      </c>
      <c r="R666">
        <f t="shared" si="111"/>
        <v>-4.0248716985109319</v>
      </c>
      <c r="T666" s="21">
        <f>(M666-M665)/(H666-H665)</f>
        <v>4.0061100192695376E-4</v>
      </c>
      <c r="W666">
        <v>551</v>
      </c>
      <c r="X666">
        <v>14.165960999999999</v>
      </c>
      <c r="Y666">
        <v>1</v>
      </c>
      <c r="Z666">
        <f t="shared" si="108"/>
        <v>1</v>
      </c>
      <c r="AA666" s="21">
        <f>IF(X666&gt;$B$8+$B$9,0,ABS(X666-O666)/X666)</f>
        <v>9.801157223819813E-3</v>
      </c>
      <c r="AB666">
        <f>IF(OR(Z663&lt;&gt;Z669,X666&gt;$B$8+$B$9),0,((X669-X663)/(W669-W663)-(O669-O663)/(W669-W663))^2)</f>
        <v>7.0159084192273387E-6</v>
      </c>
    </row>
    <row r="667" spans="7:28" x14ac:dyDescent="0.2">
      <c r="G667" s="21"/>
      <c r="H667" s="21">
        <v>552</v>
      </c>
      <c r="I667">
        <f t="shared" si="114"/>
        <v>7.8963480608759493E-3</v>
      </c>
      <c r="J667">
        <f t="shared" si="115"/>
        <v>0.6767614003965654</v>
      </c>
      <c r="K667">
        <f t="shared" si="109"/>
        <v>26.872189605754922</v>
      </c>
      <c r="L667">
        <f>0.5*Z667*K667/J667/$B$7</f>
        <v>19.853518234054487</v>
      </c>
      <c r="M667">
        <f t="shared" si="112"/>
        <v>0.39043650482752396</v>
      </c>
      <c r="N667" s="21">
        <f t="shared" si="116"/>
        <v>5.0752541314397416E-2</v>
      </c>
      <c r="O667" s="21">
        <f t="shared" si="117"/>
        <v>14.312700159048376</v>
      </c>
      <c r="P667">
        <f t="shared" si="113"/>
        <v>0.47913127052096016</v>
      </c>
      <c r="Q667">
        <f t="shared" si="110"/>
        <v>0.6767614003965654</v>
      </c>
      <c r="R667">
        <f t="shared" si="111"/>
        <v>-4.0668068140105165</v>
      </c>
      <c r="T667" s="21">
        <f>(M667-M666)/(H667-H666)</f>
        <v>4.0067480579425441E-4</v>
      </c>
      <c r="W667">
        <v>552</v>
      </c>
      <c r="X667">
        <v>14.180562999999999</v>
      </c>
      <c r="Y667">
        <v>1</v>
      </c>
      <c r="Z667">
        <f t="shared" si="108"/>
        <v>1</v>
      </c>
      <c r="AA667" s="21">
        <f>IF(X667&gt;$B$8+$B$9,0,ABS(X667-O667)/X667)</f>
        <v>9.318188498466275E-3</v>
      </c>
      <c r="AB667">
        <f>IF(OR(Z664&lt;&gt;Z670,X667&gt;$B$8+$B$9),0,((X670-X664)/(W670-W664)-(O670-O664)/(W670-W664))^2)</f>
        <v>8.53326321191689E-6</v>
      </c>
    </row>
    <row r="668" spans="7:28" x14ac:dyDescent="0.2">
      <c r="G668" s="21"/>
      <c r="H668" s="21">
        <v>553</v>
      </c>
      <c r="I668">
        <f t="shared" si="114"/>
        <v>7.8942687267176768E-3</v>
      </c>
      <c r="J668">
        <f t="shared" si="115"/>
        <v>0.67649024999889784</v>
      </c>
      <c r="K668">
        <f t="shared" si="109"/>
        <v>26.863614568466993</v>
      </c>
      <c r="L668">
        <f>0.5*Z668*K668/J668/$B$7</f>
        <v>19.855138021952836</v>
      </c>
      <c r="M668">
        <f t="shared" si="112"/>
        <v>0.39083724389363489</v>
      </c>
      <c r="N668" s="21">
        <f t="shared" si="116"/>
        <v>5.077404117729245E-2</v>
      </c>
      <c r="O668" s="21">
        <f t="shared" si="117"/>
        <v>14.320594427775093</v>
      </c>
      <c r="P668">
        <f t="shared" si="113"/>
        <v>0.47953319230473251</v>
      </c>
      <c r="Q668">
        <f t="shared" si="110"/>
        <v>0.67649024999889784</v>
      </c>
      <c r="R668">
        <f t="shared" si="111"/>
        <v>-4.109614575430987</v>
      </c>
      <c r="T668" s="21">
        <f>(M668-M667)/(H668-H667)</f>
        <v>4.0073906611093335E-4</v>
      </c>
      <c r="W668">
        <v>553</v>
      </c>
      <c r="X668">
        <v>14.187052999999999</v>
      </c>
      <c r="Y668">
        <v>1</v>
      </c>
      <c r="Z668">
        <f t="shared" si="108"/>
        <v>1</v>
      </c>
      <c r="AA668" s="21">
        <f>IF(X668&gt;$B$8+$B$9,0,ABS(X668-O668)/X668)</f>
        <v>9.4129082181545806E-3</v>
      </c>
      <c r="AB668">
        <f>IF(OR(Z665&lt;&gt;Z671,X668&gt;$B$8+$B$9),0,((X671-X665)/(W671-W665)-(O671-O665)/(W671-W665))^2)</f>
        <v>1.0614111864092091E-6</v>
      </c>
    </row>
    <row r="669" spans="7:28" x14ac:dyDescent="0.2">
      <c r="G669" s="21"/>
      <c r="H669" s="21">
        <v>554</v>
      </c>
      <c r="I669">
        <f t="shared" si="114"/>
        <v>7.8922018524501692E-3</v>
      </c>
      <c r="J669">
        <f t="shared" si="115"/>
        <v>0.67621916447758368</v>
      </c>
      <c r="K669">
        <f t="shared" si="109"/>
        <v>26.855055569035162</v>
      </c>
      <c r="L669">
        <f>0.5*Z669*K669/J669/$B$7</f>
        <v>19.856769062277436</v>
      </c>
      <c r="M669">
        <f t="shared" si="112"/>
        <v>0.39123804767609111</v>
      </c>
      <c r="N669" s="21">
        <f t="shared" si="116"/>
        <v>5.0795530000578203E-2</v>
      </c>
      <c r="O669" s="21">
        <f t="shared" si="117"/>
        <v>14.328486629627543</v>
      </c>
      <c r="P669">
        <f t="shared" si="113"/>
        <v>0.47993501792335141</v>
      </c>
      <c r="Q669">
        <f t="shared" si="110"/>
        <v>0.67621916447758368</v>
      </c>
      <c r="R669">
        <f t="shared" si="111"/>
        <v>-4.1533225530628206</v>
      </c>
      <c r="T669" s="21">
        <f>(M669-M668)/(H669-H668)</f>
        <v>4.0080378245621606E-4</v>
      </c>
      <c r="W669">
        <v>554</v>
      </c>
      <c r="X669">
        <v>14.206523000000001</v>
      </c>
      <c r="Y669">
        <v>1</v>
      </c>
      <c r="Z669">
        <f t="shared" si="108"/>
        <v>1</v>
      </c>
      <c r="AA669" s="21">
        <f>IF(X669&gt;$B$8+$B$9,0,ABS(X669-O669)/X669)</f>
        <v>8.5850443227763855E-3</v>
      </c>
      <c r="AB669">
        <f>IF(OR(Z666&lt;&gt;Z672,X669&gt;$B$8+$B$9),0,((X672-X666)/(W672-W666)-(O672-O666)/(W672-W666))^2)</f>
        <v>3.3990163995357766E-6</v>
      </c>
    </row>
    <row r="670" spans="7:28" x14ac:dyDescent="0.2">
      <c r="G670" s="21"/>
      <c r="H670" s="21">
        <v>555</v>
      </c>
      <c r="I670">
        <f t="shared" si="114"/>
        <v>7.8901474055318149E-3</v>
      </c>
      <c r="J670">
        <f t="shared" si="115"/>
        <v>0.675948143533734</v>
      </c>
      <c r="K670">
        <f t="shared" si="109"/>
        <v>26.846512560412702</v>
      </c>
      <c r="L670">
        <f>0.5*Z670*K670/J670/$B$7</f>
        <v>19.858411342077229</v>
      </c>
      <c r="M670">
        <f t="shared" si="112"/>
        <v>0.39163891663050715</v>
      </c>
      <c r="N670" s="21">
        <f t="shared" si="116"/>
        <v>5.0817007830566974E-2</v>
      </c>
      <c r="O670" s="21">
        <f t="shared" si="117"/>
        <v>14.336376777033074</v>
      </c>
      <c r="P670">
        <f t="shared" si="113"/>
        <v>0.48033674781985441</v>
      </c>
      <c r="Q670">
        <f t="shared" si="110"/>
        <v>0.675948143533734</v>
      </c>
      <c r="R670">
        <f t="shared" si="111"/>
        <v>-4.1979594908784179</v>
      </c>
      <c r="T670" s="21">
        <f>(M670-M669)/(H670-H669)</f>
        <v>4.0086895441604486E-4</v>
      </c>
      <c r="W670">
        <v>555</v>
      </c>
      <c r="X670">
        <v>14.214634999999998</v>
      </c>
      <c r="Y670">
        <v>1</v>
      </c>
      <c r="Z670">
        <f t="shared" si="108"/>
        <v>1</v>
      </c>
      <c r="AA670" s="21">
        <f>IF(X670&gt;$B$8+$B$9,0,ABS(X670-O670)/X670)</f>
        <v>8.5645376777579042E-3</v>
      </c>
      <c r="AB670">
        <f>IF(OR(Z667&lt;&gt;Z673,X670&gt;$B$8+$B$9),0,((X673-X667)/(W673-W667)-(O673-O667)/(W673-W667))^2)</f>
        <v>2.4373025889694628E-7</v>
      </c>
    </row>
    <row r="671" spans="7:28" x14ac:dyDescent="0.2">
      <c r="G671" s="21"/>
      <c r="H671" s="21">
        <v>556</v>
      </c>
      <c r="I671">
        <f t="shared" si="114"/>
        <v>7.8881053536171662E-3</v>
      </c>
      <c r="J671">
        <f t="shared" si="115"/>
        <v>0.67567718686921541</v>
      </c>
      <c r="K671">
        <f t="shared" si="109"/>
        <v>26.837985495762954</v>
      </c>
      <c r="L671">
        <f>0.5*Z671*K671/J671/$B$7</f>
        <v>19.860064848510074</v>
      </c>
      <c r="M671">
        <f t="shared" si="112"/>
        <v>0.39203985121208601</v>
      </c>
      <c r="N671" s="21">
        <f t="shared" si="116"/>
        <v>5.0838474713444326E-2</v>
      </c>
      <c r="O671" s="21">
        <f t="shared" si="117"/>
        <v>14.344264882386691</v>
      </c>
      <c r="P671">
        <f t="shared" si="113"/>
        <v>0.48073838243616013</v>
      </c>
      <c r="Q671">
        <f t="shared" si="110"/>
        <v>0.67567718686921541</v>
      </c>
      <c r="R671">
        <f t="shared" si="111"/>
        <v>-4.2435553696596635</v>
      </c>
      <c r="T671" s="21">
        <f>(M671-M670)/(H671-H670)</f>
        <v>4.0093458157886008E-4</v>
      </c>
      <c r="W671">
        <v>556</v>
      </c>
      <c r="X671">
        <v>14.209766999999999</v>
      </c>
      <c r="Y671">
        <v>1</v>
      </c>
      <c r="Z671">
        <f t="shared" si="108"/>
        <v>1</v>
      </c>
      <c r="AA671" s="21">
        <f>IF(X671&gt;$B$8+$B$9,0,ABS(X671-O671)/X671)</f>
        <v>9.4651715532486462E-3</v>
      </c>
      <c r="AB671">
        <f>IF(OR(Z668&lt;&gt;Z674,X671&gt;$B$8+$B$9),0,((X674-X668)/(W674-W668)-(O674-O668)/(W674-W668))^2)</f>
        <v>7.0697121362061774E-6</v>
      </c>
    </row>
    <row r="672" spans="7:28" x14ac:dyDescent="0.2">
      <c r="G672" s="21"/>
      <c r="H672" s="21">
        <v>557</v>
      </c>
      <c r="I672">
        <f t="shared" si="114"/>
        <v>7.8860756645558142E-3</v>
      </c>
      <c r="J672">
        <f t="shared" si="115"/>
        <v>0.675406294186645</v>
      </c>
      <c r="K672">
        <f t="shared" si="109"/>
        <v>26.829474328458144</v>
      </c>
      <c r="L672">
        <f>0.5*Z672*K672/J672/$B$7</f>
        <v>19.861729568842275</v>
      </c>
      <c r="M672">
        <f t="shared" si="112"/>
        <v>0.39244085187562561</v>
      </c>
      <c r="N672" s="21">
        <f t="shared" si="116"/>
        <v>5.0859930695269881E-2</v>
      </c>
      <c r="O672" s="21">
        <f t="shared" si="117"/>
        <v>14.352150958051247</v>
      </c>
      <c r="P672">
        <f t="shared" si="113"/>
        <v>0.48113992221307428</v>
      </c>
      <c r="Q672">
        <f t="shared" si="110"/>
        <v>0.675406294186645</v>
      </c>
      <c r="R672">
        <f t="shared" si="111"/>
        <v>-4.290141474244261</v>
      </c>
      <c r="T672" s="21">
        <f>(M672-M671)/(H672-H671)</f>
        <v>4.0100066353959685E-4</v>
      </c>
      <c r="W672">
        <v>557</v>
      </c>
      <c r="X672">
        <v>14.22437</v>
      </c>
      <c r="Y672">
        <v>1</v>
      </c>
      <c r="Z672">
        <f t="shared" si="108"/>
        <v>1</v>
      </c>
      <c r="AA672" s="21">
        <f>IF(X672&gt;$B$8+$B$9,0,ABS(X672-O672)/X672)</f>
        <v>8.9832420030726695E-3</v>
      </c>
      <c r="AB672">
        <f>IF(OR(Z669&lt;&gt;Z675,X672&gt;$B$8+$B$9),0,((X675-X669)/(W675-W669)-(O675-O669)/(W675-W669))^2)</f>
        <v>1.8705687473859518E-9</v>
      </c>
    </row>
    <row r="673" spans="7:28" x14ac:dyDescent="0.2">
      <c r="G673" s="21"/>
      <c r="H673" s="21">
        <v>558</v>
      </c>
      <c r="I673">
        <f t="shared" si="114"/>
        <v>7.8840583063912346E-3</v>
      </c>
      <c r="J673">
        <f t="shared" si="115"/>
        <v>0.67513546518938639</v>
      </c>
      <c r="K673">
        <f t="shared" si="109"/>
        <v>26.820979012078173</v>
      </c>
      <c r="L673">
        <f>0.5*Z673*K673/J673/$B$7</f>
        <v>19.863405490448095</v>
      </c>
      <c r="M673">
        <f t="shared" si="112"/>
        <v>0.39284191907552335</v>
      </c>
      <c r="N673" s="21">
        <f t="shared" si="116"/>
        <v>5.0881375821978124E-2</v>
      </c>
      <c r="O673" s="21">
        <f t="shared" si="117"/>
        <v>14.360035016357639</v>
      </c>
      <c r="P673">
        <f t="shared" si="113"/>
        <v>0.48154136759029603</v>
      </c>
      <c r="Q673">
        <f t="shared" si="110"/>
        <v>0.67513546518938639</v>
      </c>
      <c r="R673">
        <f t="shared" si="111"/>
        <v>-4.3377504652078276</v>
      </c>
      <c r="T673" s="21">
        <f>(M673-M672)/(H673-H672)</f>
        <v>4.010671998977422E-4</v>
      </c>
      <c r="W673">
        <v>558</v>
      </c>
      <c r="X673">
        <v>14.23086</v>
      </c>
      <c r="Y673">
        <v>1</v>
      </c>
      <c r="Z673">
        <f t="shared" si="108"/>
        <v>1</v>
      </c>
      <c r="AA673" s="21">
        <f>IF(X673&gt;$B$8+$B$9,0,ABS(X673-O673)/X673)</f>
        <v>9.0771054144049516E-3</v>
      </c>
      <c r="AB673">
        <f>IF(OR(Z670&lt;&gt;Z676,X673&gt;$B$8+$B$9),0,((X676-X670)/(W676-W670)-(O676-O670)/(W676-W670))^2)</f>
        <v>1.26054246108227E-6</v>
      </c>
    </row>
    <row r="674" spans="7:28" x14ac:dyDescent="0.2">
      <c r="G674" s="21"/>
      <c r="H674" s="21">
        <v>559</v>
      </c>
      <c r="I674">
        <f t="shared" si="114"/>
        <v>7.8820532473596484E-3</v>
      </c>
      <c r="J674">
        <f t="shared" si="115"/>
        <v>0.67486469958154549</v>
      </c>
      <c r="K674">
        <f t="shared" si="109"/>
        <v>26.812499500409448</v>
      </c>
      <c r="L674">
        <f>0.5*Z674*K674/J674/$B$7</f>
        <v>19.865092600809263</v>
      </c>
      <c r="M674">
        <f t="shared" si="112"/>
        <v>0.39324305326578113</v>
      </c>
      <c r="N674" s="21">
        <f t="shared" si="116"/>
        <v>5.090281013937914E-2</v>
      </c>
      <c r="O674" s="21">
        <f t="shared" si="117"/>
        <v>14.367917069604998</v>
      </c>
      <c r="P674">
        <f t="shared" si="113"/>
        <v>0.48194271900642438</v>
      </c>
      <c r="Q674">
        <f t="shared" si="110"/>
        <v>0.67486469958154549</v>
      </c>
      <c r="R674">
        <f t="shared" si="111"/>
        <v>-4.3864164553268621</v>
      </c>
      <c r="T674" s="21">
        <f>(M674-M673)/(H674-H673)</f>
        <v>4.0113419025777919E-4</v>
      </c>
      <c r="W674">
        <v>559</v>
      </c>
      <c r="X674">
        <v>14.250329000000001</v>
      </c>
      <c r="Y674">
        <v>1</v>
      </c>
      <c r="Z674">
        <f t="shared" si="108"/>
        <v>1</v>
      </c>
      <c r="AA674" s="21">
        <f>IF(X674&gt;$B$8+$B$9,0,ABS(X674-O674)/X674)</f>
        <v>8.2516038475320044E-3</v>
      </c>
      <c r="AB674">
        <f>IF(OR(Z671&lt;&gt;Z677,X674&gt;$B$8+$B$9),0,((X677-X671)/(W677-W671)-(O677-O671)/(W677-W671))^2)</f>
        <v>1.4038211590295828E-5</v>
      </c>
    </row>
    <row r="675" spans="7:28" x14ac:dyDescent="0.2">
      <c r="G675" s="21"/>
      <c r="H675" s="21">
        <v>560</v>
      </c>
      <c r="I675">
        <f t="shared" si="114"/>
        <v>7.880060455888899E-3</v>
      </c>
      <c r="J675">
        <f t="shared" si="115"/>
        <v>0.67459399706796641</v>
      </c>
      <c r="K675">
        <f t="shared" si="109"/>
        <v>26.804035747443713</v>
      </c>
      <c r="L675">
        <f>0.5*Z675*K675/J675/$B$7</f>
        <v>19.866790887514497</v>
      </c>
      <c r="M675">
        <f t="shared" si="112"/>
        <v>0.39364425490001009</v>
      </c>
      <c r="N675" s="21">
        <f t="shared" si="116"/>
        <v>5.0924233693159418E-2</v>
      </c>
      <c r="O675" s="21">
        <f t="shared" si="117"/>
        <v>14.375797130060887</v>
      </c>
      <c r="P675">
        <f t="shared" si="113"/>
        <v>0.48234397689896397</v>
      </c>
      <c r="Q675">
        <f t="shared" si="110"/>
        <v>0.67459399706796641</v>
      </c>
      <c r="R675">
        <f t="shared" si="111"/>
        <v>-4.4361750911987174</v>
      </c>
      <c r="T675" s="21">
        <f>(M675-M674)/(H675-H674)</f>
        <v>4.0120163422896482E-4</v>
      </c>
      <c r="W675">
        <v>560</v>
      </c>
      <c r="X675">
        <v>14.253574</v>
      </c>
      <c r="Y675">
        <v>1</v>
      </c>
      <c r="Z675">
        <f t="shared" si="108"/>
        <v>1</v>
      </c>
      <c r="AA675" s="21">
        <f>IF(X675&gt;$B$8+$B$9,0,ABS(X675-O675)/X675)</f>
        <v>8.5749111107773016E-3</v>
      </c>
      <c r="AB675">
        <f>IF(OR(Z672&lt;&gt;Z678,X675&gt;$B$8+$B$9),0,((X678-X672)/(W678-W672)-(O678-O672)/(W678-W672))^2)</f>
        <v>5.9920014712948341E-7</v>
      </c>
    </row>
    <row r="676" spans="7:28" x14ac:dyDescent="0.2">
      <c r="G676" s="21"/>
      <c r="H676" s="21">
        <v>561</v>
      </c>
      <c r="I676">
        <f t="shared" si="114"/>
        <v>7.8780799005973151E-3</v>
      </c>
      <c r="J676">
        <f t="shared" si="115"/>
        <v>0.67432335735422777</v>
      </c>
      <c r="K676">
        <f t="shared" si="109"/>
        <v>26.795587707376903</v>
      </c>
      <c r="L676">
        <f>0.5*Z676*K676/J676/$B$7</f>
        <v>19.868500338259047</v>
      </c>
      <c r="M676">
        <f t="shared" si="112"/>
        <v>0.39404552443143526</v>
      </c>
      <c r="N676" s="21">
        <f t="shared" si="116"/>
        <v>5.0945646528882504E-2</v>
      </c>
      <c r="O676" s="21">
        <f t="shared" si="117"/>
        <v>14.383675209961485</v>
      </c>
      <c r="P676">
        <f t="shared" si="113"/>
        <v>0.48274514170433097</v>
      </c>
      <c r="Q676">
        <f t="shared" si="110"/>
        <v>0.67432335735422777</v>
      </c>
      <c r="R676">
        <f t="shared" si="111"/>
        <v>-4.487063640429036</v>
      </c>
      <c r="T676" s="21">
        <f>(M676-M675)/(H676-H675)</f>
        <v>4.0126953142516353E-4</v>
      </c>
      <c r="W676">
        <v>561</v>
      </c>
      <c r="X676">
        <v>14.255196999999999</v>
      </c>
      <c r="Y676">
        <v>1</v>
      </c>
      <c r="Z676">
        <f t="shared" si="108"/>
        <v>1</v>
      </c>
      <c r="AA676" s="21">
        <f>IF(X676&gt;$B$8+$B$9,0,ABS(X676-O676)/X676)</f>
        <v>9.0127277765074624E-3</v>
      </c>
      <c r="AB676">
        <f>IF(OR(Z673&lt;&gt;Z679,X676&gt;$B$8+$B$9),0,((X679-X673)/(W679-W673)-(O679-O673)/(W679-W673))^2)</f>
        <v>1.0949278922621995E-6</v>
      </c>
    </row>
    <row r="677" spans="7:28" x14ac:dyDescent="0.2">
      <c r="G677" s="21"/>
      <c r="H677" s="21">
        <v>562</v>
      </c>
      <c r="I677">
        <f t="shared" si="114"/>
        <v>7.876111550292636E-3</v>
      </c>
      <c r="J677">
        <f t="shared" si="115"/>
        <v>0.67405278014663805</v>
      </c>
      <c r="K677">
        <f t="shared" si="109"/>
        <v>26.787155334607956</v>
      </c>
      <c r="L677">
        <f>0.5*Z677*K677/J677/$B$7</f>
        <v>19.870220940844199</v>
      </c>
      <c r="M677">
        <f t="shared" si="112"/>
        <v>0.39444686231290071</v>
      </c>
      <c r="N677" s="21">
        <f t="shared" si="116"/>
        <v>5.0967048691989821E-2</v>
      </c>
      <c r="O677" s="21">
        <f t="shared" si="117"/>
        <v>14.391551321511777</v>
      </c>
      <c r="P677">
        <f t="shared" si="113"/>
        <v>0.48314621385785955</v>
      </c>
      <c r="Q677">
        <f t="shared" si="110"/>
        <v>0.67405278014663805</v>
      </c>
      <c r="R677">
        <f t="shared" si="111"/>
        <v>-4.5391210848348775</v>
      </c>
      <c r="T677" s="21">
        <f>(M677-M676)/(H677-H676)</f>
        <v>4.0133788146545779E-4</v>
      </c>
      <c r="W677">
        <v>562</v>
      </c>
      <c r="X677">
        <v>14.279533999999998</v>
      </c>
      <c r="Y677">
        <v>1</v>
      </c>
      <c r="Z677">
        <f t="shared" si="108"/>
        <v>1</v>
      </c>
      <c r="AA677" s="21">
        <f>IF(X677&gt;$B$8+$B$9,0,ABS(X677-O677)/X677)</f>
        <v>7.8446062393757957E-3</v>
      </c>
      <c r="AB677">
        <f>IF(OR(Z674&lt;&gt;Z680,X677&gt;$B$8+$B$9),0,((X680-X674)/(W680-W674)-(O680-O674)/(W680-W674))^2)</f>
        <v>2.5774269833231905E-7</v>
      </c>
    </row>
    <row r="678" spans="7:28" x14ac:dyDescent="0.2">
      <c r="G678" s="21"/>
      <c r="H678" s="21">
        <v>563</v>
      </c>
      <c r="I678">
        <f t="shared" si="114"/>
        <v>7.8741553739708828E-3</v>
      </c>
      <c r="J678">
        <f t="shared" si="115"/>
        <v>0.67378226515223161</v>
      </c>
      <c r="K678">
        <f t="shared" si="109"/>
        <v>26.778738583737695</v>
      </c>
      <c r="L678">
        <f>0.5*Z678*K678/J678/$B$7</f>
        <v>19.871952683176826</v>
      </c>
      <c r="M678">
        <f t="shared" si="112"/>
        <v>0.39484826899687475</v>
      </c>
      <c r="N678" s="21">
        <f t="shared" si="116"/>
        <v>5.0988440227801482E-2</v>
      </c>
      <c r="O678" s="21">
        <f t="shared" si="117"/>
        <v>14.399425476885748</v>
      </c>
      <c r="P678">
        <f t="shared" si="113"/>
        <v>0.48354719379380762</v>
      </c>
      <c r="Q678">
        <f t="shared" si="110"/>
        <v>0.67378226515223161</v>
      </c>
      <c r="R678">
        <f t="shared" si="111"/>
        <v>-4.5923882201532438</v>
      </c>
      <c r="T678" s="21">
        <f>(M678-M677)/(H678-H677)</f>
        <v>4.0140668397403712E-4</v>
      </c>
      <c r="W678">
        <v>563</v>
      </c>
      <c r="X678">
        <v>14.276288999999998</v>
      </c>
      <c r="Y678">
        <v>1</v>
      </c>
      <c r="Z678">
        <f t="shared" si="108"/>
        <v>1</v>
      </c>
      <c r="AA678" s="21">
        <f>IF(X678&gt;$B$8+$B$9,0,ABS(X678-O678)/X678)</f>
        <v>8.6252440592754359E-3</v>
      </c>
      <c r="AB678">
        <f>IF(OR(Z675&lt;&gt;Z681,X678&gt;$B$8+$B$9),0,((X681-X675)/(W681-W675)-(O681-O675)/(W681-W675))^2)</f>
        <v>1.1034812095808059E-6</v>
      </c>
    </row>
    <row r="679" spans="7:28" x14ac:dyDescent="0.2">
      <c r="G679" s="21"/>
      <c r="H679" s="21">
        <v>564</v>
      </c>
      <c r="I679">
        <f t="shared" si="114"/>
        <v>7.8722113408152758E-3</v>
      </c>
      <c r="J679">
        <f t="shared" si="115"/>
        <v>0.67351181207876509</v>
      </c>
      <c r="K679">
        <f t="shared" si="109"/>
        <v>26.770337409567681</v>
      </c>
      <c r="L679">
        <f>0.5*Z679*K679/J679/$B$7</f>
        <v>19.873695553268909</v>
      </c>
      <c r="M679">
        <f t="shared" si="112"/>
        <v>0.39524974493545389</v>
      </c>
      <c r="N679" s="21">
        <f t="shared" si="116"/>
        <v>5.1009821181516854E-2</v>
      </c>
      <c r="O679" s="21">
        <f t="shared" si="117"/>
        <v>14.407297688226564</v>
      </c>
      <c r="P679">
        <f t="shared" si="113"/>
        <v>0.48394808194536293</v>
      </c>
      <c r="Q679">
        <f t="shared" si="110"/>
        <v>0.67351181207876509</v>
      </c>
      <c r="R679">
        <f t="shared" si="111"/>
        <v>-4.6469077627911313</v>
      </c>
      <c r="T679" s="21">
        <f>(M679-M678)/(H679-H678)</f>
        <v>4.0147593857914332E-4</v>
      </c>
      <c r="W679">
        <v>564</v>
      </c>
      <c r="X679">
        <v>14.284400999999999</v>
      </c>
      <c r="Y679">
        <v>1</v>
      </c>
      <c r="Z679">
        <f t="shared" si="108"/>
        <v>1</v>
      </c>
      <c r="AA679" s="21">
        <f>IF(X679&gt;$B$8+$B$9,0,ABS(X679-O679)/X679)</f>
        <v>8.6035591010476756E-3</v>
      </c>
      <c r="AB679">
        <f>IF(OR(Z676&lt;&gt;Z682,X679&gt;$B$8+$B$9),0,((X682-X676)/(W682-W676)-(O682-O676)/(W682-W676))^2)</f>
        <v>5.7811641558822292E-6</v>
      </c>
    </row>
    <row r="680" spans="7:28" x14ac:dyDescent="0.2">
      <c r="G680" s="21"/>
      <c r="H680" s="21">
        <v>565</v>
      </c>
      <c r="I680">
        <f t="shared" si="114"/>
        <v>7.8702794201951608E-3</v>
      </c>
      <c r="J680">
        <f t="shared" si="115"/>
        <v>0.67324142063471282</v>
      </c>
      <c r="K680">
        <f t="shared" si="109"/>
        <v>26.761951767099085</v>
      </c>
      <c r="L680">
        <f>0.5*Z680*K680/J680/$B$7</f>
        <v>19.875449539237113</v>
      </c>
      <c r="M680">
        <f t="shared" si="112"/>
        <v>0.39565129058036858</v>
      </c>
      <c r="N680" s="21">
        <f t="shared" si="116"/>
        <v>5.1031191598215474E-2</v>
      </c>
      <c r="O680" s="21">
        <f t="shared" si="117"/>
        <v>14.415167967646759</v>
      </c>
      <c r="P680">
        <f t="shared" si="113"/>
        <v>0.48434887874464877</v>
      </c>
      <c r="Q680">
        <f t="shared" si="110"/>
        <v>0.67324142063471282</v>
      </c>
      <c r="R680">
        <f t="shared" si="111"/>
        <v>-4.7027244642040475</v>
      </c>
      <c r="T680" s="21">
        <f>(M680-M679)/(H680-H679)</f>
        <v>4.0154564491468037E-4</v>
      </c>
      <c r="W680">
        <v>565</v>
      </c>
      <c r="X680">
        <v>14.300625999999998</v>
      </c>
      <c r="Y680">
        <v>1</v>
      </c>
      <c r="Z680">
        <f t="shared" si="108"/>
        <v>1</v>
      </c>
      <c r="AA680" s="21">
        <f>IF(X680&gt;$B$8+$B$9,0,ABS(X680-O680)/X680)</f>
        <v>8.0095771784229487E-3</v>
      </c>
      <c r="AB680">
        <f>IF(OR(Z677&lt;&gt;Z683,X680&gt;$B$8+$B$9),0,((X683-X677)/(W683-W677)-(O683-O677)/(W683-W677))^2)</f>
        <v>6.143911563255822E-7</v>
      </c>
    </row>
    <row r="681" spans="7:28" x14ac:dyDescent="0.2">
      <c r="G681" s="21"/>
      <c r="H681" s="21">
        <v>566</v>
      </c>
      <c r="I681">
        <f t="shared" si="114"/>
        <v>7.8683595816649125E-3</v>
      </c>
      <c r="J681">
        <f t="shared" si="115"/>
        <v>0.67297109052926385</v>
      </c>
      <c r="K681">
        <f t="shared" si="109"/>
        <v>26.753581611531562</v>
      </c>
      <c r="L681">
        <f>0.5*Z681*K681/J681/$B$7</f>
        <v>19.877214629302262</v>
      </c>
      <c r="M681">
        <f t="shared" si="112"/>
        <v>0.39605290638298624</v>
      </c>
      <c r="N681" s="21">
        <f t="shared" si="116"/>
        <v>5.1052551522857648E-2</v>
      </c>
      <c r="O681" s="21">
        <f t="shared" si="117"/>
        <v>14.423036327228424</v>
      </c>
      <c r="P681">
        <f t="shared" si="113"/>
        <v>0.48474958462273005</v>
      </c>
      <c r="Q681">
        <f t="shared" si="110"/>
        <v>0.67297109052926385</v>
      </c>
      <c r="R681">
        <f t="shared" si="111"/>
        <v>-4.7598852335468109</v>
      </c>
      <c r="T681" s="21">
        <f>(M681-M680)/(H681-H680)</f>
        <v>4.0161580261766083E-4</v>
      </c>
      <c r="W681">
        <v>566</v>
      </c>
      <c r="X681">
        <v>14.307116000000001</v>
      </c>
      <c r="Y681">
        <v>1</v>
      </c>
      <c r="Z681">
        <f t="shared" si="108"/>
        <v>1</v>
      </c>
      <c r="AA681" s="21">
        <f>IF(X681&gt;$B$8+$B$9,0,ABS(X681-O681)/X681)</f>
        <v>8.1022847112180423E-3</v>
      </c>
      <c r="AB681">
        <f>IF(OR(Z678&lt;&gt;Z684,X681&gt;$B$8+$B$9),0,((X684-X678)/(W684-W678)-(O684-O678)/(W684-W678))^2)</f>
        <v>1.2179482947243958E-5</v>
      </c>
    </row>
    <row r="682" spans="7:28" x14ac:dyDescent="0.2">
      <c r="G682" s="21"/>
      <c r="H682" s="21">
        <v>567</v>
      </c>
      <c r="I682">
        <f t="shared" si="114"/>
        <v>7.8664517949628681E-3</v>
      </c>
      <c r="J682">
        <f t="shared" si="115"/>
        <v>0.67270082147231669</v>
      </c>
      <c r="K682">
        <f t="shared" si="109"/>
        <v>26.74522689826215</v>
      </c>
      <c r="L682">
        <f>0.5*Z682*K682/J682/$B$7</f>
        <v>19.87899081178897</v>
      </c>
      <c r="M682">
        <f t="shared" si="112"/>
        <v>0.39645459279431838</v>
      </c>
      <c r="N682" s="21">
        <f t="shared" si="116"/>
        <v>5.1073901000285249E-2</v>
      </c>
      <c r="O682" s="21">
        <f t="shared" si="117"/>
        <v>14.430902779023386</v>
      </c>
      <c r="P682">
        <f t="shared" si="113"/>
        <v>0.48515020000961917</v>
      </c>
      <c r="Q682">
        <f t="shared" si="110"/>
        <v>0.67270082147231669</v>
      </c>
      <c r="R682">
        <f t="shared" si="111"/>
        <v>-4.8184392693030107</v>
      </c>
      <c r="T682" s="21">
        <f>(M682-M681)/(H682-H681)</f>
        <v>4.0168641133214722E-4</v>
      </c>
      <c r="W682">
        <v>567</v>
      </c>
      <c r="X682">
        <v>14.316851</v>
      </c>
      <c r="Y682">
        <v>1</v>
      </c>
      <c r="Z682">
        <f t="shared" si="108"/>
        <v>1</v>
      </c>
      <c r="AA682" s="21">
        <f>IF(X682&gt;$B$8+$B$9,0,ABS(X682-O682)/X682)</f>
        <v>7.9662615070441225E-3</v>
      </c>
      <c r="AB682">
        <f>IF(OR(Z679&lt;&gt;Z685,X682&gt;$B$8+$B$9),0,((X685-X679)/(W685-W679)-(O685-O679)/(W685-W679))^2)</f>
        <v>2.5567372910714839E-6</v>
      </c>
    </row>
    <row r="683" spans="7:28" x14ac:dyDescent="0.2">
      <c r="G683" s="21"/>
      <c r="H683" s="21">
        <v>568</v>
      </c>
      <c r="I683">
        <f t="shared" si="114"/>
        <v>7.864556030010305E-3</v>
      </c>
      <c r="J683">
        <f t="shared" si="115"/>
        <v>0.67243061317447594</v>
      </c>
      <c r="K683">
        <f t="shared" si="109"/>
        <v>26.736887582884137</v>
      </c>
      <c r="L683">
        <f>0.5*Z683*K683/J683/$B$7</f>
        <v>19.880778075125129</v>
      </c>
      <c r="M683">
        <f t="shared" si="112"/>
        <v>0.39685635026502414</v>
      </c>
      <c r="N683" s="21">
        <f t="shared" si="116"/>
        <v>5.109524007522246E-2</v>
      </c>
      <c r="O683" s="21">
        <f t="shared" si="117"/>
        <v>14.438767335053397</v>
      </c>
      <c r="P683">
        <f t="shared" si="113"/>
        <v>0.48555072533428201</v>
      </c>
      <c r="Q683">
        <f t="shared" si="110"/>
        <v>0.67243061317447594</v>
      </c>
      <c r="R683">
        <f t="shared" si="111"/>
        <v>-4.8784382006695104</v>
      </c>
      <c r="T683" s="21">
        <f>(M683-M682)/(H683-H682)</f>
        <v>4.0175747070575474E-4</v>
      </c>
      <c r="W683">
        <v>568</v>
      </c>
      <c r="X683">
        <v>14.331453</v>
      </c>
      <c r="Y683">
        <v>1</v>
      </c>
      <c r="Z683">
        <f t="shared" si="108"/>
        <v>1</v>
      </c>
      <c r="AA683" s="21">
        <f>IF(X683&gt;$B$8+$B$9,0,ABS(X683-O683)/X683)</f>
        <v>7.4880289565473343E-3</v>
      </c>
      <c r="AB683">
        <f>IF(OR(Z680&lt;&gt;Z686,X683&gt;$B$8+$B$9),0,((X686-X680)/(W686-W680)-(O686-O680)/(W686-W680))^2)</f>
        <v>8.5242653904862245E-8</v>
      </c>
    </row>
    <row r="684" spans="7:28" x14ac:dyDescent="0.2">
      <c r="G684" s="21"/>
      <c r="H684" s="21">
        <v>569</v>
      </c>
      <c r="I684">
        <f t="shared" si="114"/>
        <v>7.8626722569103517E-3</v>
      </c>
      <c r="J684">
        <f t="shared" si="115"/>
        <v>0.67216046534704899</v>
      </c>
      <c r="K684">
        <f t="shared" si="109"/>
        <v>26.728563621186005</v>
      </c>
      <c r="L684">
        <f>0.5*Z684*K684/J684/$B$7</f>
        <v>19.882576407841505</v>
      </c>
      <c r="M684">
        <f t="shared" si="112"/>
        <v>0.39725817924541423</v>
      </c>
      <c r="N684" s="21">
        <f t="shared" si="116"/>
        <v>5.1116568792276433E-2</v>
      </c>
      <c r="O684" s="21">
        <f t="shared" si="117"/>
        <v>14.446630007310308</v>
      </c>
      <c r="P684">
        <f t="shared" si="113"/>
        <v>0.48595116102464314</v>
      </c>
      <c r="Q684">
        <f t="shared" si="110"/>
        <v>0.67216046534704899</v>
      </c>
      <c r="R684">
        <f t="shared" si="111"/>
        <v>-4.9399362395498327</v>
      </c>
      <c r="T684" s="21">
        <f>(M684-M683)/(H684-H683)</f>
        <v>4.018289803900954E-4</v>
      </c>
      <c r="W684">
        <v>569</v>
      </c>
      <c r="X684">
        <v>14.344432999999999</v>
      </c>
      <c r="Y684">
        <v>1</v>
      </c>
      <c r="Z684">
        <f t="shared" si="108"/>
        <v>1</v>
      </c>
      <c r="AA684" s="21">
        <f>IF(X684&gt;$B$8+$B$9,0,ABS(X684-O684)/X684)</f>
        <v>7.1245065810763746E-3</v>
      </c>
      <c r="AB684">
        <f>IF(OR(Z681&lt;&gt;Z687,X684&gt;$B$8+$B$9),0,((X687-X681)/(W687-W681)-(O687-O681)/(W687-W681))^2)</f>
        <v>1.0402222846895245E-5</v>
      </c>
    </row>
    <row r="685" spans="7:28" x14ac:dyDescent="0.2">
      <c r="G685" s="21"/>
      <c r="H685" s="21">
        <v>570</v>
      </c>
      <c r="I685">
        <f t="shared" si="114"/>
        <v>7.8608004459469645E-3</v>
      </c>
      <c r="J685">
        <f t="shared" si="115"/>
        <v>0.67189037770204108</v>
      </c>
      <c r="K685">
        <f t="shared" si="109"/>
        <v>26.720254969150293</v>
      </c>
      <c r="L685">
        <f>0.5*Z685*K685/J685/$B$7</f>
        <v>19.884385798571262</v>
      </c>
      <c r="M685">
        <f t="shared" si="112"/>
        <v>0.39766008018545707</v>
      </c>
      <c r="N685" s="21">
        <f t="shared" si="116"/>
        <v>5.1137887195938037E-2</v>
      </c>
      <c r="O685" s="21">
        <f t="shared" si="117"/>
        <v>14.454490807756255</v>
      </c>
      <c r="P685">
        <f t="shared" si="113"/>
        <v>0.48635150750759226</v>
      </c>
      <c r="Q685">
        <f t="shared" si="110"/>
        <v>0.67189037770204108</v>
      </c>
      <c r="R685">
        <f t="shared" si="111"/>
        <v>-5.0029903440972161</v>
      </c>
      <c r="T685" s="21">
        <f>(M685-M684)/(H685-H684)</f>
        <v>4.0190094004283194E-4</v>
      </c>
      <c r="W685">
        <v>570</v>
      </c>
      <c r="X685">
        <v>14.341187999999999</v>
      </c>
      <c r="Y685">
        <v>1</v>
      </c>
      <c r="Z685">
        <f t="shared" si="108"/>
        <v>1</v>
      </c>
      <c r="AA685" s="21">
        <f>IF(X685&gt;$B$8+$B$9,0,ABS(X685-O685)/X685)</f>
        <v>7.9005175691341384E-3</v>
      </c>
      <c r="AB685">
        <f>IF(OR(Z682&lt;&gt;Z688,X685&gt;$B$8+$B$9),0,((X688-X682)/(W688-W682)-(O688-O682)/(W688-W682))^2)</f>
        <v>1.1316284613087235E-6</v>
      </c>
    </row>
    <row r="686" spans="7:28" x14ac:dyDescent="0.2">
      <c r="G686" s="21"/>
      <c r="H686" s="21">
        <v>571</v>
      </c>
      <c r="I686">
        <f t="shared" si="114"/>
        <v>7.8589405675839035E-3</v>
      </c>
      <c r="J686">
        <f t="shared" si="115"/>
        <v>0.67162034995215225</v>
      </c>
      <c r="K686">
        <f t="shared" si="109"/>
        <v>26.711961582952547</v>
      </c>
      <c r="L686">
        <f>0.5*Z686*K686/J686/$B$7</f>
        <v>19.886206236049553</v>
      </c>
      <c r="M686">
        <f t="shared" si="112"/>
        <v>0.39806205353478236</v>
      </c>
      <c r="N686" s="21">
        <f t="shared" si="116"/>
        <v>5.1159195330582552E-2</v>
      </c>
      <c r="O686" s="21">
        <f t="shared" si="117"/>
        <v>14.462349748323838</v>
      </c>
      <c r="P686">
        <f t="shared" si="113"/>
        <v>0.48675176520898961</v>
      </c>
      <c r="Q686">
        <f t="shared" si="110"/>
        <v>0.67162034995215225</v>
      </c>
      <c r="R686">
        <f t="shared" si="111"/>
        <v>-5.067660394844026</v>
      </c>
      <c r="T686" s="21">
        <f>(M686-M685)/(H686-H685)</f>
        <v>4.0197334932529083E-4</v>
      </c>
      <c r="W686">
        <v>571</v>
      </c>
      <c r="X686">
        <v>14.346056000000001</v>
      </c>
      <c r="Y686">
        <v>1</v>
      </c>
      <c r="Z686">
        <f t="shared" si="108"/>
        <v>1</v>
      </c>
      <c r="AA686" s="21">
        <f>IF(X686&gt;$B$8+$B$9,0,ABS(X686-O686)/X686)</f>
        <v>8.1063219273532269E-3</v>
      </c>
      <c r="AB686">
        <f>IF(OR(Z683&lt;&gt;Z689,X686&gt;$B$8+$B$9),0,((X689-X683)/(W689-W683)-(O689-O683)/(W689-W683))^2)</f>
        <v>7.2260656656290766E-6</v>
      </c>
    </row>
    <row r="687" spans="7:28" x14ac:dyDescent="0.2">
      <c r="G687" s="21"/>
      <c r="H687" s="21">
        <v>572</v>
      </c>
      <c r="I687">
        <f t="shared" si="114"/>
        <v>7.8570925924636888E-3</v>
      </c>
      <c r="J687">
        <f t="shared" si="115"/>
        <v>0.67135038181077278</v>
      </c>
      <c r="K687">
        <f t="shared" si="109"/>
        <v>26.703683418960232</v>
      </c>
      <c r="L687">
        <f>0.5*Z687*K687/J687/$B$7</f>
        <v>19.888037709113085</v>
      </c>
      <c r="M687">
        <f t="shared" si="112"/>
        <v>0.39846409974268676</v>
      </c>
      <c r="N687" s="21">
        <f t="shared" si="116"/>
        <v>5.1180493240470436E-2</v>
      </c>
      <c r="O687" s="21">
        <f t="shared" si="117"/>
        <v>14.470206840916301</v>
      </c>
      <c r="P687">
        <f t="shared" si="113"/>
        <v>0.48715193455367178</v>
      </c>
      <c r="Q687">
        <f t="shared" si="110"/>
        <v>0.67135038181077278</v>
      </c>
      <c r="R687">
        <f t="shared" si="111"/>
        <v>-5.1340093845625452</v>
      </c>
      <c r="T687" s="21">
        <f>(M687-M686)/(H687-H686)</f>
        <v>4.0204620790440515E-4</v>
      </c>
      <c r="W687">
        <v>572</v>
      </c>
      <c r="X687">
        <v>14.373638</v>
      </c>
      <c r="Y687">
        <v>1</v>
      </c>
      <c r="Z687">
        <f t="shared" si="108"/>
        <v>1</v>
      </c>
      <c r="AA687" s="21">
        <f>IF(X687&gt;$B$8+$B$9,0,ABS(X687-O687)/X687)</f>
        <v>6.7184689718985183E-3</v>
      </c>
      <c r="AB687">
        <f>IF(OR(Z684&lt;&gt;Z690,X687&gt;$B$8+$B$9),0,((X690-X684)/(W690-W684)-(O690-O684)/(W690-W684))^2)</f>
        <v>2.7735282689895634E-7</v>
      </c>
    </row>
    <row r="688" spans="7:28" x14ac:dyDescent="0.2">
      <c r="G688" s="21"/>
      <c r="H688" s="21">
        <v>573</v>
      </c>
      <c r="I688">
        <f t="shared" si="114"/>
        <v>7.8552564914065853E-3</v>
      </c>
      <c r="J688">
        <f t="shared" si="115"/>
        <v>0.67108047299198026</v>
      </c>
      <c r="K688">
        <f t="shared" si="109"/>
        <v>26.69542043373167</v>
      </c>
      <c r="L688">
        <f>0.5*Z688*K688/J688/$B$7</f>
        <v>19.889880206699662</v>
      </c>
      <c r="M688">
        <f t="shared" si="112"/>
        <v>0.39886621925813731</v>
      </c>
      <c r="N688" s="21">
        <f t="shared" si="116"/>
        <v>5.1201780969747937E-2</v>
      </c>
      <c r="O688" s="21">
        <f t="shared" si="117"/>
        <v>14.478062097407708</v>
      </c>
      <c r="P688">
        <f t="shared" si="113"/>
        <v>0.48755201596545722</v>
      </c>
      <c r="Q688">
        <f t="shared" si="110"/>
        <v>0.67108047299198026</v>
      </c>
      <c r="R688">
        <f t="shared" si="111"/>
        <v>-5.2021036231223778</v>
      </c>
      <c r="T688" s="21">
        <f>(M688-M687)/(H688-H687)</f>
        <v>4.0211951545054969E-4</v>
      </c>
      <c r="W688">
        <v>573</v>
      </c>
      <c r="X688">
        <v>14.370393</v>
      </c>
      <c r="Y688">
        <v>1</v>
      </c>
      <c r="Z688">
        <f t="shared" si="108"/>
        <v>1</v>
      </c>
      <c r="AA688" s="21">
        <f>IF(X688&gt;$B$8+$B$9,0,ABS(X688-O688)/X688)</f>
        <v>7.4924253921036217E-3</v>
      </c>
      <c r="AB688">
        <f>IF(OR(Z685&lt;&gt;Z691,X688&gt;$B$8+$B$9),0,((X691-X685)/(W691-W685)-(O691-O685)/(W691-W685))^2)</f>
        <v>8.7742725640526109E-6</v>
      </c>
    </row>
    <row r="689" spans="7:28" x14ac:dyDescent="0.2">
      <c r="G689" s="21"/>
      <c r="H689" s="21">
        <v>574</v>
      </c>
      <c r="I689">
        <f t="shared" si="114"/>
        <v>7.8534322354096159E-3</v>
      </c>
      <c r="J689">
        <f t="shared" si="115"/>
        <v>0.67081062321053486</v>
      </c>
      <c r="K689">
        <f t="shared" si="109"/>
        <v>26.68717258401497</v>
      </c>
      <c r="L689">
        <f>0.5*Z689*K689/J689/$B$7</f>
        <v>19.891733717847789</v>
      </c>
      <c r="M689">
        <f t="shared" si="112"/>
        <v>0.39926841252977702</v>
      </c>
      <c r="N689" s="21">
        <f t="shared" si="116"/>
        <v>5.1223058562447854E-2</v>
      </c>
      <c r="O689" s="21">
        <f t="shared" si="117"/>
        <v>14.485915529643117</v>
      </c>
      <c r="P689">
        <f t="shared" si="113"/>
        <v>0.48795200986715198</v>
      </c>
      <c r="Q689">
        <f t="shared" si="110"/>
        <v>0.67081062321053486</v>
      </c>
      <c r="R689">
        <f t="shared" si="111"/>
        <v>-5.2720129587450213</v>
      </c>
      <c r="T689" s="21">
        <f>(M689-M688)/(H689-H688)</f>
        <v>4.0219327163970586E-4</v>
      </c>
      <c r="W689">
        <v>574</v>
      </c>
      <c r="X689">
        <v>14.394729999999999</v>
      </c>
      <c r="Y689">
        <v>1</v>
      </c>
      <c r="Z689">
        <f t="shared" si="108"/>
        <v>1</v>
      </c>
      <c r="AA689" s="21">
        <f>IF(X689&gt;$B$8+$B$9,0,ABS(X689-O689)/X689)</f>
        <v>6.3346467521876483E-3</v>
      </c>
      <c r="AB689">
        <f>IF(OR(Z686&lt;&gt;Z692,X689&gt;$B$8+$B$9),0,((X692-X686)/(W692-W686)-(O692-O686)/(W692-W686))^2)</f>
        <v>2.1035599265588901E-5</v>
      </c>
    </row>
    <row r="690" spans="7:28" x14ac:dyDescent="0.2">
      <c r="G690" s="21"/>
      <c r="H690" s="21">
        <v>575</v>
      </c>
      <c r="I690">
        <f t="shared" si="114"/>
        <v>7.8516197956455432E-3</v>
      </c>
      <c r="J690">
        <f t="shared" si="115"/>
        <v>0.6705408321818761</v>
      </c>
      <c r="K690">
        <f t="shared" si="109"/>
        <v>26.67893982674698</v>
      </c>
      <c r="L690">
        <f>0.5*Z690*K690/J690/$B$7</f>
        <v>19.893598231696231</v>
      </c>
      <c r="M690">
        <f t="shared" si="112"/>
        <v>0.3996706800059292</v>
      </c>
      <c r="N690" s="21">
        <f t="shared" si="116"/>
        <v>5.1244326062490242E-2</v>
      </c>
      <c r="O690" s="21">
        <f t="shared" si="117"/>
        <v>14.493767149438764</v>
      </c>
      <c r="P690">
        <f t="shared" si="113"/>
        <v>0.48835191668055555</v>
      </c>
      <c r="Q690">
        <f t="shared" si="110"/>
        <v>0.6705408321818761</v>
      </c>
      <c r="R690">
        <f t="shared" si="111"/>
        <v>-5.3438110172074147</v>
      </c>
      <c r="T690" s="21">
        <f>(M690-M689)/(H690-H689)</f>
        <v>4.0226747615218494E-4</v>
      </c>
      <c r="W690">
        <v>575</v>
      </c>
      <c r="X690">
        <v>14.394729999999999</v>
      </c>
      <c r="Y690">
        <v>1</v>
      </c>
      <c r="Z690">
        <f t="shared" si="108"/>
        <v>1</v>
      </c>
      <c r="AA690" s="21">
        <f>IF(X690&gt;$B$8+$B$9,0,ABS(X690-O690)/X690)</f>
        <v>6.8800977467979273E-3</v>
      </c>
      <c r="AB690">
        <f>IF(OR(Z687&lt;&gt;Z693,X690&gt;$B$8+$B$9),0,((X693-X687)/(W693-W687)-(O693-O687)/(W693-W687))^2)</f>
        <v>6.8433600419741758E-8</v>
      </c>
    </row>
    <row r="691" spans="7:28" x14ac:dyDescent="0.2">
      <c r="G691" s="21"/>
      <c r="H691" s="21">
        <v>576</v>
      </c>
      <c r="I691">
        <f t="shared" si="114"/>
        <v>7.8498191434618683E-3</v>
      </c>
      <c r="J691">
        <f t="shared" si="115"/>
        <v>0.67027109962211884</v>
      </c>
      <c r="K691">
        <f t="shared" si="109"/>
        <v>26.67072211905224</v>
      </c>
      <c r="L691">
        <f>0.5*Z691*K691/J691/$B$7</f>
        <v>19.895473737483602</v>
      </c>
      <c r="M691">
        <f t="shared" si="112"/>
        <v>0.40007302213460194</v>
      </c>
      <c r="N691" s="21">
        <f t="shared" si="116"/>
        <v>5.1265583513683072E-2</v>
      </c>
      <c r="O691" s="21">
        <f t="shared" si="117"/>
        <v>14.501616968582226</v>
      </c>
      <c r="P691">
        <f t="shared" si="113"/>
        <v>0.48875173682646605</v>
      </c>
      <c r="Q691">
        <f t="shared" si="110"/>
        <v>0.67027109962211884</v>
      </c>
      <c r="R691">
        <f t="shared" si="111"/>
        <v>-5.4175754607164448</v>
      </c>
      <c r="T691" s="21">
        <f>(M691-M690)/(H691-H690)</f>
        <v>4.0234212867273911E-4</v>
      </c>
      <c r="W691">
        <v>576</v>
      </c>
      <c r="X691">
        <v>14.406086999999999</v>
      </c>
      <c r="Y691">
        <v>1</v>
      </c>
      <c r="Z691">
        <f t="shared" si="108"/>
        <v>1</v>
      </c>
      <c r="AA691" s="21">
        <f>IF(X691&gt;$B$8+$B$9,0,ABS(X691-O691)/X691)</f>
        <v>6.6312225229673291E-3</v>
      </c>
      <c r="AB691">
        <f>IF(OR(Z688&lt;&gt;Z694,X691&gt;$B$8+$B$9),0,((X694-X688)/(W694-W688)-(O694-O688)/(W694-W688))^2)</f>
        <v>7.2750297660427349E-6</v>
      </c>
    </row>
    <row r="692" spans="7:28" x14ac:dyDescent="0.2">
      <c r="G692" s="21"/>
      <c r="H692" s="21">
        <v>577</v>
      </c>
      <c r="I692">
        <f t="shared" si="114"/>
        <v>7.8480302503798789E-3</v>
      </c>
      <c r="J692">
        <f t="shared" si="115"/>
        <v>0.67000142524804995</v>
      </c>
      <c r="K692">
        <f t="shared" si="109"/>
        <v>26.66251941824196</v>
      </c>
      <c r="L692">
        <f>0.5*Z692*K692/J692/$B$7</f>
        <v>19.897360224547942</v>
      </c>
      <c r="M692">
        <f t="shared" si="112"/>
        <v>0.40047543936349239</v>
      </c>
      <c r="N692" s="21">
        <f t="shared" si="116"/>
        <v>5.128683095972289E-2</v>
      </c>
      <c r="O692" s="21">
        <f t="shared" si="117"/>
        <v>14.509464998832605</v>
      </c>
      <c r="P692">
        <f t="shared" si="113"/>
        <v>0.48915147072468579</v>
      </c>
      <c r="Q692">
        <f t="shared" si="110"/>
        <v>0.67000142524804995</v>
      </c>
      <c r="R692">
        <f t="shared" si="111"/>
        <v>-5.4933882683680402</v>
      </c>
      <c r="T692" s="21">
        <f>(M692-M691)/(H692-H691)</f>
        <v>4.024172288904504E-4</v>
      </c>
      <c r="W692">
        <v>577</v>
      </c>
      <c r="X692">
        <v>14.42069</v>
      </c>
      <c r="Y692">
        <v>1</v>
      </c>
      <c r="Z692">
        <f t="shared" si="108"/>
        <v>1</v>
      </c>
      <c r="AA692" s="21">
        <f>IF(X692&gt;$B$8+$B$9,0,ABS(X692-O692)/X692)</f>
        <v>6.1560853768165722E-3</v>
      </c>
      <c r="AB692">
        <f>IF(OR(Z689&lt;&gt;Z695,X692&gt;$B$8+$B$9),0,((X695-X689)/(W695-W689)-(O695-O689)/(W695-W689))^2)</f>
        <v>7.5986942411791545E-8</v>
      </c>
    </row>
    <row r="693" spans="7:28" x14ac:dyDescent="0.2">
      <c r="G693" s="21"/>
      <c r="H693" s="21">
        <v>578</v>
      </c>
      <c r="I693">
        <f t="shared" si="114"/>
        <v>7.8462530880936375E-3</v>
      </c>
      <c r="J693">
        <f t="shared" si="115"/>
        <v>0.66973180877712402</v>
      </c>
      <c r="K693">
        <f t="shared" si="109"/>
        <v>26.654331681812955</v>
      </c>
      <c r="L693">
        <f>0.5*Z693*K693/J693/$B$7</f>
        <v>19.899257682326308</v>
      </c>
      <c r="M693">
        <f t="shared" si="112"/>
        <v>0.40087793213999201</v>
      </c>
      <c r="N693" s="21">
        <f t="shared" si="116"/>
        <v>5.1308068444195602E-2</v>
      </c>
      <c r="O693" s="21">
        <f t="shared" si="117"/>
        <v>14.517311251920699</v>
      </c>
      <c r="P693">
        <f t="shared" si="113"/>
        <v>0.48955111879402718</v>
      </c>
      <c r="Q693">
        <f t="shared" si="110"/>
        <v>0.66973180877712402</v>
      </c>
      <c r="R693">
        <f t="shared" si="111"/>
        <v>-5.5713360403200936</v>
      </c>
      <c r="T693" s="21">
        <f>(M693-M692)/(H693-H692)</f>
        <v>4.024927764996189E-4</v>
      </c>
      <c r="W693">
        <v>578</v>
      </c>
      <c r="X693">
        <v>14.422311999999998</v>
      </c>
      <c r="Y693">
        <v>1</v>
      </c>
      <c r="Z693">
        <f t="shared" si="108"/>
        <v>1</v>
      </c>
      <c r="AA693" s="21">
        <f>IF(X693&gt;$B$8+$B$9,0,ABS(X693-O693)/X693)</f>
        <v>6.5869641372826226E-3</v>
      </c>
      <c r="AB693">
        <f>IF(OR(Z690&lt;&gt;Z696,X693&gt;$B$8+$B$9),0,((X696-X690)/(W696-W690)-(O696-O690)/(W696-W690))^2)</f>
        <v>6.5250969713250943E-7</v>
      </c>
    </row>
    <row r="694" spans="7:28" x14ac:dyDescent="0.2">
      <c r="G694" s="21"/>
      <c r="H694" s="21">
        <v>579</v>
      </c>
      <c r="I694">
        <f t="shared" si="114"/>
        <v>7.8444876284690344E-3</v>
      </c>
      <c r="J694">
        <f t="shared" si="115"/>
        <v>0.66946224992745973</v>
      </c>
      <c r="K694">
        <f t="shared" si="109"/>
        <v>26.646158867446641</v>
      </c>
      <c r="L694">
        <f>0.5*Z694*K694/J694/$B$7</f>
        <v>19.901166100354359</v>
      </c>
      <c r="M694">
        <f t="shared" si="112"/>
        <v>0.40128050091119077</v>
      </c>
      <c r="N694" s="21">
        <f t="shared" si="116"/>
        <v>5.1329296010577098E-2</v>
      </c>
      <c r="O694" s="21">
        <f t="shared" si="117"/>
        <v>14.525155739549168</v>
      </c>
      <c r="P694">
        <f t="shared" si="113"/>
        <v>0.48995068145231824</v>
      </c>
      <c r="Q694">
        <f t="shared" si="110"/>
        <v>0.66946224992745973</v>
      </c>
      <c r="R694">
        <f t="shared" si="111"/>
        <v>-5.65151032805176</v>
      </c>
      <c r="T694" s="21">
        <f>(M694-M693)/(H694-H693)</f>
        <v>4.0256877119876355E-4</v>
      </c>
      <c r="W694">
        <v>579</v>
      </c>
      <c r="X694">
        <v>14.433669999999999</v>
      </c>
      <c r="Y694">
        <v>1</v>
      </c>
      <c r="Z694">
        <f t="shared" si="108"/>
        <v>1</v>
      </c>
      <c r="AA694" s="21">
        <f>IF(X694&gt;$B$8+$B$9,0,ABS(X694-O694)/X694)</f>
        <v>6.3383560486812473E-3</v>
      </c>
      <c r="AB694">
        <f>IF(OR(Z691&lt;&gt;Z697,X694&gt;$B$8+$B$9),0,((X697-X691)/(W697-W691)-(O697-O691)/(W697-W691))^2)</f>
        <v>7.3962033350162042E-8</v>
      </c>
    </row>
    <row r="695" spans="7:28" x14ac:dyDescent="0.2">
      <c r="G695" s="21"/>
      <c r="H695" s="21">
        <v>580</v>
      </c>
      <c r="I695">
        <f t="shared" si="114"/>
        <v>7.8427338435427922E-3</v>
      </c>
      <c r="J695">
        <f t="shared" si="115"/>
        <v>0.66919274841783682</v>
      </c>
      <c r="K695">
        <f t="shared" si="109"/>
        <v>26.63800093300803</v>
      </c>
      <c r="L695">
        <f>0.5*Z695*K695/J695/$B$7</f>
        <v>19.903085468265971</v>
      </c>
      <c r="M695">
        <f t="shared" si="112"/>
        <v>0.40168314612388123</v>
      </c>
      <c r="N695" s="21">
        <f t="shared" si="116"/>
        <v>5.1350513702233841E-2</v>
      </c>
      <c r="O695" s="21">
        <f t="shared" si="117"/>
        <v>14.532998473392711</v>
      </c>
      <c r="P695">
        <f t="shared" si="113"/>
        <v>0.49035015911640717</v>
      </c>
      <c r="Q695">
        <f t="shared" si="110"/>
        <v>0.66919274841783682</v>
      </c>
      <c r="R695">
        <f t="shared" si="111"/>
        <v>-5.7340079933569745</v>
      </c>
      <c r="T695" s="21">
        <f>(M695-M694)/(H695-H694)</f>
        <v>4.0264521269045561E-4</v>
      </c>
      <c r="W695">
        <v>580</v>
      </c>
      <c r="X695">
        <v>14.440158999999998</v>
      </c>
      <c r="Y695">
        <v>1</v>
      </c>
      <c r="Z695">
        <f t="shared" si="108"/>
        <v>1</v>
      </c>
      <c r="AA695" s="21">
        <f>IF(X695&gt;$B$8+$B$9,0,ABS(X695-O695)/X695)</f>
        <v>6.4292556191876526E-3</v>
      </c>
      <c r="AB695">
        <f>IF(OR(Z692&lt;&gt;Z698,X695&gt;$B$8+$B$9),0,((X698-X692)/(W698-W692)-(O698-O692)/(W698-W692))^2)</f>
        <v>7.3145932964028159E-8</v>
      </c>
    </row>
    <row r="696" spans="7:28" x14ac:dyDescent="0.2">
      <c r="G696" s="21"/>
      <c r="H696" s="21">
        <v>581</v>
      </c>
      <c r="I696">
        <f t="shared" si="114"/>
        <v>7.8409917055215928E-3</v>
      </c>
      <c r="J696">
        <f t="shared" si="115"/>
        <v>0.6689233039676914</v>
      </c>
      <c r="K696">
        <f t="shared" si="109"/>
        <v>26.629857836544687</v>
      </c>
      <c r="L696">
        <f>0.5*Z696*K696/J696/$B$7</f>
        <v>19.905015775792805</v>
      </c>
      <c r="M696">
        <f t="shared" si="112"/>
        <v>0.4020858682245641</v>
      </c>
      <c r="N696" s="21">
        <f t="shared" si="116"/>
        <v>5.1371721562423735E-2</v>
      </c>
      <c r="O696" s="21">
        <f t="shared" si="117"/>
        <v>14.540839465098232</v>
      </c>
      <c r="P696">
        <f t="shared" si="113"/>
        <v>0.49074955220216898</v>
      </c>
      <c r="Q696">
        <f t="shared" si="110"/>
        <v>0.6689233039676914</v>
      </c>
      <c r="R696">
        <f t="shared" si="111"/>
        <v>-5.8189315990323944</v>
      </c>
      <c r="T696" s="21">
        <f>(M696-M695)/(H696-H695)</f>
        <v>4.0272210068287295E-4</v>
      </c>
      <c r="W696">
        <v>581</v>
      </c>
      <c r="X696">
        <v>14.446649000000001</v>
      </c>
      <c r="Y696">
        <v>1</v>
      </c>
      <c r="Z696">
        <f t="shared" si="108"/>
        <v>1</v>
      </c>
      <c r="AA696" s="21">
        <f>IF(X696&gt;$B$8+$B$9,0,ABS(X696-O696)/X696)</f>
        <v>6.5198832683088827E-3</v>
      </c>
      <c r="AB696">
        <f>IF(OR(Z693&lt;&gt;Z699,X696&gt;$B$8+$B$9),0,((X699-X693)/(W699-W693)-(O699-O693)/(W699-W693))^2)</f>
        <v>2.6385391711618097E-6</v>
      </c>
    </row>
    <row r="697" spans="7:28" x14ac:dyDescent="0.2">
      <c r="G697" s="21"/>
      <c r="H697" s="21">
        <v>582</v>
      </c>
      <c r="I697">
        <f t="shared" si="114"/>
        <v>7.8392611867810214E-3</v>
      </c>
      <c r="J697">
        <f t="shared" si="115"/>
        <v>0.66865391629711346</v>
      </c>
      <c r="K697">
        <f t="shared" si="109"/>
        <v>26.621729536285759</v>
      </c>
      <c r="L697">
        <f>0.5*Z697*K697/J697/$B$7</f>
        <v>19.906957012763918</v>
      </c>
      <c r="M697">
        <f t="shared" si="112"/>
        <v>0.40248866765945113</v>
      </c>
      <c r="N697" s="21">
        <f t="shared" si="116"/>
        <v>5.1392919634296604E-2</v>
      </c>
      <c r="O697" s="21">
        <f t="shared" si="117"/>
        <v>14.548678726285013</v>
      </c>
      <c r="P697">
        <f t="shared" si="113"/>
        <v>0.49114886112451012</v>
      </c>
      <c r="Q697">
        <f t="shared" si="110"/>
        <v>0.66865391629711346</v>
      </c>
      <c r="R697">
        <f t="shared" si="111"/>
        <v>-5.9063898345722343</v>
      </c>
      <c r="T697" s="21">
        <f>(M697-M696)/(H697-H696)</f>
        <v>4.0279943488702452E-4</v>
      </c>
      <c r="W697">
        <v>582</v>
      </c>
      <c r="X697">
        <v>14.451516999999999</v>
      </c>
      <c r="Y697">
        <v>1</v>
      </c>
      <c r="Z697">
        <f t="shared" si="108"/>
        <v>1</v>
      </c>
      <c r="AA697" s="21">
        <f>IF(X697&gt;$B$8+$B$9,0,ABS(X697-O697)/X697)</f>
        <v>6.7232890695844722E-3</v>
      </c>
      <c r="AB697">
        <f>IF(OR(Z694&lt;&gt;Z700,X697&gt;$B$8+$B$9),0,((X700-X694)/(W700-W694)-(O700-O694)/(W700-W694))^2)</f>
        <v>4.6948034205181669E-6</v>
      </c>
    </row>
    <row r="698" spans="7:28" x14ac:dyDescent="0.2">
      <c r="G698" s="21"/>
      <c r="H698" s="21">
        <v>583</v>
      </c>
      <c r="I698">
        <f t="shared" si="114"/>
        <v>7.8375422598647177E-3</v>
      </c>
      <c r="J698">
        <f t="shared" si="115"/>
        <v>0.66838458512684218</v>
      </c>
      <c r="K698">
        <f t="shared" si="109"/>
        <v>26.613615990640959</v>
      </c>
      <c r="L698">
        <f>0.5*Z698*K698/J698/$B$7</f>
        <v>19.908909169105375</v>
      </c>
      <c r="M698">
        <f t="shared" si="112"/>
        <v>0.40289154487447132</v>
      </c>
      <c r="N698" s="21">
        <f t="shared" si="116"/>
        <v>5.1414107960894961E-2</v>
      </c>
      <c r="O698" s="21">
        <f t="shared" si="117"/>
        <v>14.556516268544877</v>
      </c>
      <c r="P698">
        <f t="shared" si="113"/>
        <v>0.49154808629737401</v>
      </c>
      <c r="Q698">
        <f t="shared" si="110"/>
        <v>0.66838458512684218</v>
      </c>
      <c r="R698">
        <f t="shared" si="111"/>
        <v>-5.9964979805856355</v>
      </c>
      <c r="T698" s="21">
        <f>(M698-M697)/(H698-H697)</f>
        <v>4.0287721502019203E-4</v>
      </c>
      <c r="W698">
        <v>583</v>
      </c>
      <c r="X698">
        <v>14.469363999999999</v>
      </c>
      <c r="Y698">
        <v>1</v>
      </c>
      <c r="Z698">
        <f t="shared" si="108"/>
        <v>1</v>
      </c>
      <c r="AA698" s="21">
        <f>IF(X698&gt;$B$8+$B$9,0,ABS(X698-O698)/X698)</f>
        <v>6.0232273197963959E-3</v>
      </c>
      <c r="AB698">
        <f>IF(OR(Z695&lt;&gt;Z701,X698&gt;$B$8+$B$9),0,((X701-X695)/(W701-W695)-(O701-O695)/(W701-W695))^2)</f>
        <v>7.3411880502950544E-6</v>
      </c>
    </row>
    <row r="699" spans="7:28" x14ac:dyDescent="0.2">
      <c r="G699" s="21"/>
      <c r="H699" s="21">
        <v>584</v>
      </c>
      <c r="I699">
        <f t="shared" si="114"/>
        <v>7.8358348974833809E-3</v>
      </c>
      <c r="J699">
        <f t="shared" si="115"/>
        <v>0.66811531017826298</v>
      </c>
      <c r="K699">
        <f t="shared" si="109"/>
        <v>26.605517158199579</v>
      </c>
      <c r="L699">
        <f>0.5*Z699*K699/J699/$B$7</f>
        <v>19.910872234839847</v>
      </c>
      <c r="M699">
        <f t="shared" si="112"/>
        <v>0.40329450031527414</v>
      </c>
      <c r="N699" s="21">
        <f t="shared" si="116"/>
        <v>5.1435286585154692E-2</v>
      </c>
      <c r="O699" s="21">
        <f t="shared" si="117"/>
        <v>14.56435210344236</v>
      </c>
      <c r="P699">
        <f t="shared" si="113"/>
        <v>0.49194722813374669</v>
      </c>
      <c r="Q699">
        <f t="shared" si="110"/>
        <v>0.66811531017826298</v>
      </c>
      <c r="R699">
        <f t="shared" si="111"/>
        <v>-6.0893784161090156</v>
      </c>
      <c r="T699" s="21">
        <f>(M699-M698)/(H699-H698)</f>
        <v>4.0295544080282131E-4</v>
      </c>
      <c r="W699">
        <v>584</v>
      </c>
      <c r="X699">
        <v>14.479098999999998</v>
      </c>
      <c r="Y699">
        <v>1</v>
      </c>
      <c r="Z699">
        <f t="shared" si="108"/>
        <v>1</v>
      </c>
      <c r="AA699" s="21">
        <f>IF(X699&gt;$B$8+$B$9,0,ABS(X699-O699)/X699)</f>
        <v>5.8880116395614154E-3</v>
      </c>
      <c r="AB699">
        <f>IF(OR(Z696&lt;&gt;Z702,X699&gt;$B$8+$B$9),0,((X702-X696)/(W702-W696)-(O702-O696)/(W702-W696))^2)</f>
        <v>6.6966559779618445E-7</v>
      </c>
    </row>
    <row r="700" spans="7:28" x14ac:dyDescent="0.2">
      <c r="G700" s="21"/>
      <c r="H700" s="21">
        <v>585</v>
      </c>
      <c r="I700">
        <f t="shared" si="114"/>
        <v>7.8341390725138894E-3</v>
      </c>
      <c r="J700">
        <f t="shared" si="115"/>
        <v>0.66784609117340366</v>
      </c>
      <c r="K700">
        <f t="shared" si="109"/>
        <v>26.59743299772952</v>
      </c>
      <c r="L700">
        <f>0.5*Z700*K700/J700/$B$7</f>
        <v>19.912846200086239</v>
      </c>
      <c r="M700">
        <f t="shared" si="112"/>
        <v>0.40369753442723455</v>
      </c>
      <c r="N700" s="21">
        <f t="shared" si="116"/>
        <v>5.1456455549905605E-2</v>
      </c>
      <c r="O700" s="21">
        <f t="shared" si="117"/>
        <v>14.572186242514874</v>
      </c>
      <c r="P700">
        <f t="shared" si="113"/>
        <v>0.49234628704566158</v>
      </c>
      <c r="Q700">
        <f t="shared" si="110"/>
        <v>0.66784609117340366</v>
      </c>
      <c r="R700">
        <f t="shared" si="111"/>
        <v>-6.1851611735076562</v>
      </c>
      <c r="T700" s="21">
        <f>(M700-M699)/(H700-H699)</f>
        <v>4.0303411196040972E-4</v>
      </c>
      <c r="W700">
        <v>585</v>
      </c>
      <c r="X700">
        <v>14.493700999999998</v>
      </c>
      <c r="Y700">
        <v>1</v>
      </c>
      <c r="Z700">
        <f t="shared" si="108"/>
        <v>1</v>
      </c>
      <c r="AA700" s="21">
        <f>IF(X700&gt;$B$8+$B$9,0,ABS(X700-O700)/X700)</f>
        <v>5.4151277520404434E-3</v>
      </c>
      <c r="AB700">
        <f>IF(OR(Z697&lt;&gt;Z703,X700&gt;$B$8+$B$9),0,((X703-X697)/(W703-W697)-(O703-O697)/(W703-W697))^2)</f>
        <v>4.7169516301273878E-6</v>
      </c>
    </row>
    <row r="701" spans="7:28" x14ac:dyDescent="0.2">
      <c r="G701" s="21"/>
      <c r="H701" s="21">
        <v>586</v>
      </c>
      <c r="I701">
        <f t="shared" si="114"/>
        <v>7.832454757998368E-3</v>
      </c>
      <c r="J701">
        <f t="shared" si="115"/>
        <v>0.66757692783493083</v>
      </c>
      <c r="K701">
        <f t="shared" si="109"/>
        <v>26.589363468176295</v>
      </c>
      <c r="L701">
        <f>0.5*Z701*K701/J701/$B$7</f>
        <v>19.914831055059278</v>
      </c>
      <c r="M701">
        <f t="shared" si="112"/>
        <v>0.40410064765545733</v>
      </c>
      <c r="N701" s="21">
        <f t="shared" si="116"/>
        <v>5.1477614897872233E-2</v>
      </c>
      <c r="O701" s="21">
        <f t="shared" si="117"/>
        <v>14.580018697272873</v>
      </c>
      <c r="P701">
        <f t="shared" si="113"/>
        <v>0.49274526344420533</v>
      </c>
      <c r="Q701">
        <f t="shared" si="110"/>
        <v>0.66757692783493083</v>
      </c>
      <c r="R701">
        <f t="shared" si="111"/>
        <v>-6.2839845462579689</v>
      </c>
      <c r="T701" s="21">
        <f>(M701-M700)/(H701-H700)</f>
        <v>4.031132282227845E-4</v>
      </c>
      <c r="W701">
        <v>586</v>
      </c>
      <c r="X701">
        <v>14.503436000000001</v>
      </c>
      <c r="Y701">
        <v>1</v>
      </c>
      <c r="Z701">
        <f t="shared" si="108"/>
        <v>1</v>
      </c>
      <c r="AA701" s="21">
        <f>IF(X701&gt;$B$8+$B$9,0,ABS(X701-O701)/X701)</f>
        <v>5.2803140768072111E-3</v>
      </c>
      <c r="AB701">
        <f>IF(OR(Z698&lt;&gt;Z704,X701&gt;$B$8+$B$9),0,((X704-X698)/(W704-W698)-(O704-O698)/(W704-W698))^2)</f>
        <v>1.1925361391520637E-6</v>
      </c>
    </row>
    <row r="702" spans="7:28" x14ac:dyDescent="0.2">
      <c r="G702" s="21"/>
      <c r="H702" s="21">
        <v>587</v>
      </c>
      <c r="I702">
        <f t="shared" si="114"/>
        <v>7.8307819271432669E-3</v>
      </c>
      <c r="J702">
        <f t="shared" si="115"/>
        <v>0.66730781988614685</v>
      </c>
      <c r="K702">
        <f t="shared" si="109"/>
        <v>26.581308528662074</v>
      </c>
      <c r="L702">
        <f>0.5*Z702*K702/J702/$B$7</f>
        <v>19.916826790069134</v>
      </c>
      <c r="M702">
        <f t="shared" si="112"/>
        <v>0.40450384044478094</v>
      </c>
      <c r="N702" s="21">
        <f t="shared" si="116"/>
        <v>5.1498764671674323E-2</v>
      </c>
      <c r="O702" s="21">
        <f t="shared" si="117"/>
        <v>14.587849479200017</v>
      </c>
      <c r="P702">
        <f t="shared" si="113"/>
        <v>0.49314415773952264</v>
      </c>
      <c r="Q702">
        <f t="shared" si="110"/>
        <v>0.66730781988614685</v>
      </c>
      <c r="R702">
        <f t="shared" si="111"/>
        <v>-6.3859957555840374</v>
      </c>
      <c r="T702" s="21">
        <f>(M702-M701)/(H702-H701)</f>
        <v>4.0319278932360314E-4</v>
      </c>
      <c r="W702">
        <v>587</v>
      </c>
      <c r="X702">
        <v>14.498569</v>
      </c>
      <c r="Y702">
        <v>1</v>
      </c>
      <c r="Z702">
        <f t="shared" ref="Z702:Z765" si="118">Y702</f>
        <v>1</v>
      </c>
      <c r="AA702" s="21">
        <f>IF(X702&gt;$B$8+$B$9,0,ABS(X702-O702)/X702)</f>
        <v>6.1578821468530462E-3</v>
      </c>
      <c r="AB702">
        <f>IF(OR(Z699&lt;&gt;Z705,X702&gt;$B$8+$B$9),0,((X705-X699)/(W705-W699)-(O705-O699)/(W705-W699))^2)</f>
        <v>6.7765851657324634E-7</v>
      </c>
    </row>
    <row r="703" spans="7:28" x14ac:dyDescent="0.2">
      <c r="G703" s="21"/>
      <c r="H703" s="21">
        <v>588</v>
      </c>
      <c r="I703">
        <f t="shared" si="114"/>
        <v>7.8291205533184745E-3</v>
      </c>
      <c r="J703">
        <f t="shared" si="115"/>
        <v>0.66703876705098564</v>
      </c>
      <c r="K703">
        <f t="shared" si="109"/>
        <v>26.573268138484732</v>
      </c>
      <c r="L703">
        <f>0.5*Z703*K703/J703/$B$7</f>
        <v>19.918833395521059</v>
      </c>
      <c r="M703">
        <f t="shared" si="112"/>
        <v>0.40490711323978257</v>
      </c>
      <c r="N703" s="21">
        <f t="shared" si="116"/>
        <v>5.1519904913827588E-2</v>
      </c>
      <c r="O703" s="21">
        <f t="shared" si="117"/>
        <v>14.595678599753334</v>
      </c>
      <c r="P703">
        <f t="shared" si="113"/>
        <v>0.49354297034082162</v>
      </c>
      <c r="Q703">
        <f t="shared" si="110"/>
        <v>0.66703876705098564</v>
      </c>
      <c r="R703">
        <f t="shared" si="111"/>
        <v>-6.4913516827069353</v>
      </c>
      <c r="T703" s="21">
        <f>(M703-M702)/(H703-H702)</f>
        <v>4.0327279500163016E-4</v>
      </c>
      <c r="W703">
        <v>588</v>
      </c>
      <c r="X703">
        <v>14.511547999999998</v>
      </c>
      <c r="Y703">
        <v>1</v>
      </c>
      <c r="Z703">
        <f t="shared" si="118"/>
        <v>1</v>
      </c>
      <c r="AA703" s="21">
        <f>IF(X703&gt;$B$8+$B$9,0,ABS(X703-O703)/X703)</f>
        <v>5.7974931243266964E-3</v>
      </c>
      <c r="AB703">
        <f>IF(OR(Z700&lt;&gt;Z706,X703&gt;$B$8+$B$9),0,((X706-X700)/(W706-W700)-(O706-O700)/(W706-W700))^2)</f>
        <v>6.8066217233387995E-7</v>
      </c>
    </row>
    <row r="704" spans="7:28" x14ac:dyDescent="0.2">
      <c r="G704" s="21"/>
      <c r="H704" s="21">
        <v>589</v>
      </c>
      <c r="I704">
        <f t="shared" si="114"/>
        <v>7.8274706100564164E-3</v>
      </c>
      <c r="J704">
        <f t="shared" si="115"/>
        <v>0.66676976905400931</v>
      </c>
      <c r="K704">
        <f t="shared" si="109"/>
        <v>26.565242257116854</v>
      </c>
      <c r="L704">
        <f>0.5*Z704*K704/J704/$B$7</f>
        <v>19.920850861915</v>
      </c>
      <c r="M704">
        <f t="shared" si="112"/>
        <v>0.40531046648478264</v>
      </c>
      <c r="N704" s="21">
        <f t="shared" si="116"/>
        <v>5.1541035666744374E-2</v>
      </c>
      <c r="O704" s="21">
        <f t="shared" si="117"/>
        <v>14.603506070363391</v>
      </c>
      <c r="P704">
        <f t="shared" si="113"/>
        <v>0.4939417016563793</v>
      </c>
      <c r="Q704">
        <f t="shared" si="110"/>
        <v>0.66676976905400931</v>
      </c>
      <c r="R704">
        <f t="shared" si="111"/>
        <v>-6.6002196743664907</v>
      </c>
      <c r="T704" s="21">
        <f>(M704-M703)/(H704-H703)</f>
        <v>4.0335324500007097E-4</v>
      </c>
      <c r="W704">
        <v>589</v>
      </c>
      <c r="X704">
        <v>14.522905999999999</v>
      </c>
      <c r="Y704">
        <v>1</v>
      </c>
      <c r="Z704">
        <f t="shared" si="118"/>
        <v>1</v>
      </c>
      <c r="AA704" s="21">
        <f>IF(X704&gt;$B$8+$B$9,0,ABS(X704-O704)/X704)</f>
        <v>5.5498582971887315E-3</v>
      </c>
      <c r="AB704">
        <f>IF(OR(Z701&lt;&gt;Z707,X704&gt;$B$8+$B$9),0,((X707-X701)/(W707-W701)-(O707-O701)/(W707-W701))^2)</f>
        <v>6.8310247780578208E-7</v>
      </c>
    </row>
    <row r="705" spans="7:28" x14ac:dyDescent="0.2">
      <c r="G705" s="21"/>
      <c r="H705" s="21">
        <v>590</v>
      </c>
      <c r="I705">
        <f t="shared" si="114"/>
        <v>7.825832071051168E-3</v>
      </c>
      <c r="J705">
        <f t="shared" si="115"/>
        <v>0.6665008256204048</v>
      </c>
      <c r="K705">
        <f t="shared" si="109"/>
        <v>26.557230844204827</v>
      </c>
      <c r="L705">
        <f>0.5*Z705*K705/J705/$B$7</f>
        <v>19.922879179845221</v>
      </c>
      <c r="M705">
        <f t="shared" si="112"/>
        <v>0.40571390062384866</v>
      </c>
      <c r="N705" s="21">
        <f t="shared" si="116"/>
        <v>5.1562156972734224E-2</v>
      </c>
      <c r="O705" s="21">
        <f t="shared" si="117"/>
        <v>14.611331902434442</v>
      </c>
      <c r="P705">
        <f t="shared" si="113"/>
        <v>0.49434035209354632</v>
      </c>
      <c r="Q705">
        <f t="shared" si="110"/>
        <v>0.6665008256204048</v>
      </c>
      <c r="R705">
        <f t="shared" si="111"/>
        <v>-6.7127784303143265</v>
      </c>
      <c r="T705" s="21">
        <f>(M705-M704)/(H705-H704)</f>
        <v>4.0343413906601677E-4</v>
      </c>
      <c r="W705">
        <v>590</v>
      </c>
      <c r="X705">
        <v>14.531018</v>
      </c>
      <c r="Y705">
        <v>1</v>
      </c>
      <c r="Z705">
        <f t="shared" si="118"/>
        <v>1</v>
      </c>
      <c r="AA705" s="21">
        <f>IF(X705&gt;$B$8+$B$9,0,ABS(X705-O705)/X705)</f>
        <v>5.5270664749325991E-3</v>
      </c>
      <c r="AB705">
        <f>IF(OR(Z702&lt;&gt;Z708,X705&gt;$B$8+$B$9),0,((X708-X702)/(W708-W702)-(O708-O702)/(W708-W702))^2)</f>
        <v>8.9488709581858855E-6</v>
      </c>
    </row>
    <row r="706" spans="7:28" x14ac:dyDescent="0.2">
      <c r="G706" s="21"/>
      <c r="H706" s="21">
        <v>591</v>
      </c>
      <c r="I706">
        <f t="shared" si="114"/>
        <v>7.8242049101575721E-3</v>
      </c>
      <c r="J706">
        <f t="shared" si="115"/>
        <v>0.66623193647598056</v>
      </c>
      <c r="K706">
        <f t="shared" si="109"/>
        <v>26.54923385956787</v>
      </c>
      <c r="L706">
        <f>0.5*Z706*K706/J706/$B$7</f>
        <v>19.924918339999934</v>
      </c>
      <c r="M706">
        <f t="shared" si="112"/>
        <v>0.4061174161007996</v>
      </c>
      <c r="N706" s="21">
        <f t="shared" si="116"/>
        <v>5.1583268874004579E-2</v>
      </c>
      <c r="O706" s="21">
        <f t="shared" si="117"/>
        <v>14.619156107344599</v>
      </c>
      <c r="P706">
        <f t="shared" si="113"/>
        <v>0.49473892205875253</v>
      </c>
      <c r="Q706">
        <f t="shared" si="110"/>
        <v>0.66623193647598056</v>
      </c>
      <c r="R706">
        <f t="shared" si="111"/>
        <v>-6.829218982678336</v>
      </c>
      <c r="T706" s="21">
        <f>(M706-M705)/(H706-H705)</f>
        <v>4.0351547695094414E-4</v>
      </c>
      <c r="W706">
        <v>591</v>
      </c>
      <c r="X706">
        <v>14.545621000000001</v>
      </c>
      <c r="Y706">
        <v>1</v>
      </c>
      <c r="Z706">
        <f t="shared" si="118"/>
        <v>1</v>
      </c>
      <c r="AA706" s="21">
        <f>IF(X706&gt;$B$8+$B$9,0,ABS(X706-O706)/X706)</f>
        <v>5.0554807762830251E-3</v>
      </c>
      <c r="AB706">
        <f>IF(OR(Z703&lt;&gt;Z709,X706&gt;$B$8+$B$9),0,((X709-X703)/(W709-W703)-(O709-O703)/(W709-W703))^2)</f>
        <v>1.8789680141094955E-6</v>
      </c>
    </row>
    <row r="707" spans="7:28" x14ac:dyDescent="0.2">
      <c r="G707" s="21"/>
      <c r="H707" s="21">
        <v>592</v>
      </c>
      <c r="I707">
        <f t="shared" si="114"/>
        <v>7.8225891013903575E-3</v>
      </c>
      <c r="J707">
        <f t="shared" si="115"/>
        <v>0.66596310134716319</v>
      </c>
      <c r="K707">
        <f t="shared" ref="K707:K770" si="119">IF(O707&lt;$B$8+$B$9,0.5*(($B$8+$B$9)^2+O707^2)/O707-$B$9,$B$8)</f>
        <v>26.541251263197118</v>
      </c>
      <c r="L707">
        <f>0.5*Z707*K707/J707/$B$7</f>
        <v>19.926968333160922</v>
      </c>
      <c r="M707">
        <f t="shared" si="112"/>
        <v>0.40652101335920987</v>
      </c>
      <c r="N707" s="21">
        <f t="shared" si="116"/>
        <v>5.1604371412661304E-2</v>
      </c>
      <c r="O707" s="21">
        <f t="shared" si="117"/>
        <v>14.62697869644599</v>
      </c>
      <c r="P707">
        <f t="shared" si="113"/>
        <v>0.49513741195751154</v>
      </c>
      <c r="Q707">
        <f t="shared" ref="Q707:Q770" si="120">1-B$15*P707</f>
        <v>0.66596310134716319</v>
      </c>
      <c r="R707">
        <f t="shared" ref="R707:R770" si="121">$E$15/(P707+$E$16)</f>
        <v>-6.9497457784882481</v>
      </c>
      <c r="T707" s="21">
        <f>(M707-M706)/(H707-H706)</f>
        <v>4.0359725841027094E-4</v>
      </c>
      <c r="W707">
        <v>592</v>
      </c>
      <c r="X707">
        <v>14.555354999999999</v>
      </c>
      <c r="Y707">
        <v>1</v>
      </c>
      <c r="Z707">
        <f t="shared" si="118"/>
        <v>1</v>
      </c>
      <c r="AA707" s="21">
        <f>IF(X707&gt;$B$8+$B$9,0,ABS(X707-O707)/X707)</f>
        <v>4.9207797711557921E-3</v>
      </c>
      <c r="AB707">
        <f>IF(OR(Z704&lt;&gt;Z710,X707&gt;$B$8+$B$9),0,((X710-X704)/(W710-W704)-(O710-O704)/(W710-W704))^2)</f>
        <v>1.8829275026102223E-6</v>
      </c>
    </row>
    <row r="708" spans="7:28" x14ac:dyDescent="0.2">
      <c r="G708" s="21"/>
      <c r="H708" s="21">
        <v>593</v>
      </c>
      <c r="I708">
        <f t="shared" si="114"/>
        <v>7.8209846189232646E-3</v>
      </c>
      <c r="J708">
        <f t="shared" si="115"/>
        <v>0.66569431996099304</v>
      </c>
      <c r="K708">
        <f t="shared" si="119"/>
        <v>26.533283015254668</v>
      </c>
      <c r="L708">
        <f>0.5*Z708*K708/J708/$B$7</f>
        <v>19.92902915020321</v>
      </c>
      <c r="M708">
        <f t="shared" ref="M708:M771" si="122">-LN(J708)</f>
        <v>0.40692469284241523</v>
      </c>
      <c r="N708" s="21">
        <f t="shared" si="116"/>
        <v>5.1625464630709515E-2</v>
      </c>
      <c r="O708" s="21">
        <f t="shared" si="117"/>
        <v>14.634799681064914</v>
      </c>
      <c r="P708">
        <f t="shared" ref="P708:P771" si="123">MIN(O708/(K708+$B$9),1)</f>
        <v>0.49553582219442655</v>
      </c>
      <c r="Q708">
        <f t="shared" si="120"/>
        <v>0.66569431996099304</v>
      </c>
      <c r="R708">
        <f t="shared" si="121"/>
        <v>-7.0745778782670019</v>
      </c>
      <c r="T708" s="21">
        <f>(M708-M707)/(H708-H707)</f>
        <v>4.0367948320535474E-4</v>
      </c>
      <c r="W708">
        <v>593</v>
      </c>
      <c r="X708">
        <v>14.563468</v>
      </c>
      <c r="Y708">
        <v>1</v>
      </c>
      <c r="Z708">
        <f t="shared" si="118"/>
        <v>1</v>
      </c>
      <c r="AA708" s="21">
        <f>IF(X708&gt;$B$8+$B$9,0,ABS(X708-O708)/X708)</f>
        <v>4.8979872833114753E-3</v>
      </c>
      <c r="AB708">
        <f>IF(OR(Z705&lt;&gt;Z711,X708&gt;$B$8+$B$9),0,((X711-X705)/(W711-W705)-(O711-O705)/(W711-W705))^2)</f>
        <v>6.9410602141759357E-7</v>
      </c>
    </row>
    <row r="709" spans="7:28" x14ac:dyDescent="0.2">
      <c r="G709" s="21"/>
      <c r="H709" s="21">
        <v>594</v>
      </c>
      <c r="I709">
        <f t="shared" ref="I709:I772" si="124">IF(P708&lt;0.999,MAX(0,MIN(10000000,(L708/$E$8/M708^$E$10)^(1/$E$9)/N708)),0.1)</f>
        <v>7.8193914370882286E-3</v>
      </c>
      <c r="J709">
        <f t="shared" ref="J709:J772" si="125">Q709</f>
        <v>0.66542559204512219</v>
      </c>
      <c r="K709">
        <f t="shared" si="119"/>
        <v>26.525329076072676</v>
      </c>
      <c r="L709">
        <f>0.5*Z709*K709/J709/$B$7</f>
        <v>19.93110078209466</v>
      </c>
      <c r="M709">
        <f t="shared" si="122"/>
        <v>0.40732845499351489</v>
      </c>
      <c r="N709" s="21">
        <f t="shared" ref="N709:N772" si="126">-$B$15*(O709-2*(K709+$B$9))/(K709+$B$9)^2/J709</f>
        <v>5.1646548570053998E-2</v>
      </c>
      <c r="O709" s="21">
        <f t="shared" ref="O709:O772" si="127">O708+I709*(H709-H708)</f>
        <v>14.642619072502002</v>
      </c>
      <c r="P709">
        <f t="shared" si="123"/>
        <v>0.49593415317319461</v>
      </c>
      <c r="Q709">
        <f t="shared" si="120"/>
        <v>0.66542559204512219</v>
      </c>
      <c r="R709">
        <f t="shared" si="121"/>
        <v>-7.2039502854695874</v>
      </c>
      <c r="T709" s="21">
        <f>(M709-M708)/(H709-H708)</f>
        <v>4.0376215109966251E-4</v>
      </c>
      <c r="W709">
        <v>594</v>
      </c>
      <c r="X709">
        <v>14.566713</v>
      </c>
      <c r="Y709">
        <v>1</v>
      </c>
      <c r="Z709">
        <f t="shared" si="118"/>
        <v>1</v>
      </c>
      <c r="AA709" s="21">
        <f>IF(X709&gt;$B$8+$B$9,0,ABS(X709-O709)/X709)</f>
        <v>5.2109266175562347E-3</v>
      </c>
      <c r="AB709">
        <f>IF(OR(Z706&lt;&gt;Z712,X709&gt;$B$8+$B$9),0,((X712-X706)/(W712-W706)-(O712-O706)/(W712-W706))^2)</f>
        <v>5.3906776724497744E-10</v>
      </c>
    </row>
    <row r="710" spans="7:28" x14ac:dyDescent="0.2">
      <c r="G710" s="21"/>
      <c r="H710" s="21">
        <v>595</v>
      </c>
      <c r="I710">
        <f t="shared" si="124"/>
        <v>7.8178095303744633E-3</v>
      </c>
      <c r="J710">
        <f t="shared" si="125"/>
        <v>0.66515691732781002</v>
      </c>
      <c r="K710">
        <f t="shared" si="119"/>
        <v>26.517389406152429</v>
      </c>
      <c r="L710">
        <f>0.5*Z710*K710/J710/$B$7</f>
        <v>19.933183219895639</v>
      </c>
      <c r="M710">
        <f t="shared" si="122"/>
        <v>0.40773230025537743</v>
      </c>
      <c r="N710" s="21">
        <f t="shared" si="126"/>
        <v>5.1667623272499949E-2</v>
      </c>
      <c r="O710" s="21">
        <f t="shared" si="127"/>
        <v>14.650436882032377</v>
      </c>
      <c r="P710">
        <f t="shared" si="123"/>
        <v>0.49633240529661227</v>
      </c>
      <c r="Q710">
        <f t="shared" si="120"/>
        <v>0.66515691732781002</v>
      </c>
      <c r="R710">
        <f t="shared" si="121"/>
        <v>-7.3381154237441253</v>
      </c>
      <c r="T710" s="21">
        <f>(M710-M709)/(H710-H709)</f>
        <v>4.0384526186254543E-4</v>
      </c>
      <c r="W710">
        <v>595</v>
      </c>
      <c r="X710">
        <v>14.57807</v>
      </c>
      <c r="Y710">
        <v>1</v>
      </c>
      <c r="Z710">
        <f t="shared" si="118"/>
        <v>1</v>
      </c>
      <c r="AA710" s="21">
        <f>IF(X710&gt;$B$8+$B$9,0,ABS(X710-O710)/X710)</f>
        <v>4.9640920939724269E-3</v>
      </c>
      <c r="AB710">
        <f>IF(OR(Z707&lt;&gt;Z713,X710&gt;$B$8+$B$9),0,((X713-X707)/(W713-W707)-(O713-O707)/(W713-W707))^2)</f>
        <v>8.7297093293109793E-8</v>
      </c>
    </row>
    <row r="711" spans="7:28" x14ac:dyDescent="0.2">
      <c r="G711" s="21"/>
      <c r="H711" s="21">
        <v>596</v>
      </c>
      <c r="I711">
        <f t="shared" si="124"/>
        <v>7.8162388734276545E-3</v>
      </c>
      <c r="J711">
        <f t="shared" si="125"/>
        <v>0.66488829553792028</v>
      </c>
      <c r="K711">
        <f t="shared" si="119"/>
        <v>26.509463966163423</v>
      </c>
      <c r="L711">
        <f>0.5*Z711*K711/J711/$B$7</f>
        <v>19.935276454758647</v>
      </c>
      <c r="M711">
        <f t="shared" si="122"/>
        <v>0.40813622907064423</v>
      </c>
      <c r="N711" s="21">
        <f t="shared" si="126"/>
        <v>5.1688688779753605E-2</v>
      </c>
      <c r="O711" s="21">
        <f t="shared" si="127"/>
        <v>14.658253120905805</v>
      </c>
      <c r="P711">
        <f t="shared" si="123"/>
        <v>0.49673057896658057</v>
      </c>
      <c r="Q711">
        <f t="shared" si="120"/>
        <v>0.66488829553792028</v>
      </c>
      <c r="R711">
        <f t="shared" si="121"/>
        <v>-7.477344781552679</v>
      </c>
      <c r="T711" s="21">
        <f>(M711-M710)/(H711-H710)</f>
        <v>4.0392881526679636E-4</v>
      </c>
      <c r="W711">
        <v>596</v>
      </c>
      <c r="X711">
        <v>14.582937999999999</v>
      </c>
      <c r="Y711">
        <v>1</v>
      </c>
      <c r="Z711">
        <f t="shared" si="118"/>
        <v>1</v>
      </c>
      <c r="AA711" s="21">
        <f>IF(X711&gt;$B$8+$B$9,0,ABS(X711-O711)/X711)</f>
        <v>5.1646054386164202E-3</v>
      </c>
      <c r="AB711">
        <f>IF(OR(Z708&lt;&gt;Z714,X711&gt;$B$8+$B$9),0,((X714-X708)/(W714-W708)-(O714-O708)/(W714-W708))^2)</f>
        <v>4.5659460357192165E-6</v>
      </c>
    </row>
    <row r="712" spans="7:28" x14ac:dyDescent="0.2">
      <c r="G712" s="21"/>
      <c r="H712" s="21">
        <v>597</v>
      </c>
      <c r="I712">
        <f t="shared" si="124"/>
        <v>7.8146794410490963E-3</v>
      </c>
      <c r="J712">
        <f t="shared" si="125"/>
        <v>0.6646197264049174</v>
      </c>
      <c r="K712">
        <f t="shared" si="119"/>
        <v>26.501552716942484</v>
      </c>
      <c r="L712">
        <f>0.5*Z712*K712/J712/$B$7</f>
        <v>19.937380477927992</v>
      </c>
      <c r="M712">
        <f t="shared" si="122"/>
        <v>0.40854024188173438</v>
      </c>
      <c r="N712" s="21">
        <f t="shared" si="126"/>
        <v>5.1709745133422795E-2</v>
      </c>
      <c r="O712" s="21">
        <f t="shared" si="127"/>
        <v>14.666067800346854</v>
      </c>
      <c r="P712">
        <f t="shared" si="123"/>
        <v>0.49712867458410959</v>
      </c>
      <c r="Q712">
        <f t="shared" si="120"/>
        <v>0.6646197264049174</v>
      </c>
      <c r="R712">
        <f t="shared" si="121"/>
        <v>-7.6219307466977355</v>
      </c>
      <c r="T712" s="21">
        <f>(M712-M711)/(H712-H711)</f>
        <v>4.0401281109014864E-4</v>
      </c>
      <c r="W712">
        <v>597</v>
      </c>
      <c r="X712">
        <v>14.592672</v>
      </c>
      <c r="Y712">
        <v>1</v>
      </c>
      <c r="Z712">
        <f t="shared" si="118"/>
        <v>1</v>
      </c>
      <c r="AA712" s="21">
        <f>IF(X712&gt;$B$8+$B$9,0,ABS(X712-O712)/X712)</f>
        <v>5.0296340757095982E-3</v>
      </c>
      <c r="AB712">
        <f>IF(OR(Z709&lt;&gt;Z715,X712&gt;$B$8+$B$9),0,((X715-X709)/(W715-W709)-(O715-O709)/(W715-W709))^2)</f>
        <v>1.2315371297700704E-6</v>
      </c>
    </row>
    <row r="713" spans="7:28" x14ac:dyDescent="0.2">
      <c r="G713" s="21"/>
      <c r="H713" s="21">
        <v>598</v>
      </c>
      <c r="I713">
        <f t="shared" si="124"/>
        <v>7.8131312081948893E-3</v>
      </c>
      <c r="J713">
        <f t="shared" si="125"/>
        <v>0.66435120965886396</v>
      </c>
      <c r="K713">
        <f t="shared" si="119"/>
        <v>26.493655619492845</v>
      </c>
      <c r="L713">
        <f>0.5*Z713*K713/J713/$B$7</f>
        <v>19.93949528073939</v>
      </c>
      <c r="M713">
        <f t="shared" si="122"/>
        <v>0.4089443391308476</v>
      </c>
      <c r="N713" s="21">
        <f t="shared" si="126"/>
        <v>5.1730792375017584E-2</v>
      </c>
      <c r="O713" s="21">
        <f t="shared" si="127"/>
        <v>14.673880931555049</v>
      </c>
      <c r="P713">
        <f t="shared" si="123"/>
        <v>0.49752669254932363</v>
      </c>
      <c r="Q713">
        <f t="shared" si="120"/>
        <v>0.66435120965886396</v>
      </c>
      <c r="R713">
        <f t="shared" si="121"/>
        <v>-7.7721886568402772</v>
      </c>
      <c r="T713" s="21">
        <f>(M713-M712)/(H713-H712)</f>
        <v>4.040972491132222E-4</v>
      </c>
      <c r="W713">
        <v>598</v>
      </c>
      <c r="X713">
        <v>14.604029999999998</v>
      </c>
      <c r="Y713">
        <v>1</v>
      </c>
      <c r="Z713">
        <f t="shared" si="118"/>
        <v>1</v>
      </c>
      <c r="AA713" s="21">
        <f>IF(X713&gt;$B$8+$B$9,0,ABS(X713-O713)/X713)</f>
        <v>4.7829901441623053E-3</v>
      </c>
      <c r="AB713">
        <f>IF(OR(Z710&lt;&gt;Z716,X713&gt;$B$8+$B$9),0,((X716-X710)/(W716-W710)-(O716-O710)/(W716-W710))^2)</f>
        <v>9.0247516215503318E-6</v>
      </c>
    </row>
    <row r="714" spans="7:28" x14ac:dyDescent="0.2">
      <c r="G714" s="21"/>
      <c r="H714" s="21">
        <v>599</v>
      </c>
      <c r="I714">
        <f t="shared" si="124"/>
        <v>7.8115941499750556E-3</v>
      </c>
      <c r="J714">
        <f t="shared" si="125"/>
        <v>0.66408274503041587</v>
      </c>
      <c r="K714">
        <f t="shared" si="119"/>
        <v>26.485772634983256</v>
      </c>
      <c r="L714">
        <f>0.5*Z714*K714/J714/$B$7</f>
        <v>19.941620854619686</v>
      </c>
      <c r="M714">
        <f t="shared" si="122"/>
        <v>0.40934852125997068</v>
      </c>
      <c r="N714" s="21">
        <f t="shared" si="126"/>
        <v>5.1751830545950943E-2</v>
      </c>
      <c r="O714" s="21">
        <f t="shared" si="127"/>
        <v>14.681692525705024</v>
      </c>
      <c r="P714">
        <f t="shared" si="123"/>
        <v>0.49792463326146658</v>
      </c>
      <c r="Q714">
        <f t="shared" si="120"/>
        <v>0.66408274503041587</v>
      </c>
      <c r="R714">
        <f t="shared" si="121"/>
        <v>-7.9284590962715065</v>
      </c>
      <c r="T714" s="21">
        <f>(M714-M713)/(H714-H713)</f>
        <v>4.0418212912307627E-4</v>
      </c>
      <c r="W714">
        <v>599</v>
      </c>
      <c r="X714">
        <v>14.597539999999999</v>
      </c>
      <c r="Y714">
        <v>1</v>
      </c>
      <c r="Z714">
        <f t="shared" si="118"/>
        <v>1</v>
      </c>
      <c r="AA714" s="21">
        <f>IF(X714&gt;$B$8+$B$9,0,ABS(X714-O714)/X714)</f>
        <v>5.7648429601854659E-3</v>
      </c>
      <c r="AB714">
        <f>IF(OR(Z711&lt;&gt;Z717,X714&gt;$B$8+$B$9),0,((X717-X711)/(W717-W711)-(O717-O711)/(W717-W711))^2)</f>
        <v>4.8150429862617098E-6</v>
      </c>
    </row>
    <row r="715" spans="7:28" x14ac:dyDescent="0.2">
      <c r="G715" s="21"/>
      <c r="H715" s="21">
        <v>600</v>
      </c>
      <c r="I715">
        <f t="shared" si="124"/>
        <v>7.810068241652768E-3</v>
      </c>
      <c r="J715">
        <f t="shared" si="125"/>
        <v>0.66381433225082054</v>
      </c>
      <c r="K715">
        <f t="shared" si="119"/>
        <v>26.477903724747108</v>
      </c>
      <c r="L715">
        <f>0.5*Z715*K715/J715/$B$7</f>
        <v>19.943757191086451</v>
      </c>
      <c r="M715">
        <f t="shared" si="122"/>
        <v>0.40975278871087961</v>
      </c>
      <c r="N715" s="21">
        <f t="shared" si="126"/>
        <v>5.1772859687539259E-2</v>
      </c>
      <c r="O715" s="21">
        <f t="shared" si="127"/>
        <v>14.689502593946678</v>
      </c>
      <c r="P715">
        <f t="shared" si="123"/>
        <v>0.49832249711890597</v>
      </c>
      <c r="Q715">
        <f t="shared" si="120"/>
        <v>0.66381433225082054</v>
      </c>
      <c r="R715">
        <f t="shared" si="121"/>
        <v>-8.091110474144779</v>
      </c>
      <c r="T715" s="21">
        <f>(M715-M714)/(H715-H714)</f>
        <v>4.0426745090893501E-4</v>
      </c>
      <c r="W715">
        <v>600</v>
      </c>
      <c r="X715">
        <v>14.620255</v>
      </c>
      <c r="Y715">
        <v>1</v>
      </c>
      <c r="Z715">
        <f t="shared" si="118"/>
        <v>1</v>
      </c>
      <c r="AA715" s="21">
        <f>IF(X715&gt;$B$8+$B$9,0,ABS(X715-O715)/X715)</f>
        <v>4.7364149220842904E-3</v>
      </c>
      <c r="AB715">
        <f>IF(OR(Z712&lt;&gt;Z718,X715&gt;$B$8+$B$9),0,((X718-X712)/(W718-W712)-(O718-O712)/(W718-W712))^2)</f>
        <v>3.7082216342290951E-6</v>
      </c>
    </row>
    <row r="716" spans="7:28" x14ac:dyDescent="0.2">
      <c r="G716" s="21"/>
      <c r="H716" s="21">
        <v>601</v>
      </c>
      <c r="I716">
        <f t="shared" si="124"/>
        <v>7.8085534586435227E-3</v>
      </c>
      <c r="J716">
        <f t="shared" si="125"/>
        <v>0.66354597105191315</v>
      </c>
      <c r="K716">
        <f t="shared" si="119"/>
        <v>26.47004885028155</v>
      </c>
      <c r="L716">
        <f>0.5*Z716*K716/J716/$B$7</f>
        <v>19.945904281747676</v>
      </c>
      <c r="M716">
        <f t="shared" si="122"/>
        <v>0.41015714192514419</v>
      </c>
      <c r="N716" s="21">
        <f t="shared" si="126"/>
        <v>5.1793879841002949E-2</v>
      </c>
      <c r="O716" s="21">
        <f t="shared" si="127"/>
        <v>14.697311147405321</v>
      </c>
      <c r="P716">
        <f t="shared" si="123"/>
        <v>0.49872028451913836</v>
      </c>
      <c r="Q716">
        <f t="shared" si="120"/>
        <v>0.66354597105191315</v>
      </c>
      <c r="R716">
        <f t="shared" si="121"/>
        <v>-8.2605419252482051</v>
      </c>
      <c r="T716" s="21">
        <f>(M716-M715)/(H716-H715)</f>
        <v>4.0435321426457449E-4</v>
      </c>
      <c r="W716">
        <v>601</v>
      </c>
      <c r="X716">
        <v>14.642969000000001</v>
      </c>
      <c r="Y716">
        <v>1</v>
      </c>
      <c r="Z716">
        <f t="shared" si="118"/>
        <v>1</v>
      </c>
      <c r="AA716" s="21">
        <f>IF(X716&gt;$B$8+$B$9,0,ABS(X716-O716)/X716)</f>
        <v>3.7111426928049945E-3</v>
      </c>
      <c r="AB716">
        <f>IF(OR(Z713&lt;&gt;Z719,X716&gt;$B$8+$B$9),0,((X719-X713)/(W719-W713)-(O719-O713)/(W719-W713))^2)</f>
        <v>7.1288095902462677E-6</v>
      </c>
    </row>
    <row r="717" spans="7:28" x14ac:dyDescent="0.2">
      <c r="G717" s="21"/>
      <c r="H717" s="21">
        <v>602</v>
      </c>
      <c r="I717">
        <f t="shared" si="124"/>
        <v>7.8070497765143207E-3</v>
      </c>
      <c r="J717">
        <f t="shared" si="125"/>
        <v>0.66327766116611286</v>
      </c>
      <c r="K717">
        <f t="shared" si="119"/>
        <v>26.462207973246588</v>
      </c>
      <c r="L717">
        <f>0.5*Z717*K717/J717/$B$7</f>
        <v>19.948062118301412</v>
      </c>
      <c r="M717">
        <f t="shared" si="122"/>
        <v>0.41056158134413323</v>
      </c>
      <c r="N717" s="21">
        <f t="shared" si="126"/>
        <v>5.1814891047467178E-2</v>
      </c>
      <c r="O717" s="21">
        <f t="shared" si="127"/>
        <v>14.705118197181836</v>
      </c>
      <c r="P717">
        <f t="shared" si="123"/>
        <v>0.49911799585879457</v>
      </c>
      <c r="Q717">
        <f t="shared" si="120"/>
        <v>0.66327766116611286</v>
      </c>
      <c r="R717">
        <f t="shared" si="121"/>
        <v>-8.4371865813952329</v>
      </c>
      <c r="T717" s="21">
        <f>(M717-M716)/(H717-H716)</f>
        <v>4.0443941898904434E-4</v>
      </c>
      <c r="W717">
        <v>602</v>
      </c>
      <c r="X717">
        <v>14.642969000000001</v>
      </c>
      <c r="Y717">
        <v>1</v>
      </c>
      <c r="Z717">
        <f t="shared" si="118"/>
        <v>1</v>
      </c>
      <c r="AA717" s="21">
        <f>IF(X717&gt;$B$8+$B$9,0,ABS(X717-O717)/X717)</f>
        <v>4.2443029949619567E-3</v>
      </c>
      <c r="AB717">
        <f>IF(OR(Z714&lt;&gt;Z720,X717&gt;$B$8+$B$9),0,((X720-X714)/(W720-W714)-(O720-O714)/(W720-W714))^2)</f>
        <v>2.1461740414449116E-5</v>
      </c>
    </row>
    <row r="718" spans="7:28" x14ac:dyDescent="0.2">
      <c r="G718" s="21"/>
      <c r="H718" s="21">
        <v>603</v>
      </c>
      <c r="I718">
        <f t="shared" si="124"/>
        <v>7.8055571709828428E-3</v>
      </c>
      <c r="J718">
        <f t="shared" si="125"/>
        <v>0.66300940232641969</v>
      </c>
      <c r="K718">
        <f t="shared" si="119"/>
        <v>26.454381055464257</v>
      </c>
      <c r="L718">
        <f>0.5*Z718*K718/J718/$B$7</f>
        <v>19.95023069253546</v>
      </c>
      <c r="M718">
        <f t="shared" si="122"/>
        <v>0.4109661074090184</v>
      </c>
      <c r="N718" s="21">
        <f t="shared" si="126"/>
        <v>5.183589334796234E-2</v>
      </c>
      <c r="O718" s="21">
        <f t="shared" si="127"/>
        <v>14.712923754352818</v>
      </c>
      <c r="P718">
        <f t="shared" si="123"/>
        <v>0.4995156315336437</v>
      </c>
      <c r="Q718">
        <f t="shared" si="120"/>
        <v>0.66300940232641969</v>
      </c>
      <c r="R718">
        <f t="shared" si="121"/>
        <v>-8.6215152698786586</v>
      </c>
      <c r="T718" s="21">
        <f>(M718-M717)/(H718-H717)</f>
        <v>4.0452606488516896E-4</v>
      </c>
      <c r="W718">
        <v>603</v>
      </c>
      <c r="X718">
        <v>14.651081999999999</v>
      </c>
      <c r="Y718">
        <v>1</v>
      </c>
      <c r="Z718">
        <f t="shared" si="118"/>
        <v>1</v>
      </c>
      <c r="AA718" s="21">
        <f>IF(X718&gt;$B$8+$B$9,0,ABS(X718-O718)/X718)</f>
        <v>4.2209684139928767E-3</v>
      </c>
      <c r="AB718">
        <f>IF(OR(Z715&lt;&gt;Z721,X718&gt;$B$8+$B$9),0,((X721-X715)/(W721-W715)-(O721-O715)/(W721-W715))^2)</f>
        <v>1.4614071654080392E-5</v>
      </c>
    </row>
    <row r="719" spans="7:28" x14ac:dyDescent="0.2">
      <c r="G719" s="21"/>
      <c r="H719" s="21">
        <v>604</v>
      </c>
      <c r="I719">
        <f t="shared" si="124"/>
        <v>7.8040756179167435E-3</v>
      </c>
      <c r="J719">
        <f t="shared" si="125"/>
        <v>0.66274119426641231</v>
      </c>
      <c r="K719">
        <f t="shared" si="119"/>
        <v>26.44656805891772</v>
      </c>
      <c r="L719">
        <f>0.5*Z719*K719/J719/$B$7</f>
        <v>19.952409996327003</v>
      </c>
      <c r="M719">
        <f t="shared" si="122"/>
        <v>0.41137072056077673</v>
      </c>
      <c r="N719" s="21">
        <f t="shared" si="126"/>
        <v>5.185688678342467E-2</v>
      </c>
      <c r="O719" s="21">
        <f t="shared" si="127"/>
        <v>14.720727829970736</v>
      </c>
      <c r="P719">
        <f t="shared" si="123"/>
        <v>0.49991319193859846</v>
      </c>
      <c r="Q719">
        <f t="shared" si="120"/>
        <v>0.66274119426641231</v>
      </c>
      <c r="R719">
        <f t="shared" si="121"/>
        <v>-8.8140407054788543</v>
      </c>
      <c r="T719" s="21">
        <f>(M719-M718)/(H719-H718)</f>
        <v>4.0461315175832624E-4</v>
      </c>
      <c r="W719">
        <v>604</v>
      </c>
      <c r="X719">
        <v>14.634857</v>
      </c>
      <c r="Y719">
        <v>1</v>
      </c>
      <c r="Z719">
        <f t="shared" si="118"/>
        <v>1</v>
      </c>
      <c r="AA719" s="21">
        <f>IF(X719&gt;$B$8+$B$9,0,ABS(X719-O719)/X719)</f>
        <v>5.8675551097448772E-3</v>
      </c>
      <c r="AB719">
        <f>IF(OR(Z716&lt;&gt;Z722,X719&gt;$B$8+$B$9),0,((X722-X716)/(W722-W716)-(O722-O716)/(W722-W716))^2)</f>
        <v>3.3579508731316253E-7</v>
      </c>
    </row>
    <row r="720" spans="7:28" x14ac:dyDescent="0.2">
      <c r="G720" s="21"/>
      <c r="H720" s="21">
        <v>605</v>
      </c>
      <c r="I720">
        <f t="shared" si="124"/>
        <v>7.8026050933327137E-3</v>
      </c>
      <c r="J720">
        <f t="shared" si="125"/>
        <v>0.66247303672024316</v>
      </c>
      <c r="K720">
        <f t="shared" si="119"/>
        <v>26.438768945750436</v>
      </c>
      <c r="L720">
        <f>0.5*Z720*K720/J720/$B$7</f>
        <v>19.954600021642321</v>
      </c>
      <c r="M720">
        <f t="shared" si="122"/>
        <v>0.41177542124019739</v>
      </c>
      <c r="N720" s="21">
        <f t="shared" si="126"/>
        <v>5.1877871394696892E-2</v>
      </c>
      <c r="O720" s="21">
        <f t="shared" si="127"/>
        <v>14.728530435064069</v>
      </c>
      <c r="P720">
        <f t="shared" si="123"/>
        <v>0.50031067746771973</v>
      </c>
      <c r="Q720">
        <f t="shared" si="120"/>
        <v>0.66247303672024316</v>
      </c>
      <c r="R720">
        <f t="shared" si="121"/>
        <v>-9.0153222546146008</v>
      </c>
      <c r="T720" s="21">
        <f>(M720-M719)/(H720-H719)</f>
        <v>4.0470067942066645E-4</v>
      </c>
      <c r="W720">
        <v>605</v>
      </c>
      <c r="X720">
        <v>14.672173999999998</v>
      </c>
      <c r="Y720">
        <v>1</v>
      </c>
      <c r="Z720">
        <f t="shared" si="118"/>
        <v>1</v>
      </c>
      <c r="AA720" s="21">
        <f>IF(X720&gt;$B$8+$B$9,0,ABS(X720-O720)/X720)</f>
        <v>3.8410418976813571E-3</v>
      </c>
      <c r="AB720">
        <f>IF(OR(Z717&lt;&gt;Z723,X720&gt;$B$8+$B$9),0,((X723-X717)/(W723-W717)-(O723-O717)/(W723-W717))^2)</f>
        <v>9.0878735094674167E-6</v>
      </c>
    </row>
    <row r="721" spans="7:28" x14ac:dyDescent="0.2">
      <c r="G721" s="21"/>
      <c r="H721" s="21">
        <v>606</v>
      </c>
      <c r="I721">
        <f t="shared" si="124"/>
        <v>7.8011455733958367E-3</v>
      </c>
      <c r="J721">
        <f t="shared" si="125"/>
        <v>0.66220492942263665</v>
      </c>
      <c r="K721">
        <f t="shared" si="119"/>
        <v>26.430983678265289</v>
      </c>
      <c r="L721">
        <f>0.5*Z721*K721/J721/$B$7</f>
        <v>19.956800760536424</v>
      </c>
      <c r="M721">
        <f t="shared" si="122"/>
        <v>0.41218020988788362</v>
      </c>
      <c r="N721" s="21">
        <f t="shared" si="126"/>
        <v>5.189884722252875E-2</v>
      </c>
      <c r="O721" s="21">
        <f t="shared" si="127"/>
        <v>14.736331580637465</v>
      </c>
      <c r="P721">
        <f t="shared" si="123"/>
        <v>0.50070808851422155</v>
      </c>
      <c r="Q721">
        <f t="shared" si="120"/>
        <v>0.66220492942263665</v>
      </c>
      <c r="R721">
        <f t="shared" si="121"/>
        <v>-9.2259713648608699</v>
      </c>
      <c r="T721" s="21">
        <f>(M721-M720)/(H721-H720)</f>
        <v>4.0478864768622724E-4</v>
      </c>
      <c r="W721">
        <v>606</v>
      </c>
      <c r="X721">
        <v>14.690020999999998</v>
      </c>
      <c r="Y721">
        <v>1</v>
      </c>
      <c r="Z721">
        <f t="shared" si="118"/>
        <v>1</v>
      </c>
      <c r="AA721" s="21">
        <f>IF(X721&gt;$B$8+$B$9,0,ABS(X721-O721)/X721)</f>
        <v>3.1525197028286806E-3</v>
      </c>
      <c r="AB721">
        <f>IF(OR(Z718&lt;&gt;Z724,X721&gt;$B$8+$B$9),0,((X724-X718)/(W724-W718)-(O724-O718)/(W724-W718))^2)</f>
        <v>2.4097273720949345E-5</v>
      </c>
    </row>
    <row r="722" spans="7:28" x14ac:dyDescent="0.2">
      <c r="G722" s="21"/>
      <c r="H722" s="21">
        <v>607</v>
      </c>
      <c r="I722">
        <f t="shared" si="124"/>
        <v>7.7996970344187261E-3</v>
      </c>
      <c r="J722">
        <f t="shared" si="125"/>
        <v>0.66193687210888497</v>
      </c>
      <c r="K722">
        <f t="shared" si="119"/>
        <v>26.423212218923748</v>
      </c>
      <c r="L722">
        <f>0.5*Z722*K722/J722/$B$7</f>
        <v>19.959012205152757</v>
      </c>
      <c r="M722">
        <f t="shared" si="122"/>
        <v>0.41258508694425844</v>
      </c>
      <c r="N722" s="21">
        <f t="shared" si="126"/>
        <v>5.1919814307577632E-2</v>
      </c>
      <c r="O722" s="21">
        <f t="shared" si="127"/>
        <v>14.744131277671883</v>
      </c>
      <c r="P722">
        <f t="shared" si="123"/>
        <v>0.50110542547047565</v>
      </c>
      <c r="Q722">
        <f t="shared" si="120"/>
        <v>0.66193687210888497</v>
      </c>
      <c r="R722">
        <f t="shared" si="121"/>
        <v>-9.4466577708304289</v>
      </c>
      <c r="T722" s="21">
        <f>(M722-M721)/(H722-H721)</f>
        <v>4.0487705637481941E-4</v>
      </c>
      <c r="W722">
        <v>607</v>
      </c>
      <c r="X722">
        <v>14.693265999999998</v>
      </c>
      <c r="Y722">
        <v>1</v>
      </c>
      <c r="Z722">
        <f t="shared" si="118"/>
        <v>1</v>
      </c>
      <c r="AA722" s="21">
        <f>IF(X722&gt;$B$8+$B$9,0,ABS(X722-O722)/X722)</f>
        <v>3.4618088090071623E-3</v>
      </c>
      <c r="AB722">
        <f>IF(OR(Z719&lt;&gt;Z725,X722&gt;$B$8+$B$9),0,((X725-X719)/(W725-W719)-(O725-O719)/(W725-W719))^2)</f>
        <v>3.2737551401828496E-5</v>
      </c>
    </row>
    <row r="723" spans="7:28" x14ac:dyDescent="0.2">
      <c r="G723" s="21"/>
      <c r="H723" s="21">
        <v>608</v>
      </c>
      <c r="I723">
        <f t="shared" si="124"/>
        <v>7.7982594528608071E-3</v>
      </c>
      <c r="J723">
        <f t="shared" si="125"/>
        <v>0.66166886451484563</v>
      </c>
      <c r="K723">
        <f t="shared" si="119"/>
        <v>26.415454530345034</v>
      </c>
      <c r="L723">
        <f>0.5*Z723*K723/J723/$B$7</f>
        <v>19.961234347722854</v>
      </c>
      <c r="M723">
        <f t="shared" si="122"/>
        <v>0.41299005284956752</v>
      </c>
      <c r="N723" s="21">
        <f t="shared" si="126"/>
        <v>5.1940772690409143E-2</v>
      </c>
      <c r="O723" s="21">
        <f t="shared" si="127"/>
        <v>14.751929537124743</v>
      </c>
      <c r="P723">
        <f t="shared" si="123"/>
        <v>0.50150268872801629</v>
      </c>
      <c r="Q723">
        <f t="shared" si="120"/>
        <v>0.66166886451484563</v>
      </c>
      <c r="R723">
        <f t="shared" si="121"/>
        <v>-9.6781166090952482</v>
      </c>
      <c r="T723" s="21">
        <f>(M723-M722)/(H723-H722)</f>
        <v>4.0496590530908483E-4</v>
      </c>
      <c r="W723">
        <v>608</v>
      </c>
      <c r="X723">
        <v>14.707867999999998</v>
      </c>
      <c r="Y723">
        <v>1</v>
      </c>
      <c r="Z723">
        <f t="shared" si="118"/>
        <v>1</v>
      </c>
      <c r="AA723" s="21">
        <f>IF(X723&gt;$B$8+$B$9,0,ABS(X723-O723)/X723)</f>
        <v>2.9957800222809795E-3</v>
      </c>
      <c r="AB723">
        <f>IF(OR(Z720&lt;&gt;Z726,X723&gt;$B$8+$B$9),0,((X726-X720)/(W726-W720)-(O726-O720)/(W726-W720))^2)</f>
        <v>7.5539186278808106E-6</v>
      </c>
    </row>
    <row r="724" spans="7:28" x14ac:dyDescent="0.2">
      <c r="G724" s="21"/>
      <c r="H724" s="21">
        <v>609</v>
      </c>
      <c r="I724">
        <f t="shared" si="124"/>
        <v>7.7968328053274819E-3</v>
      </c>
      <c r="J724">
        <f t="shared" si="125"/>
        <v>0.66140090637693771</v>
      </c>
      <c r="K724">
        <f t="shared" si="119"/>
        <v>26.407710575305266</v>
      </c>
      <c r="L724">
        <f>0.5*Z724*K724/J724/$B$7</f>
        <v>19.963467180566049</v>
      </c>
      <c r="M724">
        <f t="shared" si="122"/>
        <v>0.41339510804388424</v>
      </c>
      <c r="N724" s="21">
        <f t="shared" si="126"/>
        <v>5.1961722411497706E-2</v>
      </c>
      <c r="O724" s="21">
        <f t="shared" si="127"/>
        <v>14.759726369930071</v>
      </c>
      <c r="P724">
        <f t="shared" si="123"/>
        <v>0.50189987867754504</v>
      </c>
      <c r="Q724">
        <f t="shared" si="120"/>
        <v>0.66140090637693771</v>
      </c>
      <c r="R724">
        <f t="shared" si="121"/>
        <v>-9.9211566013843697</v>
      </c>
      <c r="T724" s="21">
        <f>(M724-M723)/(H724-H723)</f>
        <v>4.0505519431671688E-4</v>
      </c>
      <c r="W724">
        <v>609</v>
      </c>
      <c r="X724">
        <v>14.727338</v>
      </c>
      <c r="Y724">
        <v>1</v>
      </c>
      <c r="Z724">
        <f t="shared" si="118"/>
        <v>1</v>
      </c>
      <c r="AA724" s="21">
        <f>IF(X724&gt;$B$8+$B$9,0,ABS(X724-O724)/X724)</f>
        <v>2.1992005568196742E-3</v>
      </c>
      <c r="AB724">
        <f>IF(OR(Z721&lt;&gt;Z727,X724&gt;$B$8+$B$9),0,((X727-X721)/(W727-W721)-(O727-O721)/(W727-W721))^2)</f>
        <v>5.0462891164308042E-8</v>
      </c>
    </row>
    <row r="725" spans="7:28" x14ac:dyDescent="0.2">
      <c r="G725" s="21"/>
      <c r="H725" s="21">
        <v>610</v>
      </c>
      <c r="I725">
        <f t="shared" si="124"/>
        <v>7.7954170685694329E-3</v>
      </c>
      <c r="J725">
        <f t="shared" si="125"/>
        <v>0.66113299743213949</v>
      </c>
      <c r="K725">
        <f t="shared" si="119"/>
        <v>26.399980316736656</v>
      </c>
      <c r="L725">
        <f>0.5*Z725*K725/J725/$B$7</f>
        <v>19.965710696089118</v>
      </c>
      <c r="M725">
        <f t="shared" si="122"/>
        <v>0.41380025296711259</v>
      </c>
      <c r="N725" s="21">
        <f t="shared" si="126"/>
        <v>5.1982663511227052E-2</v>
      </c>
      <c r="O725" s="21">
        <f t="shared" si="127"/>
        <v>14.767521786998641</v>
      </c>
      <c r="P725">
        <f t="shared" si="123"/>
        <v>0.50229699570893482</v>
      </c>
      <c r="Q725">
        <f t="shared" si="120"/>
        <v>0.66113299743213949</v>
      </c>
      <c r="R725">
        <f t="shared" si="121"/>
        <v>-10.176669497990911</v>
      </c>
      <c r="T725" s="21">
        <f>(M725-M724)/(H725-H724)</f>
        <v>4.0514492322835105E-4</v>
      </c>
      <c r="W725">
        <v>610</v>
      </c>
      <c r="X725">
        <v>14.715980999999999</v>
      </c>
      <c r="Y725">
        <v>1</v>
      </c>
      <c r="Z725">
        <f t="shared" si="118"/>
        <v>1</v>
      </c>
      <c r="AA725" s="21">
        <f>IF(X725&gt;$B$8+$B$9,0,ABS(X725-O725)/X725)</f>
        <v>3.5023684115004982E-3</v>
      </c>
      <c r="AB725">
        <f>IF(OR(Z722&lt;&gt;Z728,X725&gt;$B$8+$B$9),0,((X728-X722)/(W728-W722)-(O728-O722)/(W728-W722))^2)</f>
        <v>1.7023181435344014E-6</v>
      </c>
    </row>
    <row r="726" spans="7:28" x14ac:dyDescent="0.2">
      <c r="G726" s="21"/>
      <c r="H726" s="21">
        <v>611</v>
      </c>
      <c r="I726">
        <f t="shared" si="124"/>
        <v>7.794012219481861E-3</v>
      </c>
      <c r="J726">
        <f t="shared" si="125"/>
        <v>0.66086513741798447</v>
      </c>
      <c r="K726">
        <f t="shared" si="119"/>
        <v>26.392263717726664</v>
      </c>
      <c r="L726">
        <f>0.5*Z726*K726/J726/$B$7</f>
        <v>19.967964886786021</v>
      </c>
      <c r="M726">
        <f t="shared" si="122"/>
        <v>0.4142054880589926</v>
      </c>
      <c r="N726" s="21">
        <f t="shared" si="126"/>
        <v>5.2003596029890901E-2</v>
      </c>
      <c r="O726" s="21">
        <f t="shared" si="127"/>
        <v>14.775315799218122</v>
      </c>
      <c r="P726">
        <f t="shared" si="123"/>
        <v>0.50269404021123532</v>
      </c>
      <c r="Q726">
        <f t="shared" si="120"/>
        <v>0.66086513741798447</v>
      </c>
      <c r="R726">
        <f t="shared" si="121"/>
        <v>-10.445641013771207</v>
      </c>
      <c r="T726" s="21">
        <f>(M726-M725)/(H726-H725)</f>
        <v>4.0523509188000739E-4</v>
      </c>
      <c r="W726">
        <v>611</v>
      </c>
      <c r="X726">
        <v>14.73545</v>
      </c>
      <c r="Y726">
        <v>1</v>
      </c>
      <c r="Z726">
        <f t="shared" si="118"/>
        <v>1</v>
      </c>
      <c r="AA726" s="21">
        <f>IF(X726&gt;$B$8+$B$9,0,ABS(X726-O726)/X726)</f>
        <v>2.705434799624153E-3</v>
      </c>
      <c r="AB726">
        <f>IF(OR(Z723&lt;&gt;Z729,X726&gt;$B$8+$B$9),0,((X729-X723)/(W729-W723)-(O729-O723)/(W729-W723))^2)</f>
        <v>7.3960625208618412E-7</v>
      </c>
    </row>
    <row r="727" spans="7:28" x14ac:dyDescent="0.2">
      <c r="G727" s="21"/>
      <c r="H727" s="21">
        <v>612</v>
      </c>
      <c r="I727">
        <f t="shared" si="124"/>
        <v>7.7926182351036859E-3</v>
      </c>
      <c r="J727">
        <f t="shared" si="125"/>
        <v>0.66059732607255861</v>
      </c>
      <c r="K727">
        <f t="shared" si="119"/>
        <v>26.384560741517181</v>
      </c>
      <c r="L727">
        <f>0.5*Z727*K727/J727/$B$7</f>
        <v>19.970229745237535</v>
      </c>
      <c r="M727">
        <f t="shared" si="122"/>
        <v>0.41461081375910364</v>
      </c>
      <c r="N727" s="21">
        <f t="shared" si="126"/>
        <v>5.2024520007693503E-2</v>
      </c>
      <c r="O727" s="21">
        <f t="shared" si="127"/>
        <v>14.783108417453226</v>
      </c>
      <c r="P727">
        <f t="shared" si="123"/>
        <v>0.50309101257267752</v>
      </c>
      <c r="Q727">
        <f t="shared" si="120"/>
        <v>0.66059732607255861</v>
      </c>
      <c r="R727">
        <f t="shared" si="121"/>
        <v>-10.729163539413847</v>
      </c>
      <c r="T727" s="21">
        <f>(M727-M726)/(H727-H726)</f>
        <v>4.0532570011103664E-4</v>
      </c>
      <c r="W727">
        <v>612</v>
      </c>
      <c r="X727">
        <v>14.73545</v>
      </c>
      <c r="Y727">
        <v>1</v>
      </c>
      <c r="Z727">
        <f t="shared" si="118"/>
        <v>1</v>
      </c>
      <c r="AA727" s="21">
        <f>IF(X727&gt;$B$8+$B$9,0,ABS(X727-O727)/X727)</f>
        <v>3.2342695644331163E-3</v>
      </c>
      <c r="AB727">
        <f>IF(OR(Z724&lt;&gt;Z730,X727&gt;$B$8+$B$9),0,((X730-X724)/(W730-W724)-(O730-O724)/(W730-W724))^2)</f>
        <v>1.0642145938313597E-6</v>
      </c>
    </row>
    <row r="728" spans="7:28" x14ac:dyDescent="0.2">
      <c r="G728" s="21"/>
      <c r="H728" s="21">
        <v>613</v>
      </c>
      <c r="I728">
        <f t="shared" si="124"/>
        <v>7.79123509261686E-3</v>
      </c>
      <c r="J728">
        <f t="shared" si="125"/>
        <v>0.66032956313449731</v>
      </c>
      <c r="K728">
        <f t="shared" si="119"/>
        <v>26.376871351503723</v>
      </c>
      <c r="L728">
        <f>0.5*Z728*K728/J728/$B$7</f>
        <v>19.972505264110996</v>
      </c>
      <c r="M728">
        <f t="shared" si="122"/>
        <v>0.41501623050686864</v>
      </c>
      <c r="N728" s="21">
        <f t="shared" si="126"/>
        <v>5.204543548475022E-2</v>
      </c>
      <c r="O728" s="21">
        <f t="shared" si="127"/>
        <v>14.790899652545843</v>
      </c>
      <c r="P728">
        <f t="shared" si="123"/>
        <v>0.50348791318067765</v>
      </c>
      <c r="Q728">
        <f t="shared" si="120"/>
        <v>0.66032956313449731</v>
      </c>
      <c r="R728">
        <f t="shared" si="121"/>
        <v>-11.02845097354319</v>
      </c>
      <c r="T728" s="21">
        <f>(M728-M727)/(H728-H727)</f>
        <v>4.0541674776500836E-4</v>
      </c>
      <c r="W728">
        <v>613</v>
      </c>
      <c r="X728">
        <v>14.732205999999998</v>
      </c>
      <c r="Y728">
        <v>1</v>
      </c>
      <c r="Z728">
        <f t="shared" si="118"/>
        <v>1</v>
      </c>
      <c r="AA728" s="21">
        <f>IF(X728&gt;$B$8+$B$9,0,ABS(X728-O728)/X728)</f>
        <v>3.9840369151670028E-3</v>
      </c>
      <c r="AB728">
        <f>IF(OR(Z725&lt;&gt;Z731,X728&gt;$B$8+$B$9),0,((X731-X725)/(W731-W725)-(O731-O725)/(W731-W725))^2)</f>
        <v>2.8015059851381852E-6</v>
      </c>
    </row>
    <row r="729" spans="7:28" x14ac:dyDescent="0.2">
      <c r="G729" s="21"/>
      <c r="H729" s="21">
        <v>614</v>
      </c>
      <c r="I729">
        <f t="shared" si="124"/>
        <v>7.7898627693456061E-3</v>
      </c>
      <c r="J729">
        <f t="shared" si="125"/>
        <v>0.66006184834298254</v>
      </c>
      <c r="K729">
        <f t="shared" si="119"/>
        <v>26.369195511234633</v>
      </c>
      <c r="L729">
        <f>0.5*Z729*K729/J729/$B$7</f>
        <v>19.974791436159951</v>
      </c>
      <c r="M729">
        <f t="shared" si="122"/>
        <v>0.41542173874155747</v>
      </c>
      <c r="N729" s="21">
        <f t="shared" si="126"/>
        <v>5.2066342501087964E-2</v>
      </c>
      <c r="O729" s="21">
        <f t="shared" si="127"/>
        <v>14.798689515315189</v>
      </c>
      <c r="P729">
        <f t="shared" si="123"/>
        <v>0.50388474242184222</v>
      </c>
      <c r="Q729">
        <f t="shared" si="120"/>
        <v>0.66006184834298254</v>
      </c>
      <c r="R729">
        <f t="shared" si="121"/>
        <v>-11.344856100297356</v>
      </c>
      <c r="T729" s="21">
        <f>(M729-M728)/(H729-H728)</f>
        <v>4.055082346888228E-4</v>
      </c>
      <c r="W729">
        <v>614</v>
      </c>
      <c r="X729">
        <v>14.759788</v>
      </c>
      <c r="Y729">
        <v>1</v>
      </c>
      <c r="Z729">
        <f t="shared" si="118"/>
        <v>1</v>
      </c>
      <c r="AA729" s="21">
        <f>IF(X729&gt;$B$8+$B$9,0,ABS(X729-O729)/X729)</f>
        <v>2.6356418747470367E-3</v>
      </c>
      <c r="AB729">
        <f>IF(OR(Z726&lt;&gt;Z732,X729&gt;$B$8+$B$9),0,((X732-X726)/(W732-W726)-(O732-O726)/(W732-W726))^2)</f>
        <v>1.0585591826743349E-6</v>
      </c>
    </row>
    <row r="730" spans="7:28" x14ac:dyDescent="0.2">
      <c r="G730" s="21"/>
      <c r="H730" s="21">
        <v>615</v>
      </c>
      <c r="I730">
        <f t="shared" si="124"/>
        <v>7.7885012427557025E-3</v>
      </c>
      <c r="J730">
        <f t="shared" si="125"/>
        <v>0.65979418143773905</v>
      </c>
      <c r="K730">
        <f t="shared" si="119"/>
        <v>26.361533184410245</v>
      </c>
      <c r="L730">
        <f>0.5*Z730*K730/J730/$B$7</f>
        <v>19.97708825422389</v>
      </c>
      <c r="M730">
        <f t="shared" si="122"/>
        <v>0.4158273389022924</v>
      </c>
      <c r="N730" s="21">
        <f t="shared" si="126"/>
        <v>5.2087241096645975E-2</v>
      </c>
      <c r="O730" s="21">
        <f t="shared" si="127"/>
        <v>14.806478016557945</v>
      </c>
      <c r="P730">
        <f t="shared" si="123"/>
        <v>0.50428150068197286</v>
      </c>
      <c r="Q730">
        <f t="shared" si="120"/>
        <v>0.65979418143773905</v>
      </c>
      <c r="R730">
        <f t="shared" si="121"/>
        <v>-11.679891037047659</v>
      </c>
      <c r="T730" s="21">
        <f>(M730-M729)/(H730-H729)</f>
        <v>4.0560016073493133E-4</v>
      </c>
      <c r="W730">
        <v>615</v>
      </c>
      <c r="X730">
        <v>14.767900000000001</v>
      </c>
      <c r="Y730">
        <v>1</v>
      </c>
      <c r="Z730">
        <f t="shared" si="118"/>
        <v>1</v>
      </c>
      <c r="AA730" s="21">
        <f>IF(X730&gt;$B$8+$B$9,0,ABS(X730-O730)/X730)</f>
        <v>2.6122885825299253E-3</v>
      </c>
      <c r="AB730">
        <f>IF(OR(Z727&lt;&gt;Z733,X730&gt;$B$8+$B$9),0,((X733-X727)/(W733-W727)-(O733-O727)/(W733-W727))^2)</f>
        <v>7.6083647999880146E-6</v>
      </c>
    </row>
    <row r="731" spans="7:28" x14ac:dyDescent="0.2">
      <c r="G731" s="21"/>
      <c r="H731" s="21">
        <v>616</v>
      </c>
      <c r="I731">
        <f t="shared" si="124"/>
        <v>7.787150490453725E-3</v>
      </c>
      <c r="J731">
        <f t="shared" si="125"/>
        <v>0.65952656215903205</v>
      </c>
      <c r="K731">
        <f t="shared" si="119"/>
        <v>26.353884334882117</v>
      </c>
      <c r="L731">
        <f>0.5*Z731*K731/J731/$B$7</f>
        <v>19.979395711227919</v>
      </c>
      <c r="M731">
        <f t="shared" si="122"/>
        <v>0.41623303142805074</v>
      </c>
      <c r="N731" s="21">
        <f t="shared" si="126"/>
        <v>5.210813131127625E-2</v>
      </c>
      <c r="O731" s="21">
        <f t="shared" si="127"/>
        <v>14.814265167048399</v>
      </c>
      <c r="P731">
        <f t="shared" si="123"/>
        <v>0.50467818834607026</v>
      </c>
      <c r="Q731">
        <f t="shared" si="120"/>
        <v>0.65952656215903205</v>
      </c>
      <c r="R731">
        <f t="shared" si="121"/>
        <v>-12.035251404269239</v>
      </c>
      <c r="T731" s="21">
        <f>(M731-M730)/(H731-H730)</f>
        <v>4.0569252575833881E-4</v>
      </c>
      <c r="W731">
        <v>616</v>
      </c>
      <c r="X731">
        <v>14.772766999999998</v>
      </c>
      <c r="Y731">
        <v>1</v>
      </c>
      <c r="Z731">
        <f t="shared" si="118"/>
        <v>1</v>
      </c>
      <c r="AA731" s="21">
        <f>IF(X731&gt;$B$8+$B$9,0,ABS(X731-O731)/X731)</f>
        <v>2.8090991381912885E-3</v>
      </c>
      <c r="AB731">
        <f>IF(OR(Z728&lt;&gt;Z734,X731&gt;$B$8+$B$9),0,((X734-X728)/(W734-W728)-(O734-O728)/(W734-W728))^2)</f>
        <v>1.0892234357575675E-5</v>
      </c>
    </row>
    <row r="732" spans="7:28" x14ac:dyDescent="0.2">
      <c r="G732" s="21"/>
      <c r="H732" s="21">
        <v>617</v>
      </c>
      <c r="I732">
        <f t="shared" si="124"/>
        <v>7.7858104901863436E-3</v>
      </c>
      <c r="J732">
        <f t="shared" si="125"/>
        <v>0.65925899024766377</v>
      </c>
      <c r="K732">
        <f t="shared" si="119"/>
        <v>26.346248926652226</v>
      </c>
      <c r="L732">
        <f>0.5*Z732*K732/J732/$B$7</f>
        <v>19.981713800182483</v>
      </c>
      <c r="M732">
        <f t="shared" si="122"/>
        <v>0.41663881675766939</v>
      </c>
      <c r="N732" s="21">
        <f t="shared" si="126"/>
        <v>5.2129013184744069E-2</v>
      </c>
      <c r="O732" s="21">
        <f t="shared" si="127"/>
        <v>14.822050977538586</v>
      </c>
      <c r="P732">
        <f t="shared" si="123"/>
        <v>0.50507480579833897</v>
      </c>
      <c r="Q732">
        <f t="shared" si="120"/>
        <v>0.65925899024766377</v>
      </c>
      <c r="R732">
        <f t="shared" si="121"/>
        <v>-12.412845032775195</v>
      </c>
      <c r="T732" s="21">
        <f>(M732-M731)/(H732-H731)</f>
        <v>4.0578532961865754E-4</v>
      </c>
      <c r="W732">
        <v>617</v>
      </c>
      <c r="X732">
        <v>14.776011999999998</v>
      </c>
      <c r="Y732">
        <v>1</v>
      </c>
      <c r="Z732">
        <f t="shared" si="118"/>
        <v>1</v>
      </c>
      <c r="AA732" s="21">
        <f>IF(X732&gt;$B$8+$B$9,0,ABS(X732-O732)/X732)</f>
        <v>3.1157918346701469E-3</v>
      </c>
      <c r="AB732">
        <f>IF(OR(Z729&lt;&gt;Z735,X732&gt;$B$8+$B$9),0,((X735-X729)/(W735-W729)-(O735-O729)/(W735-W729))^2)</f>
        <v>3.5701404108001834E-7</v>
      </c>
    </row>
    <row r="733" spans="7:28" x14ac:dyDescent="0.2">
      <c r="G733" s="21"/>
      <c r="H733" s="21">
        <v>618</v>
      </c>
      <c r="I733">
        <f t="shared" si="124"/>
        <v>7.7844812198396458E-3</v>
      </c>
      <c r="J733">
        <f t="shared" si="125"/>
        <v>0.65899146544497056</v>
      </c>
      <c r="K733">
        <f t="shared" si="119"/>
        <v>26.338626923872184</v>
      </c>
      <c r="L733">
        <f>0.5*Z733*K733/J733/$B$7</f>
        <v>19.984042514183066</v>
      </c>
      <c r="M733">
        <f t="shared" si="122"/>
        <v>0.417044695329849</v>
      </c>
      <c r="N733" s="21">
        <f t="shared" si="126"/>
        <v>5.2149886756728665E-2</v>
      </c>
      <c r="O733" s="21">
        <f t="shared" si="127"/>
        <v>14.829835458758426</v>
      </c>
      <c r="P733">
        <f t="shared" si="123"/>
        <v>0.50547135342219174</v>
      </c>
      <c r="Q733">
        <f t="shared" si="120"/>
        <v>0.65899146544497056</v>
      </c>
      <c r="R733">
        <f t="shared" si="121"/>
        <v>-12.814826234165414</v>
      </c>
      <c r="T733" s="21">
        <f>(M733-M732)/(H733-H732)</f>
        <v>4.0587857217960766E-4</v>
      </c>
      <c r="W733">
        <v>618</v>
      </c>
      <c r="X733">
        <v>14.798727</v>
      </c>
      <c r="Y733">
        <v>1</v>
      </c>
      <c r="Z733">
        <f t="shared" si="118"/>
        <v>1</v>
      </c>
      <c r="AA733" s="21">
        <f>IF(X733&gt;$B$8+$B$9,0,ABS(X733-O733)/X733)</f>
        <v>2.1021036984077411E-3</v>
      </c>
      <c r="AB733">
        <f>IF(OR(Z730&lt;&gt;Z736,X733&gt;$B$8+$B$9),0,((X736-X730)/(W736-W730)-(O736-O730)/(W736-W730))^2)</f>
        <v>2.1670549991912623E-5</v>
      </c>
    </row>
    <row r="734" spans="7:28" x14ac:dyDescent="0.2">
      <c r="G734" s="21"/>
      <c r="H734" s="21">
        <v>619</v>
      </c>
      <c r="I734">
        <f t="shared" si="124"/>
        <v>7.7831626574383552E-3</v>
      </c>
      <c r="J734">
        <f t="shared" si="125"/>
        <v>0.65872398749282013</v>
      </c>
      <c r="K734">
        <f t="shared" si="119"/>
        <v>26.331018290842461</v>
      </c>
      <c r="L734">
        <f>0.5*Z734*K734/J734/$B$7</f>
        <v>19.986381846409884</v>
      </c>
      <c r="M734">
        <f t="shared" si="122"/>
        <v>0.41745066758315719</v>
      </c>
      <c r="N734" s="21">
        <f t="shared" si="126"/>
        <v>5.2170752066823672E-2</v>
      </c>
      <c r="O734" s="21">
        <f t="shared" si="127"/>
        <v>14.837618621415864</v>
      </c>
      <c r="P734">
        <f t="shared" si="123"/>
        <v>0.50586783160025395</v>
      </c>
      <c r="Q734">
        <f t="shared" si="120"/>
        <v>0.65872398749282013</v>
      </c>
      <c r="R734">
        <f t="shared" si="121"/>
        <v>-13.24363693425834</v>
      </c>
      <c r="T734" s="21">
        <f>(M734-M733)/(H734-H733)</f>
        <v>4.0597225330818443E-4</v>
      </c>
      <c r="W734">
        <v>619</v>
      </c>
      <c r="X734">
        <v>14.798727</v>
      </c>
      <c r="Y734">
        <v>1</v>
      </c>
      <c r="Z734">
        <f t="shared" si="118"/>
        <v>1</v>
      </c>
      <c r="AA734" s="21">
        <f>IF(X734&gt;$B$8+$B$9,0,ABS(X734-O734)/X734)</f>
        <v>2.6280383046368861E-3</v>
      </c>
      <c r="AB734">
        <f>IF(OR(Z731&lt;&gt;Z737,X734&gt;$B$8+$B$9),0,((X737-X731)/(W737-W731)-(O737-O731)/(W737-W731))^2)</f>
        <v>4.6509813623504505E-5</v>
      </c>
    </row>
    <row r="735" spans="7:28" x14ac:dyDescent="0.2">
      <c r="G735" s="21"/>
      <c r="H735" s="21">
        <v>620</v>
      </c>
      <c r="I735">
        <f t="shared" si="124"/>
        <v>7.7818547811451767E-3</v>
      </c>
      <c r="J735">
        <f t="shared" si="125"/>
        <v>0.65845655613360798</v>
      </c>
      <c r="K735">
        <f t="shared" si="119"/>
        <v>26.323422992011594</v>
      </c>
      <c r="L735">
        <f>0.5*Z735*K735/J735/$B$7</f>
        <v>19.988731790127613</v>
      </c>
      <c r="M735">
        <f t="shared" si="122"/>
        <v>0.41785673395603362</v>
      </c>
      <c r="N735" s="21">
        <f t="shared" si="126"/>
        <v>5.2191609154537737E-2</v>
      </c>
      <c r="O735" s="21">
        <f t="shared" si="127"/>
        <v>14.845400476197009</v>
      </c>
      <c r="P735">
        <f t="shared" si="123"/>
        <v>0.5062642407143686</v>
      </c>
      <c r="Q735">
        <f t="shared" si="120"/>
        <v>0.65845655613360798</v>
      </c>
      <c r="R735">
        <f t="shared" si="121"/>
        <v>-13.702056328311912</v>
      </c>
      <c r="T735" s="21">
        <f>(M735-M734)/(H735-H734)</f>
        <v>4.0606637287643466E-4</v>
      </c>
      <c r="W735">
        <v>620</v>
      </c>
      <c r="X735">
        <v>14.810084</v>
      </c>
      <c r="Y735">
        <v>1</v>
      </c>
      <c r="Z735">
        <f t="shared" si="118"/>
        <v>1</v>
      </c>
      <c r="AA735" s="21">
        <f>IF(X735&gt;$B$8+$B$9,0,ABS(X735-O735)/X735)</f>
        <v>2.3846236251603191E-3</v>
      </c>
      <c r="AB735">
        <f>IF(OR(Z732&lt;&gt;Z738,X735&gt;$B$8+$B$9),0,((X738-X732)/(W738-W732)-(O738-O732)/(W738-W732))^2)</f>
        <v>0</v>
      </c>
    </row>
    <row r="736" spans="7:28" x14ac:dyDescent="0.2">
      <c r="G736" s="21"/>
      <c r="H736" s="21">
        <v>621</v>
      </c>
      <c r="I736">
        <f t="shared" si="124"/>
        <v>7.7805575692601074E-3</v>
      </c>
      <c r="J736">
        <f t="shared" si="125"/>
        <v>0.65818917111025488</v>
      </c>
      <c r="K736">
        <f t="shared" si="119"/>
        <v>26.315840991975417</v>
      </c>
      <c r="L736">
        <f>0.5*Z736*K736/J736/$B$7</f>
        <v>19.991092338685092</v>
      </c>
      <c r="M736">
        <f t="shared" si="122"/>
        <v>0.41826289488679302</v>
      </c>
      <c r="N736" s="21">
        <f t="shared" si="126"/>
        <v>5.2212458059295072E-2</v>
      </c>
      <c r="O736" s="21">
        <f t="shared" si="127"/>
        <v>14.853181033766269</v>
      </c>
      <c r="P736">
        <f t="shared" si="123"/>
        <v>0.50666058114560009</v>
      </c>
      <c r="Q736">
        <f t="shared" si="120"/>
        <v>0.65818917111025488</v>
      </c>
      <c r="R736">
        <f t="shared" si="121"/>
        <v>-14.193261191440763</v>
      </c>
      <c r="T736" s="21">
        <f>(M736-M735)/(H736-H735)</f>
        <v>4.0616093075940274E-4</v>
      </c>
      <c r="W736">
        <v>621</v>
      </c>
      <c r="X736">
        <v>14.842534000000001</v>
      </c>
      <c r="Y736">
        <v>1</v>
      </c>
      <c r="Z736">
        <f t="shared" si="118"/>
        <v>1</v>
      </c>
      <c r="AA736" s="21">
        <f>IF(X736&gt;$B$8+$B$9,0,ABS(X736-O736)/X736)</f>
        <v>7.1733261761559852E-4</v>
      </c>
      <c r="AB736">
        <f>IF(OR(Z733&lt;&gt;Z739,X736&gt;$B$8+$B$9),0,((X739-X733)/(W739-W733)-(O739-O733)/(W739-W733))^2)</f>
        <v>0</v>
      </c>
    </row>
    <row r="737" spans="7:28" x14ac:dyDescent="0.2">
      <c r="G737" s="21"/>
      <c r="H737" s="21">
        <v>622</v>
      </c>
      <c r="I737">
        <f t="shared" si="124"/>
        <v>7.7792710002196827E-3</v>
      </c>
      <c r="J737">
        <f t="shared" si="125"/>
        <v>0.65792183216620381</v>
      </c>
      <c r="K737">
        <f t="shared" si="119"/>
        <v>26.308272255476322</v>
      </c>
      <c r="L737">
        <f>0.5*Z737*K737/J737/$B$7</f>
        <v>19.993463485515054</v>
      </c>
      <c r="M737">
        <f t="shared" si="122"/>
        <v>0.41866915081362965</v>
      </c>
      <c r="N737" s="21">
        <f t="shared" si="126"/>
        <v>5.2233298820435925E-2</v>
      </c>
      <c r="O737" s="21">
        <f t="shared" si="127"/>
        <v>14.860960304766488</v>
      </c>
      <c r="P737">
        <f t="shared" si="123"/>
        <v>0.50705685327423833</v>
      </c>
      <c r="Q737">
        <f t="shared" si="120"/>
        <v>0.65792183216620381</v>
      </c>
      <c r="R737">
        <f t="shared" si="121"/>
        <v>-14.720899610672843</v>
      </c>
      <c r="T737" s="21">
        <f>(M737-M736)/(H737-H736)</f>
        <v>4.0625592683662948E-4</v>
      </c>
      <c r="W737">
        <v>622</v>
      </c>
      <c r="X737">
        <v>14.860381</v>
      </c>
      <c r="Y737">
        <v>1</v>
      </c>
      <c r="Z737">
        <f t="shared" si="118"/>
        <v>1</v>
      </c>
      <c r="AA737" s="21">
        <f>IF(X737&gt;$B$8+$B$9,0,ABS(X737-O737)/X737)</f>
        <v>3.8983170518152213E-5</v>
      </c>
      <c r="AB737">
        <f>IF(OR(Z734&lt;&gt;Z740,X737&gt;$B$8+$B$9),0,((X740-X734)/(W740-W734)-(O740-O734)/(W740-W734))^2)</f>
        <v>0</v>
      </c>
    </row>
    <row r="738" spans="7:28" x14ac:dyDescent="0.2">
      <c r="G738" s="21"/>
      <c r="H738" s="21">
        <v>623</v>
      </c>
      <c r="I738">
        <f t="shared" si="124"/>
        <v>7.7779950525963719E-3</v>
      </c>
      <c r="J738">
        <f t="shared" si="125"/>
        <v>0.65765453904541704</v>
      </c>
      <c r="K738">
        <f t="shared" si="119"/>
        <v>26.300716747402461</v>
      </c>
      <c r="L738">
        <f>0.5*Z738*K738/J738/$B$7</f>
        <v>29.993767836200728</v>
      </c>
      <c r="M738">
        <f t="shared" si="122"/>
        <v>0.4190755021746207</v>
      </c>
      <c r="N738" s="21">
        <f t="shared" si="126"/>
        <v>5.2254131477217185E-2</v>
      </c>
      <c r="O738" s="21">
        <f t="shared" si="127"/>
        <v>14.868738299819084</v>
      </c>
      <c r="P738">
        <f t="shared" si="123"/>
        <v>0.50745305747980418</v>
      </c>
      <c r="Q738">
        <f t="shared" si="120"/>
        <v>0.65765453904541704</v>
      </c>
      <c r="R738">
        <f t="shared" si="121"/>
        <v>-15.289181757576143</v>
      </c>
      <c r="T738" s="21">
        <f>(M738-M737)/(H738-H737)</f>
        <v>4.0635136099104185E-4</v>
      </c>
      <c r="W738">
        <v>623</v>
      </c>
      <c r="X738">
        <v>14.881473</v>
      </c>
      <c r="Y738">
        <v>1.5</v>
      </c>
      <c r="Z738">
        <f t="shared" si="118"/>
        <v>1.5</v>
      </c>
      <c r="AA738" s="21">
        <f>IF(X738&gt;$B$8+$B$9,0,ABS(X738-O738)/X738)</f>
        <v>8.557419135132616E-4</v>
      </c>
      <c r="AB738">
        <f>IF(OR(Z735&lt;&gt;Z741,X738&gt;$B$8+$B$9),0,((X741-X735)/(W741-W735)-(O741-O735)/(W741-W735))^2)</f>
        <v>0</v>
      </c>
    </row>
    <row r="739" spans="7:28" x14ac:dyDescent="0.2">
      <c r="G739" s="21"/>
      <c r="H739" s="21">
        <v>624</v>
      </c>
      <c r="I739">
        <f t="shared" si="124"/>
        <v>1.7368597858151875E-2</v>
      </c>
      <c r="J739">
        <f t="shared" si="125"/>
        <v>0.65705766968372392</v>
      </c>
      <c r="K739">
        <f t="shared" si="119"/>
        <v>26.283888143551923</v>
      </c>
      <c r="L739">
        <f>0.5*Z739*K739/J739/$B$7</f>
        <v>30.001805042703172</v>
      </c>
      <c r="M739">
        <f t="shared" si="122"/>
        <v>0.41998348705334454</v>
      </c>
      <c r="N739" s="21">
        <f t="shared" si="126"/>
        <v>5.2300634825824949E-2</v>
      </c>
      <c r="O739" s="21">
        <f t="shared" si="127"/>
        <v>14.886106897677235</v>
      </c>
      <c r="P739">
        <f t="shared" si="123"/>
        <v>0.5083377871375675</v>
      </c>
      <c r="Q739">
        <f t="shared" si="120"/>
        <v>0.65705766968372392</v>
      </c>
      <c r="R739">
        <f t="shared" si="121"/>
        <v>-16.731481637479163</v>
      </c>
      <c r="T739" s="21">
        <f>(M739-M738)/(H739-H738)</f>
        <v>9.0798487872384426E-4</v>
      </c>
      <c r="W739">
        <v>624</v>
      </c>
      <c r="X739">
        <v>14.896076000000001</v>
      </c>
      <c r="Y739">
        <v>1.5</v>
      </c>
      <c r="Z739">
        <f t="shared" si="118"/>
        <v>1.5</v>
      </c>
      <c r="AA739" s="21">
        <f>IF(X739&gt;$B$8+$B$9,0,ABS(X739-O739)/X739)</f>
        <v>6.6924351908282862E-4</v>
      </c>
      <c r="AB739">
        <f>IF(OR(Z736&lt;&gt;Z742,X739&gt;$B$8+$B$9),0,((X742-X736)/(W742-W736)-(O742-O736)/(W742-W736))^2)</f>
        <v>0</v>
      </c>
    </row>
    <row r="740" spans="7:28" x14ac:dyDescent="0.2">
      <c r="G740" s="21"/>
      <c r="H740" s="21">
        <v>625</v>
      </c>
      <c r="I740">
        <f t="shared" si="124"/>
        <v>1.7362370801704548E-2</v>
      </c>
      <c r="J740">
        <f t="shared" si="125"/>
        <v>0.65646102592016509</v>
      </c>
      <c r="K740">
        <f t="shared" si="119"/>
        <v>26.267125006979342</v>
      </c>
      <c r="L740">
        <f>0.5*Z740*K740/J740/$B$7</f>
        <v>30.009921346999121</v>
      </c>
      <c r="M740">
        <f t="shared" si="122"/>
        <v>0.42089195345978464</v>
      </c>
      <c r="N740" s="21">
        <f t="shared" si="126"/>
        <v>5.2347098286228584E-2</v>
      </c>
      <c r="O740" s="21">
        <f t="shared" si="127"/>
        <v>14.90346926847894</v>
      </c>
      <c r="P740">
        <f t="shared" si="123"/>
        <v>0.50922218239491934</v>
      </c>
      <c r="Q740">
        <f t="shared" si="120"/>
        <v>0.65646102592016509</v>
      </c>
      <c r="R740">
        <f t="shared" si="121"/>
        <v>-18.473515940244845</v>
      </c>
      <c r="T740" s="21">
        <f>(M740-M739)/(H740-H739)</f>
        <v>9.0846640644010046E-4</v>
      </c>
      <c r="W740">
        <v>625</v>
      </c>
      <c r="X740">
        <v>14.909056</v>
      </c>
      <c r="Y740">
        <v>1.5</v>
      </c>
      <c r="Z740">
        <f t="shared" si="118"/>
        <v>1.5</v>
      </c>
      <c r="AA740" s="21">
        <f>IF(X740&gt;$B$8+$B$9,0,ABS(X740-O740)/X740)</f>
        <v>3.7472067453900624E-4</v>
      </c>
      <c r="AB740">
        <f>IF(OR(Z737&lt;&gt;Z743,X740&gt;$B$8+$B$9),0,((X743-X737)/(W743-W737)-(O743-O737)/(W743-W737))^2)</f>
        <v>0</v>
      </c>
    </row>
    <row r="741" spans="7:28" x14ac:dyDescent="0.2">
      <c r="G741" s="21"/>
      <c r="H741" s="21">
        <v>626</v>
      </c>
      <c r="I741">
        <f t="shared" si="124"/>
        <v>1.7356261113672385E-2</v>
      </c>
      <c r="J741">
        <f t="shared" si="125"/>
        <v>0.65586460492415144</v>
      </c>
      <c r="K741">
        <f t="shared" si="119"/>
        <v>26.250426953701375</v>
      </c>
      <c r="L741">
        <f>0.5*Z741*K741/J741/$B$7</f>
        <v>30.018116647037022</v>
      </c>
      <c r="M741">
        <f t="shared" si="122"/>
        <v>0.42180090627310929</v>
      </c>
      <c r="N741" s="21">
        <f t="shared" si="126"/>
        <v>5.2393522291985788E-2</v>
      </c>
      <c r="O741" s="21">
        <f t="shared" si="127"/>
        <v>14.920825529592612</v>
      </c>
      <c r="P741">
        <f t="shared" si="123"/>
        <v>0.51010624744759558</v>
      </c>
      <c r="Q741">
        <f t="shared" si="120"/>
        <v>0.65586460492415144</v>
      </c>
      <c r="R741">
        <f t="shared" si="121"/>
        <v>-20.619564848945259</v>
      </c>
      <c r="T741" s="21">
        <f>(M741-M740)/(H741-H740)</f>
        <v>9.0895281332464828E-4</v>
      </c>
      <c r="W741">
        <v>626</v>
      </c>
      <c r="X741">
        <v>14.918789999999998</v>
      </c>
      <c r="Y741">
        <v>1.5</v>
      </c>
      <c r="Z741">
        <f t="shared" si="118"/>
        <v>1.5</v>
      </c>
      <c r="AA741" s="21">
        <f>IF(X741&gt;$B$8+$B$9,0,ABS(X741-O741)/X741)</f>
        <v>1.3644066258821513E-4</v>
      </c>
      <c r="AB741">
        <f>IF(OR(Z738&lt;&gt;Z744,X741&gt;$B$8+$B$9),0,((X744-X738)/(W744-W738)-(O744-O738)/(W744-W738))^2)</f>
        <v>6.1533110344722167E-6</v>
      </c>
    </row>
    <row r="742" spans="7:28" x14ac:dyDescent="0.2">
      <c r="G742" s="21"/>
      <c r="H742" s="21">
        <v>627</v>
      </c>
      <c r="I742">
        <f t="shared" si="124"/>
        <v>1.7350268279518098E-2</v>
      </c>
      <c r="J742">
        <f t="shared" si="125"/>
        <v>0.65526840387763063</v>
      </c>
      <c r="K742">
        <f t="shared" si="119"/>
        <v>26.233793603250543</v>
      </c>
      <c r="L742">
        <f>0.5*Z742*K742/J742/$B$7</f>
        <v>30.026390843823162</v>
      </c>
      <c r="M742">
        <f t="shared" si="122"/>
        <v>0.4227103503701018</v>
      </c>
      <c r="N742" s="21">
        <f t="shared" si="126"/>
        <v>5.243990727465557E-2</v>
      </c>
      <c r="O742" s="21">
        <f t="shared" si="127"/>
        <v>14.93817579787213</v>
      </c>
      <c r="P742">
        <f t="shared" si="123"/>
        <v>0.51098998647274896</v>
      </c>
      <c r="Q742">
        <f t="shared" si="120"/>
        <v>0.65526840387763063</v>
      </c>
      <c r="R742">
        <f t="shared" si="121"/>
        <v>-23.328627540791949</v>
      </c>
      <c r="T742" s="21">
        <f>(M742-M741)/(H742-H741)</f>
        <v>9.0944409699250661E-4</v>
      </c>
      <c r="W742">
        <v>627</v>
      </c>
      <c r="X742">
        <v>14.936637999999999</v>
      </c>
      <c r="Y742">
        <v>1.5</v>
      </c>
      <c r="Z742">
        <f t="shared" si="118"/>
        <v>1.5</v>
      </c>
      <c r="AA742" s="21">
        <f>IF(X742&gt;$B$8+$B$9,0,ABS(X742-O742)/X742)</f>
        <v>1.0295475274501656E-4</v>
      </c>
      <c r="AB742">
        <f>IF(OR(Z739&lt;&gt;Z745,X742&gt;$B$8+$B$9),0,((X745-X739)/(W745-W739)-(O745-O739)/(W745-W739))^2)</f>
        <v>3.3870634656344475E-7</v>
      </c>
    </row>
    <row r="743" spans="7:28" x14ac:dyDescent="0.2">
      <c r="G743" s="21"/>
      <c r="H743" s="21">
        <v>628</v>
      </c>
      <c r="I743">
        <f t="shared" si="124"/>
        <v>1.7344391791991692E-2</v>
      </c>
      <c r="J743">
        <f t="shared" si="125"/>
        <v>0.65467241997492831</v>
      </c>
      <c r="K743">
        <f t="shared" si="119"/>
        <v>26.217224578634934</v>
      </c>
      <c r="L743">
        <f>0.5*Z743*K743/J743/$B$7</f>
        <v>30.034743841399678</v>
      </c>
      <c r="M743">
        <f t="shared" si="122"/>
        <v>0.42362029062537526</v>
      </c>
      <c r="N743" s="21">
        <f t="shared" si="126"/>
        <v>5.2486253663827413E-2</v>
      </c>
      <c r="O743" s="21">
        <f t="shared" si="127"/>
        <v>14.955520189664123</v>
      </c>
      <c r="P743">
        <f t="shared" si="123"/>
        <v>0.51187340362918432</v>
      </c>
      <c r="Q743">
        <f t="shared" si="120"/>
        <v>0.65467241997492831</v>
      </c>
      <c r="R743">
        <f t="shared" si="121"/>
        <v>-26.855732258978314</v>
      </c>
      <c r="T743" s="21">
        <f>(M743-M742)/(H743-H742)</f>
        <v>9.09940255273467E-4</v>
      </c>
      <c r="W743">
        <v>628</v>
      </c>
      <c r="X743">
        <v>14.952863000000001</v>
      </c>
      <c r="Y743">
        <v>1.5</v>
      </c>
      <c r="Z743">
        <f t="shared" si="118"/>
        <v>1.5</v>
      </c>
      <c r="AA743" s="21">
        <f>IF(X743&gt;$B$8+$B$9,0,ABS(X743-O743)/X743)</f>
        <v>1.7770440778611246E-4</v>
      </c>
      <c r="AB743">
        <f>IF(OR(Z740&lt;&gt;Z746,X743&gt;$B$8+$B$9),0,((X746-X740)/(W746-W740)-(O746-O740)/(W746-W740))^2)</f>
        <v>1.7340528175626568E-6</v>
      </c>
    </row>
    <row r="744" spans="7:28" x14ac:dyDescent="0.2">
      <c r="G744" s="21"/>
      <c r="H744" s="21">
        <v>629</v>
      </c>
      <c r="I744">
        <f t="shared" si="124"/>
        <v>1.7338631151050617E-2</v>
      </c>
      <c r="J744">
        <f t="shared" si="125"/>
        <v>0.65407665042259255</v>
      </c>
      <c r="K744">
        <f t="shared" si="119"/>
        <v>26.200719506298515</v>
      </c>
      <c r="L744">
        <f>0.5*Z744*K744/J744/$B$7</f>
        <v>30.043175546822937</v>
      </c>
      <c r="M744">
        <f t="shared" si="122"/>
        <v>0.42453073191158414</v>
      </c>
      <c r="N744" s="21">
        <f t="shared" si="126"/>
        <v>5.2532561887149928E-2</v>
      </c>
      <c r="O744" s="21">
        <f t="shared" si="127"/>
        <v>14.972858820815173</v>
      </c>
      <c r="P744">
        <f t="shared" si="123"/>
        <v>0.51275650305758969</v>
      </c>
      <c r="Q744">
        <f t="shared" si="120"/>
        <v>0.65407665042259255</v>
      </c>
      <c r="R744">
        <f t="shared" si="121"/>
        <v>-31.63732644422295</v>
      </c>
      <c r="T744" s="21">
        <f>(M744-M743)/(H744-H743)</f>
        <v>9.1044128620887399E-4</v>
      </c>
      <c r="W744">
        <v>629</v>
      </c>
      <c r="X744">
        <v>14.97071</v>
      </c>
      <c r="Y744">
        <v>1.5</v>
      </c>
      <c r="Z744">
        <f t="shared" si="118"/>
        <v>1.5</v>
      </c>
      <c r="AA744" s="21">
        <f>IF(X744&gt;$B$8+$B$9,0,ABS(X744-O744)/X744)</f>
        <v>1.435349970156602E-4</v>
      </c>
      <c r="AB744">
        <f>IF(OR(Z741&lt;&gt;Z747,X744&gt;$B$8+$B$9),0,((X747-X741)/(W747-W741)-(O747-O741)/(W747-W741))^2)</f>
        <v>5.8099321907153158E-8</v>
      </c>
    </row>
    <row r="745" spans="7:28" x14ac:dyDescent="0.2">
      <c r="G745" s="21"/>
      <c r="H745" s="21">
        <v>630</v>
      </c>
      <c r="I745">
        <f t="shared" si="124"/>
        <v>1.7332985863781472E-2</v>
      </c>
      <c r="J745">
        <f t="shared" si="125"/>
        <v>0.65348109243923735</v>
      </c>
      <c r="K745">
        <f t="shared" si="119"/>
        <v>26.184278016081951</v>
      </c>
      <c r="L745">
        <f>0.5*Z745*K745/J745/$B$7</f>
        <v>30.051685870142425</v>
      </c>
      <c r="M745">
        <f t="shared" si="122"/>
        <v>0.42544167909963837</v>
      </c>
      <c r="N745" s="21">
        <f t="shared" si="126"/>
        <v>5.2578832370359409E-2</v>
      </c>
      <c r="O745" s="21">
        <f t="shared" si="127"/>
        <v>14.990191806678954</v>
      </c>
      <c r="P745">
        <f t="shared" si="123"/>
        <v>0.51363928888076771</v>
      </c>
      <c r="Q745">
        <f t="shared" si="120"/>
        <v>0.65348109243923735</v>
      </c>
      <c r="R745">
        <f t="shared" si="121"/>
        <v>-38.487492126060538</v>
      </c>
      <c r="T745" s="21">
        <f>(M745-M744)/(H745-H744)</f>
        <v>9.1094718805423414E-4</v>
      </c>
      <c r="W745">
        <v>630</v>
      </c>
      <c r="X745">
        <v>14.996669000000001</v>
      </c>
      <c r="Y745">
        <v>1.5</v>
      </c>
      <c r="Z745">
        <f t="shared" si="118"/>
        <v>1.5</v>
      </c>
      <c r="AA745" s="21">
        <f>IF(X745&gt;$B$8+$B$9,0,ABS(X745-O745)/X745)</f>
        <v>4.3190880061742847E-4</v>
      </c>
      <c r="AB745">
        <f>IF(OR(Z742&lt;&gt;Z748,X745&gt;$B$8+$B$9),0,((X748-X742)/(W748-W742)-(O748-O742)/(W748-W742))^2)</f>
        <v>7.1830780871536117E-6</v>
      </c>
    </row>
    <row r="746" spans="7:28" x14ac:dyDescent="0.2">
      <c r="G746" s="21"/>
      <c r="H746" s="21">
        <v>631</v>
      </c>
      <c r="I746">
        <f t="shared" si="124"/>
        <v>1.7327455444322782E-2</v>
      </c>
      <c r="J746">
        <f t="shared" si="125"/>
        <v>0.65288574325539095</v>
      </c>
      <c r="K746">
        <f t="shared" si="119"/>
        <v>26.167899741184076</v>
      </c>
      <c r="L746">
        <f>0.5*Z746*K746/J746/$B$7</f>
        <v>30.060274724379969</v>
      </c>
      <c r="M746">
        <f t="shared" si="122"/>
        <v>0.42635313705891159</v>
      </c>
      <c r="N746" s="21">
        <f t="shared" si="126"/>
        <v>5.2625065537307898E-2</v>
      </c>
      <c r="O746" s="21">
        <f t="shared" si="127"/>
        <v>15.007519262123276</v>
      </c>
      <c r="P746">
        <f t="shared" si="123"/>
        <v>0.51452176520386117</v>
      </c>
      <c r="Q746">
        <f t="shared" si="120"/>
        <v>0.65288574325539095</v>
      </c>
      <c r="R746">
        <f t="shared" si="121"/>
        <v>-49.119114449460696</v>
      </c>
      <c r="T746" s="21">
        <f>(M746-M745)/(H746-H745)</f>
        <v>9.1145795927322082E-4</v>
      </c>
      <c r="W746">
        <v>631</v>
      </c>
      <c r="X746">
        <v>15.021007000000001</v>
      </c>
      <c r="Y746">
        <v>1.5</v>
      </c>
      <c r="Z746">
        <f t="shared" si="118"/>
        <v>1.5</v>
      </c>
      <c r="AA746" s="21">
        <f>IF(X746&gt;$B$8+$B$9,0,ABS(X746-O746)/X746)</f>
        <v>8.9792501106780893E-4</v>
      </c>
      <c r="AB746">
        <f>IF(OR(Z743&lt;&gt;Z749,X746&gt;$B$8+$B$9),0,((X749-X743)/(W749-W743)-(O749-O743)/(W749-W743))^2)</f>
        <v>1.1301823855195261E-6</v>
      </c>
    </row>
    <row r="747" spans="7:28" x14ac:dyDescent="0.2">
      <c r="G747" s="21"/>
      <c r="H747" s="21">
        <v>632</v>
      </c>
      <c r="I747">
        <f t="shared" si="124"/>
        <v>1.732203941378934E-2</v>
      </c>
      <c r="J747">
        <f t="shared" si="125"/>
        <v>0.65229060011334261</v>
      </c>
      <c r="K747">
        <f t="shared" si="119"/>
        <v>26.15158431812382</v>
      </c>
      <c r="L747">
        <f>0.5*Z747*K747/J747/$B$7</f>
        <v>30.068942025509447</v>
      </c>
      <c r="M747">
        <f t="shared" si="122"/>
        <v>0.42726511065745293</v>
      </c>
      <c r="N747" s="21">
        <f t="shared" si="126"/>
        <v>5.2671261809991127E-2</v>
      </c>
      <c r="O747" s="21">
        <f t="shared" si="127"/>
        <v>15.024841301537066</v>
      </c>
      <c r="P747">
        <f t="shared" si="123"/>
        <v>0.51540393611457946</v>
      </c>
      <c r="Q747">
        <f t="shared" si="120"/>
        <v>0.65229060011334261</v>
      </c>
      <c r="R747">
        <f t="shared" si="121"/>
        <v>-67.857218842669624</v>
      </c>
      <c r="T747" s="21">
        <f>(M747-M746)/(H747-H746)</f>
        <v>9.1197359854133797E-4</v>
      </c>
      <c r="W747">
        <v>632</v>
      </c>
      <c r="X747">
        <v>15.024252000000001</v>
      </c>
      <c r="Y747">
        <v>1.5</v>
      </c>
      <c r="Z747">
        <f t="shared" si="118"/>
        <v>1.5</v>
      </c>
      <c r="AA747" s="21">
        <f>IF(X747&gt;$B$8+$B$9,0,ABS(X747-O747)/X747)</f>
        <v>3.9223352820843769E-5</v>
      </c>
      <c r="AB747">
        <f>IF(OR(Z744&lt;&gt;Z750,X747&gt;$B$8+$B$9),0,((X750-X744)/(W750-W744)-(O750-O744)/(W750-W744))^2)</f>
        <v>3.5336232075955179E-6</v>
      </c>
    </row>
    <row r="748" spans="7:28" x14ac:dyDescent="0.2">
      <c r="G748" s="21"/>
      <c r="H748" s="21">
        <v>633</v>
      </c>
      <c r="I748">
        <f t="shared" si="124"/>
        <v>1.7316737300197674E-2</v>
      </c>
      <c r="J748">
        <f t="shared" si="125"/>
        <v>0.65169566026699322</v>
      </c>
      <c r="K748">
        <f t="shared" si="119"/>
        <v>26.135331386702742</v>
      </c>
      <c r="L748">
        <f>0.5*Z748*K748/J748/$B$7</f>
        <v>30.077687692436861</v>
      </c>
      <c r="M748">
        <f t="shared" si="122"/>
        <v>0.42817760476219457</v>
      </c>
      <c r="N748" s="21">
        <f t="shared" si="126"/>
        <v>5.2717421608576065E-2</v>
      </c>
      <c r="O748" s="21">
        <f t="shared" si="127"/>
        <v>15.042158038837263</v>
      </c>
      <c r="P748">
        <f t="shared" si="123"/>
        <v>0.51628580568342008</v>
      </c>
      <c r="Q748">
        <f t="shared" si="120"/>
        <v>0.65169566026699322</v>
      </c>
      <c r="R748">
        <f t="shared" si="121"/>
        <v>-109.68642630683259</v>
      </c>
      <c r="T748" s="21">
        <f>(M748-M747)/(H748-H747)</f>
        <v>9.1249410474164572E-4</v>
      </c>
      <c r="W748">
        <v>633</v>
      </c>
      <c r="X748">
        <v>15.056701</v>
      </c>
      <c r="Y748">
        <v>1.5</v>
      </c>
      <c r="Z748">
        <f t="shared" si="118"/>
        <v>1.5</v>
      </c>
      <c r="AA748" s="21">
        <f>IF(X748&gt;$B$8+$B$9,0,ABS(X748-O748)/X748)</f>
        <v>9.6587965469577004E-4</v>
      </c>
      <c r="AB748">
        <f>IF(OR(Z745&lt;&gt;Z751,X748&gt;$B$8+$B$9),0,((X751-X745)/(W751-W745)-(O751-O745)/(W751-W745))^2)</f>
        <v>3.0099187954379821E-7</v>
      </c>
    </row>
    <row r="749" spans="7:28" x14ac:dyDescent="0.2">
      <c r="G749" s="21"/>
      <c r="H749" s="21">
        <v>634</v>
      </c>
      <c r="I749">
        <f t="shared" si="124"/>
        <v>1.7311548638392852E-2</v>
      </c>
      <c r="J749">
        <f t="shared" si="125"/>
        <v>0.65110092098170647</v>
      </c>
      <c r="K749">
        <f t="shared" si="119"/>
        <v>26.119140589968072</v>
      </c>
      <c r="L749">
        <f>0.5*Z749*K749/J749/$B$7</f>
        <v>30.086511646980828</v>
      </c>
      <c r="M749">
        <f t="shared" si="122"/>
        <v>0.42909062423915922</v>
      </c>
      <c r="N749" s="21">
        <f t="shared" si="126"/>
        <v>5.276354535142825E-2</v>
      </c>
      <c r="O749" s="21">
        <f t="shared" si="127"/>
        <v>15.059469587475656</v>
      </c>
      <c r="P749">
        <f t="shared" si="123"/>
        <v>0.51716737796388956</v>
      </c>
      <c r="Q749">
        <f t="shared" si="120"/>
        <v>0.65110092098170647</v>
      </c>
      <c r="R749">
        <f t="shared" si="121"/>
        <v>-285.80691517169566</v>
      </c>
      <c r="T749" s="21">
        <f>(M749-M748)/(H749-H748)</f>
        <v>9.1301947696464936E-4</v>
      </c>
      <c r="W749">
        <v>634</v>
      </c>
      <c r="X749">
        <v>15.063191</v>
      </c>
      <c r="Y749">
        <v>1.5</v>
      </c>
      <c r="Z749">
        <f t="shared" si="118"/>
        <v>1.5</v>
      </c>
      <c r="AA749" s="21">
        <f>IF(X749&gt;$B$8+$B$9,0,ABS(X749-O749)/X749)</f>
        <v>2.4705339820388014E-4</v>
      </c>
      <c r="AB749">
        <f>IF(OR(Z746&lt;&gt;Z752,X749&gt;$B$8+$B$9),0,((X752-X746)/(W752-W746)-(O752-O746)/(W752-W746))^2)</f>
        <v>7.4617021032623245E-8</v>
      </c>
    </row>
    <row r="750" spans="7:28" x14ac:dyDescent="0.2">
      <c r="G750" s="21"/>
      <c r="H750" s="21">
        <v>635</v>
      </c>
      <c r="I750">
        <f t="shared" si="124"/>
        <v>1.7306472969976571E-2</v>
      </c>
      <c r="J750">
        <f t="shared" si="125"/>
        <v>0.65050637953416235</v>
      </c>
      <c r="K750">
        <f t="shared" si="119"/>
        <v>26.103011574176293</v>
      </c>
      <c r="L750">
        <f>0.5*Z750*K750/J750/$B$7</f>
        <v>30.09541381385344</v>
      </c>
      <c r="M750">
        <f t="shared" si="122"/>
        <v>0.43000417395366608</v>
      </c>
      <c r="N750" s="21">
        <f t="shared" si="126"/>
        <v>5.2809633455138755E-2</v>
      </c>
      <c r="O750" s="21">
        <f t="shared" si="127"/>
        <v>15.076776060445633</v>
      </c>
      <c r="P750">
        <f t="shared" si="123"/>
        <v>0.51804865699272062</v>
      </c>
      <c r="Q750">
        <f t="shared" si="120"/>
        <v>0.65050637953416235</v>
      </c>
      <c r="R750">
        <f t="shared" si="121"/>
        <v>472.3000221258668</v>
      </c>
      <c r="T750" s="21">
        <f>(M750-M749)/(H750-H749)</f>
        <v>9.1354971450685607E-4</v>
      </c>
      <c r="W750">
        <v>635</v>
      </c>
      <c r="X750">
        <v>15.085905999999998</v>
      </c>
      <c r="Y750">
        <v>1.5</v>
      </c>
      <c r="Z750">
        <f t="shared" si="118"/>
        <v>1.5</v>
      </c>
      <c r="AA750" s="21">
        <f>IF(X750&gt;$B$8+$B$9,0,ABS(X750-O750)/X750)</f>
        <v>6.0519663547981125E-4</v>
      </c>
      <c r="AB750">
        <f>IF(OR(Z747&lt;&gt;Z753,X750&gt;$B$8+$B$9),0,((X753-X747)/(W753-W747)-(O753-O747)/(W753-W747))^2)</f>
        <v>2.9487669259513061E-7</v>
      </c>
    </row>
    <row r="751" spans="7:28" x14ac:dyDescent="0.2">
      <c r="G751" s="21"/>
      <c r="H751" s="21">
        <v>636</v>
      </c>
      <c r="I751">
        <f t="shared" si="124"/>
        <v>1.7301509843236366E-2</v>
      </c>
      <c r="J751">
        <f t="shared" si="125"/>
        <v>0.64991203321221058</v>
      </c>
      <c r="K751">
        <f t="shared" si="119"/>
        <v>26.086943988757202</v>
      </c>
      <c r="L751">
        <f>0.5*Z751*K751/J751/$B$7</f>
        <v>30.104394120641604</v>
      </c>
      <c r="M751">
        <f t="shared" si="122"/>
        <v>0.43091825877053735</v>
      </c>
      <c r="N751" s="21">
        <f t="shared" si="126"/>
        <v>5.2855686334551039E-2</v>
      </c>
      <c r="O751" s="21">
        <f t="shared" si="127"/>
        <v>15.094077570288869</v>
      </c>
      <c r="P751">
        <f t="shared" si="123"/>
        <v>0.51892964679008868</v>
      </c>
      <c r="Q751">
        <f t="shared" si="120"/>
        <v>0.64991203321221058</v>
      </c>
      <c r="R751">
        <f t="shared" si="121"/>
        <v>129.33901824483783</v>
      </c>
      <c r="T751" s="21">
        <f>(M751-M750)/(H751-H750)</f>
        <v>9.1408481687127452E-4</v>
      </c>
      <c r="W751">
        <v>636</v>
      </c>
      <c r="X751">
        <v>15.097262999999998</v>
      </c>
      <c r="Y751">
        <v>1.5</v>
      </c>
      <c r="Z751">
        <f t="shared" si="118"/>
        <v>1.5</v>
      </c>
      <c r="AA751" s="21">
        <f>IF(X751&gt;$B$8+$B$9,0,ABS(X751-O751)/X751)</f>
        <v>2.1099385439129714E-4</v>
      </c>
      <c r="AB751">
        <f>IF(OR(Z748&lt;&gt;Z754,X751&gt;$B$8+$B$9),0,((X754-X748)/(W754-W748)-(O754-O748)/(W754-W748))^2)</f>
        <v>5.888226596969287E-6</v>
      </c>
    </row>
    <row r="752" spans="7:28" x14ac:dyDescent="0.2">
      <c r="G752" s="21"/>
      <c r="H752" s="21">
        <v>637</v>
      </c>
      <c r="I752">
        <f t="shared" si="124"/>
        <v>1.729665881307613E-2</v>
      </c>
      <c r="J752">
        <f t="shared" si="125"/>
        <v>0.64931787931472806</v>
      </c>
      <c r="K752">
        <f t="shared" si="119"/>
        <v>26.070937486278538</v>
      </c>
      <c r="L752">
        <f>0.5*Z752*K752/J752/$B$7</f>
        <v>30.113452497788614</v>
      </c>
      <c r="M752">
        <f t="shared" si="122"/>
        <v>0.43183288355430072</v>
      </c>
      <c r="N752" s="21">
        <f t="shared" si="126"/>
        <v>5.290170440278729E-2</v>
      </c>
      <c r="O752" s="21">
        <f t="shared" si="127"/>
        <v>15.111374229101946</v>
      </c>
      <c r="P752">
        <f t="shared" si="123"/>
        <v>0.51981035135982467</v>
      </c>
      <c r="Q752">
        <f t="shared" si="120"/>
        <v>0.64931787931472806</v>
      </c>
      <c r="R752">
        <f t="shared" si="121"/>
        <v>74.939363257419473</v>
      </c>
      <c r="T752" s="21">
        <f>(M752-M751)/(H752-H751)</f>
        <v>9.1462478376336254E-4</v>
      </c>
      <c r="W752">
        <v>637</v>
      </c>
      <c r="X752">
        <v>15.123222999999999</v>
      </c>
      <c r="Y752">
        <v>1.5</v>
      </c>
      <c r="Z752">
        <f t="shared" si="118"/>
        <v>1.5</v>
      </c>
      <c r="AA752" s="21">
        <f>IF(X752&gt;$B$8+$B$9,0,ABS(X752-O752)/X752)</f>
        <v>7.8348186084761654E-4</v>
      </c>
      <c r="AB752">
        <f>IF(OR(Z749&lt;&gt;Z755,X752&gt;$B$8+$B$9),0,((X755-X749)/(W755-W749)-(O755-O749)/(W755-W749))^2)</f>
        <v>7.9747283281135741E-8</v>
      </c>
    </row>
    <row r="753" spans="7:28" x14ac:dyDescent="0.2">
      <c r="G753" s="21"/>
      <c r="H753" s="21">
        <v>638</v>
      </c>
      <c r="I753">
        <f t="shared" si="124"/>
        <v>1.7291919440947847E-2</v>
      </c>
      <c r="J753">
        <f t="shared" si="125"/>
        <v>0.64872391515147487</v>
      </c>
      <c r="K753">
        <f t="shared" si="119"/>
        <v>26.054991722411035</v>
      </c>
      <c r="L753">
        <f>0.5*Z753*K753/J753/$B$7</f>
        <v>30.122588878576277</v>
      </c>
      <c r="M753">
        <f t="shared" si="122"/>
        <v>0.43274805316939458</v>
      </c>
      <c r="N753" s="21">
        <f t="shared" si="126"/>
        <v>5.2947688071274868E-2</v>
      </c>
      <c r="O753" s="21">
        <f t="shared" si="127"/>
        <v>15.128666148542894</v>
      </c>
      <c r="P753">
        <f t="shared" si="123"/>
        <v>0.52069077468962677</v>
      </c>
      <c r="Q753">
        <f t="shared" si="120"/>
        <v>0.64872391515147487</v>
      </c>
      <c r="R753">
        <f t="shared" si="121"/>
        <v>52.756994382015989</v>
      </c>
      <c r="T753" s="21">
        <f>(M753-M752)/(H753-H752)</f>
        <v>9.1516961509385819E-4</v>
      </c>
      <c r="W753">
        <v>638</v>
      </c>
      <c r="X753">
        <v>15.131335</v>
      </c>
      <c r="Y753">
        <v>1.5</v>
      </c>
      <c r="Z753">
        <f t="shared" si="118"/>
        <v>1.5</v>
      </c>
      <c r="AA753" s="21">
        <f>IF(X753&gt;$B$8+$B$9,0,ABS(X753-O753)/X753)</f>
        <v>1.76379113746778E-4</v>
      </c>
      <c r="AB753">
        <f>IF(OR(Z750&lt;&gt;Z756,X753&gt;$B$8+$B$9),0,((X756-X750)/(W756-W750)-(O756-O750)/(W756-W750))^2)</f>
        <v>5.8423082160826714E-6</v>
      </c>
    </row>
    <row r="754" spans="7:28" x14ac:dyDescent="0.2">
      <c r="G754" s="21"/>
      <c r="H754" s="21">
        <v>639</v>
      </c>
      <c r="I754">
        <f t="shared" si="124"/>
        <v>1.7287291294784308E-2</v>
      </c>
      <c r="J754">
        <f t="shared" si="125"/>
        <v>0.64813013804295427</v>
      </c>
      <c r="K754">
        <f t="shared" si="119"/>
        <v>26.039106355894031</v>
      </c>
      <c r="L754">
        <f>0.5*Z754*K754/J754/$B$7</f>
        <v>30.131803199107264</v>
      </c>
      <c r="M754">
        <f t="shared" si="122"/>
        <v>0.43366377248036908</v>
      </c>
      <c r="N754" s="21">
        <f t="shared" si="126"/>
        <v>5.2993637749772053E-2</v>
      </c>
      <c r="O754" s="21">
        <f t="shared" si="127"/>
        <v>15.145953439837678</v>
      </c>
      <c r="P754">
        <f t="shared" si="123"/>
        <v>0.52157092075126898</v>
      </c>
      <c r="Q754">
        <f t="shared" si="120"/>
        <v>0.64813013804295427</v>
      </c>
      <c r="R754">
        <f t="shared" si="121"/>
        <v>40.710352606666945</v>
      </c>
      <c r="T754" s="21">
        <f>(M754-M753)/(H754-H753)</f>
        <v>9.1571931097450543E-4</v>
      </c>
      <c r="W754">
        <v>639</v>
      </c>
      <c r="X754">
        <v>15.145937</v>
      </c>
      <c r="Y754">
        <v>1.5</v>
      </c>
      <c r="Z754">
        <f t="shared" si="118"/>
        <v>1.5</v>
      </c>
      <c r="AA754" s="21">
        <f>IF(X754&gt;$B$8+$B$9,0,ABS(X754-O754)/X754)</f>
        <v>1.0854288960696676E-6</v>
      </c>
      <c r="AB754">
        <f>IF(OR(Z751&lt;&gt;Z757,X754&gt;$B$8+$B$9),0,((X757-X751)/(W757-W751)-(O757-O751)/(W757-W751))^2)</f>
        <v>6.2412119037006868E-7</v>
      </c>
    </row>
    <row r="755" spans="7:28" x14ac:dyDescent="0.2">
      <c r="G755" s="21"/>
      <c r="H755" s="21">
        <v>640</v>
      </c>
      <c r="I755">
        <f t="shared" si="124"/>
        <v>1.7282773948933183E-2</v>
      </c>
      <c r="J755">
        <f t="shared" si="125"/>
        <v>0.64753654532027249</v>
      </c>
      <c r="K755">
        <f t="shared" si="119"/>
        <v>26.02328104850152</v>
      </c>
      <c r="L755">
        <f>0.5*Z755*K755/J755/$B$7</f>
        <v>30.141095398287948</v>
      </c>
      <c r="M755">
        <f t="shared" si="122"/>
        <v>0.43458004635208825</v>
      </c>
      <c r="N755" s="21">
        <f t="shared" si="126"/>
        <v>5.303955384639391E-2</v>
      </c>
      <c r="O755" s="21">
        <f t="shared" si="127"/>
        <v>15.163236213786611</v>
      </c>
      <c r="P755">
        <f t="shared" si="123"/>
        <v>0.52245079350080903</v>
      </c>
      <c r="Q755">
        <f t="shared" si="120"/>
        <v>0.64753654532027249</v>
      </c>
      <c r="R755">
        <f t="shared" si="121"/>
        <v>33.144433853162802</v>
      </c>
      <c r="T755" s="21">
        <f>(M755-M754)/(H755-H754)</f>
        <v>9.162738717191643E-4</v>
      </c>
      <c r="W755">
        <v>640</v>
      </c>
      <c r="X755">
        <v>15.168651999999998</v>
      </c>
      <c r="Y755">
        <v>1.5</v>
      </c>
      <c r="Z755">
        <f t="shared" si="118"/>
        <v>1.5</v>
      </c>
      <c r="AA755" s="21">
        <f>IF(X755&gt;$B$8+$B$9,0,ABS(X755-O755)/X755)</f>
        <v>3.5703806860273472E-4</v>
      </c>
      <c r="AB755">
        <f>IF(OR(Z752&lt;&gt;Z758,X755&gt;$B$8+$B$9),0,((X758-X752)/(W758-W752)-(O758-O752)/(W758-W752))^2)</f>
        <v>1.7592946072425191E-6</v>
      </c>
    </row>
    <row r="756" spans="7:28" x14ac:dyDescent="0.2">
      <c r="G756" s="21"/>
      <c r="H756" s="21">
        <v>641</v>
      </c>
      <c r="I756">
        <f t="shared" si="124"/>
        <v>1.7278366984092127E-2</v>
      </c>
      <c r="J756">
        <f t="shared" si="125"/>
        <v>0.6469431343250005</v>
      </c>
      <c r="K756">
        <f t="shared" si="119"/>
        <v>26.007515465008684</v>
      </c>
      <c r="L756">
        <f>0.5*Z756*K756/J756/$B$7</f>
        <v>30.15046541781151</v>
      </c>
      <c r="M756">
        <f t="shared" si="122"/>
        <v>0.43549687964993072</v>
      </c>
      <c r="N756" s="21">
        <f t="shared" si="126"/>
        <v>5.3085436767637731E-2</v>
      </c>
      <c r="O756" s="21">
        <f t="shared" si="127"/>
        <v>15.180514580770703</v>
      </c>
      <c r="P756">
        <f t="shared" si="123"/>
        <v>0.52333039687879246</v>
      </c>
      <c r="Q756">
        <f t="shared" si="120"/>
        <v>0.6469431343250005</v>
      </c>
      <c r="R756">
        <f t="shared" si="121"/>
        <v>27.951337056185103</v>
      </c>
      <c r="T756" s="21">
        <f>(M756-M755)/(H756-H755)</f>
        <v>9.1683329784247869E-4</v>
      </c>
      <c r="W756">
        <v>641</v>
      </c>
      <c r="X756">
        <v>15.175142000000001</v>
      </c>
      <c r="Y756">
        <v>1.5</v>
      </c>
      <c r="Z756">
        <f t="shared" si="118"/>
        <v>1.5</v>
      </c>
      <c r="AA756" s="21">
        <f>IF(X756&gt;$B$8+$B$9,0,ABS(X756-O756)/X756)</f>
        <v>3.5403825352686182E-4</v>
      </c>
      <c r="AB756">
        <f>IF(OR(Z753&lt;&gt;Z759,X756&gt;$B$8+$B$9),0,((X759-X753)/(W759-W753)-(O759-O753)/(W759-W753))^2)</f>
        <v>5.7775256562882055E-8</v>
      </c>
    </row>
    <row r="757" spans="7:28" x14ac:dyDescent="0.2">
      <c r="G757" s="21"/>
      <c r="H757" s="21">
        <v>642</v>
      </c>
      <c r="I757">
        <f t="shared" si="124"/>
        <v>1.727406998724498E-2</v>
      </c>
      <c r="J757">
        <f t="shared" si="125"/>
        <v>0.64634990240903711</v>
      </c>
      <c r="K757">
        <f t="shared" si="119"/>
        <v>25.991809273158914</v>
      </c>
      <c r="L757">
        <f>0.5*Z757*K757/J757/$B$7</f>
        <v>30.1599132021415</v>
      </c>
      <c r="M757">
        <f t="shared" si="122"/>
        <v>0.43641427723998921</v>
      </c>
      <c r="N757" s="21">
        <f t="shared" si="126"/>
        <v>5.3131286918408301E-2</v>
      </c>
      <c r="O757" s="21">
        <f t="shared" si="127"/>
        <v>15.197788650757948</v>
      </c>
      <c r="P757">
        <f t="shared" si="123"/>
        <v>0.52420973481045585</v>
      </c>
      <c r="Q757">
        <f t="shared" si="120"/>
        <v>0.64634990240903711</v>
      </c>
      <c r="R757">
        <f t="shared" si="121"/>
        <v>24.166113436990688</v>
      </c>
      <c r="T757" s="21">
        <f>(M757-M756)/(H757-H756)</f>
        <v>9.1739759005848853E-4</v>
      </c>
      <c r="W757">
        <v>642</v>
      </c>
      <c r="X757">
        <v>15.196234</v>
      </c>
      <c r="Y757">
        <v>1.5</v>
      </c>
      <c r="Z757">
        <f t="shared" si="118"/>
        <v>1.5</v>
      </c>
      <c r="AA757" s="21">
        <f>IF(X757&gt;$B$8+$B$9,0,ABS(X757-O757)/X757)</f>
        <v>1.0230500253862795E-4</v>
      </c>
      <c r="AB757">
        <f>IF(OR(Z754&lt;&gt;Z760,X757&gt;$B$8+$B$9),0,((X760-X754)/(W760-W754)-(O760-O754)/(W760-W754))^2)</f>
        <v>2.7452444219651497E-6</v>
      </c>
    </row>
    <row r="758" spans="7:28" x14ac:dyDescent="0.2">
      <c r="G758" s="21"/>
      <c r="H758" s="21">
        <v>643</v>
      </c>
      <c r="I758">
        <f t="shared" si="124"/>
        <v>1.7269882551599131E-2</v>
      </c>
      <c r="J758">
        <f t="shared" si="125"/>
        <v>0.6457568469344741</v>
      </c>
      <c r="K758">
        <f t="shared" si="119"/>
        <v>25.976162143631257</v>
      </c>
      <c r="L758">
        <f>0.5*Z758*K758/J758/$B$7</f>
        <v>30.169438698495629</v>
      </c>
      <c r="M758">
        <f t="shared" si="122"/>
        <v>0.43733224398926873</v>
      </c>
      <c r="N758" s="21">
        <f t="shared" si="126"/>
        <v>5.3177104702042725E-2</v>
      </c>
      <c r="O758" s="21">
        <f t="shared" si="127"/>
        <v>15.215058533309547</v>
      </c>
      <c r="P758">
        <f t="shared" si="123"/>
        <v>0.52508881120592787</v>
      </c>
      <c r="Q758">
        <f t="shared" si="120"/>
        <v>0.6457568469344741</v>
      </c>
      <c r="R758">
        <f t="shared" si="121"/>
        <v>21.28457306523681</v>
      </c>
      <c r="T758" s="21">
        <f>(M758-M757)/(H758-H757)</f>
        <v>9.179667492795196E-4</v>
      </c>
      <c r="W758">
        <v>643</v>
      </c>
      <c r="X758">
        <v>15.218948999999999</v>
      </c>
      <c r="Y758">
        <v>1.5</v>
      </c>
      <c r="Z758">
        <f t="shared" si="118"/>
        <v>1.5</v>
      </c>
      <c r="AA758" s="21">
        <f>IF(X758&gt;$B$8+$B$9,0,ABS(X758-O758)/X758)</f>
        <v>2.5563307232659682E-4</v>
      </c>
      <c r="AB758">
        <f>IF(OR(Z755&lt;&gt;Z761,X758&gt;$B$8+$B$9),0,((X761-X755)/(W761-W755)-(O761-O755)/(W761-W755))^2)</f>
        <v>5.3818757156454707E-8</v>
      </c>
    </row>
    <row r="759" spans="7:28" x14ac:dyDescent="0.2">
      <c r="G759" s="21"/>
      <c r="H759" s="21">
        <v>644</v>
      </c>
      <c r="I759">
        <f t="shared" si="124"/>
        <v>1.7265804276523893E-2</v>
      </c>
      <c r="J759">
        <f t="shared" si="125"/>
        <v>0.64516396527346087</v>
      </c>
      <c r="K759">
        <f t="shared" si="119"/>
        <v>25.960573750008347</v>
      </c>
      <c r="L759">
        <f>0.5*Z759*K759/J759/$B$7</f>
        <v>30.179041856830104</v>
      </c>
      <c r="M759">
        <f t="shared" si="122"/>
        <v>0.43825078476588625</v>
      </c>
      <c r="N759" s="21">
        <f t="shared" si="126"/>
        <v>5.3222890520335457E-2</v>
      </c>
      <c r="O759" s="21">
        <f t="shared" si="127"/>
        <v>15.232324337586071</v>
      </c>
      <c r="P759">
        <f t="shared" si="123"/>
        <v>0.5259676299604279</v>
      </c>
      <c r="Q759">
        <f t="shared" si="120"/>
        <v>0.64516396527346087</v>
      </c>
      <c r="R759">
        <f t="shared" si="121"/>
        <v>19.017600256470025</v>
      </c>
      <c r="T759" s="21">
        <f>(M759-M758)/(H759-H758)</f>
        <v>9.1854077661751576E-4</v>
      </c>
      <c r="W759">
        <v>644</v>
      </c>
      <c r="X759">
        <v>15.233550999999999</v>
      </c>
      <c r="Y759">
        <v>1.5</v>
      </c>
      <c r="Z759">
        <f t="shared" si="118"/>
        <v>1.5</v>
      </c>
      <c r="AA759" s="21">
        <f>IF(X759&gt;$B$8+$B$9,0,ABS(X759-O759)/X759)</f>
        <v>8.0523734349739954E-5</v>
      </c>
      <c r="AB759">
        <f>IF(OR(Z756&lt;&gt;Z762,X759&gt;$B$8+$B$9),0,((X762-X756)/(W762-W756)-(O762-O756)/(W762-W756))^2)</f>
        <v>7.2880775405896861E-7</v>
      </c>
    </row>
    <row r="760" spans="7:28" x14ac:dyDescent="0.2">
      <c r="G760" s="21"/>
      <c r="H760" s="21">
        <v>645</v>
      </c>
      <c r="I760">
        <f t="shared" si="124"/>
        <v>1.7261834767489881E-2</v>
      </c>
      <c r="J760">
        <f t="shared" si="125"/>
        <v>0.64457125480807265</v>
      </c>
      <c r="K760">
        <f t="shared" si="119"/>
        <v>25.945043768744743</v>
      </c>
      <c r="L760">
        <f>0.5*Z760*K760/J760/$B$7</f>
        <v>30.188722629824067</v>
      </c>
      <c r="M760">
        <f t="shared" si="122"/>
        <v>0.4391699044392664</v>
      </c>
      <c r="N760" s="21">
        <f t="shared" si="126"/>
        <v>5.3268644773562572E-2</v>
      </c>
      <c r="O760" s="21">
        <f t="shared" si="127"/>
        <v>15.249586172353562</v>
      </c>
      <c r="P760">
        <f t="shared" si="123"/>
        <v>0.52684619495446317</v>
      </c>
      <c r="Q760">
        <f t="shared" si="120"/>
        <v>0.64457125480807265</v>
      </c>
      <c r="R760">
        <f t="shared" si="121"/>
        <v>17.187523705330435</v>
      </c>
      <c r="T760" s="21">
        <f>(M760-M759)/(H760-H759)</f>
        <v>9.1911967338015321E-4</v>
      </c>
      <c r="W760">
        <v>645</v>
      </c>
      <c r="X760">
        <v>15.259511</v>
      </c>
      <c r="Y760">
        <v>1.5</v>
      </c>
      <c r="Z760">
        <f t="shared" si="118"/>
        <v>1.5</v>
      </c>
      <c r="AA760" s="21">
        <f>IF(X760&gt;$B$8+$B$9,0,ABS(X760-O760)/X760)</f>
        <v>6.5040273220015479E-4</v>
      </c>
      <c r="AB760">
        <f>IF(OR(Z757&lt;&gt;Z763,X760&gt;$B$8+$B$9),0,((X763-X757)/(W763-W757)-(O763-O757)/(W763-W757))^2)</f>
        <v>2.4441334980535599E-7</v>
      </c>
    </row>
    <row r="761" spans="7:28" x14ac:dyDescent="0.2">
      <c r="G761" s="21"/>
      <c r="H761" s="21">
        <v>646</v>
      </c>
      <c r="I761">
        <f t="shared" si="124"/>
        <v>1.7257973636009658E-2</v>
      </c>
      <c r="J761">
        <f t="shared" si="125"/>
        <v>0.64397871293017817</v>
      </c>
      <c r="K761">
        <f t="shared" si="119"/>
        <v>25.929571879135743</v>
      </c>
      <c r="L761">
        <f>0.5*Z761*K761/J761/$B$7</f>
        <v>30.198480972864576</v>
      </c>
      <c r="M761">
        <f t="shared" si="122"/>
        <v>0.44008960788033907</v>
      </c>
      <c r="N761" s="21">
        <f t="shared" si="126"/>
        <v>5.3314367860506223E-2</v>
      </c>
      <c r="O761" s="21">
        <f t="shared" si="127"/>
        <v>15.266844145989571</v>
      </c>
      <c r="P761">
        <f t="shared" si="123"/>
        <v>0.52772451005402365</v>
      </c>
      <c r="Q761">
        <f t="shared" si="120"/>
        <v>0.64397871293017817</v>
      </c>
      <c r="R761">
        <f t="shared" si="121"/>
        <v>15.679138727189699</v>
      </c>
      <c r="T761" s="21">
        <f>(M761-M760)/(H761-H760)</f>
        <v>9.1970344107267232E-4</v>
      </c>
      <c r="W761">
        <v>646</v>
      </c>
      <c r="X761">
        <v>15.270868</v>
      </c>
      <c r="Y761">
        <v>1.5</v>
      </c>
      <c r="Z761">
        <f t="shared" si="118"/>
        <v>1.5</v>
      </c>
      <c r="AA761" s="21">
        <f>IF(X761&gt;$B$8+$B$9,0,ABS(X761-O761)/X761)</f>
        <v>2.6349870946620104E-4</v>
      </c>
      <c r="AB761">
        <f>IF(OR(Z758&lt;&gt;Z764,X761&gt;$B$8+$B$9),0,((X764-X758)/(W764-W758)-(O764-O758)/(W764-W758))^2)</f>
        <v>1.0277956466597071E-7</v>
      </c>
    </row>
    <row r="762" spans="7:28" x14ac:dyDescent="0.2">
      <c r="G762" s="21"/>
      <c r="H762" s="21">
        <v>647</v>
      </c>
      <c r="I762">
        <f t="shared" si="124"/>
        <v>1.7254220499579066E-2</v>
      </c>
      <c r="J762">
        <f t="shared" si="125"/>
        <v>0.64338633704130932</v>
      </c>
      <c r="K762">
        <f t="shared" si="119"/>
        <v>25.914157763286589</v>
      </c>
      <c r="L762">
        <f>0.5*Z762*K762/J762/$B$7</f>
        <v>30.208316844031852</v>
      </c>
      <c r="M762">
        <f t="shared" si="122"/>
        <v>0.44100989996173551</v>
      </c>
      <c r="N762" s="21">
        <f t="shared" si="126"/>
        <v>5.3360060178478795E-2</v>
      </c>
      <c r="O762" s="21">
        <f t="shared" si="127"/>
        <v>15.28409836648915</v>
      </c>
      <c r="P762">
        <f t="shared" si="123"/>
        <v>0.52860257911077579</v>
      </c>
      <c r="Q762">
        <f t="shared" si="120"/>
        <v>0.64338633704130932</v>
      </c>
      <c r="R762">
        <f t="shared" si="121"/>
        <v>14.414472378549066</v>
      </c>
      <c r="T762" s="21">
        <f>(M762-M761)/(H762-H761)</f>
        <v>9.2029208139643437E-4</v>
      </c>
      <c r="W762">
        <v>647</v>
      </c>
      <c r="X762">
        <v>15.283847999999999</v>
      </c>
      <c r="Y762">
        <v>1.5</v>
      </c>
      <c r="Z762">
        <f t="shared" si="118"/>
        <v>1.5</v>
      </c>
      <c r="AA762" s="21">
        <f>IF(X762&gt;$B$8+$B$9,0,ABS(X762-O762)/X762)</f>
        <v>1.6381116139818484E-5</v>
      </c>
      <c r="AB762">
        <f>IF(OR(Z759&lt;&gt;Z765,X762&gt;$B$8+$B$9),0,((X765-X759)/(W765-W759)-(O765-O759)/(W765-W759))^2)</f>
        <v>1.0561830207933247E-6</v>
      </c>
    </row>
    <row r="763" spans="7:28" x14ac:dyDescent="0.2">
      <c r="G763" s="21"/>
      <c r="H763" s="21">
        <v>648</v>
      </c>
      <c r="I763">
        <f t="shared" si="124"/>
        <v>1.7250574981619912E-2</v>
      </c>
      <c r="J763">
        <f t="shared" si="125"/>
        <v>0.64279412455253326</v>
      </c>
      <c r="K763">
        <f t="shared" si="119"/>
        <v>25.898801106082143</v>
      </c>
      <c r="L763">
        <f>0.5*Z763*K763/J763/$B$7</f>
        <v>30.218230204084797</v>
      </c>
      <c r="M763">
        <f t="shared" si="122"/>
        <v>0.44193078555798126</v>
      </c>
      <c r="N763" s="21">
        <f t="shared" si="126"/>
        <v>5.340572212334644E-2</v>
      </c>
      <c r="O763" s="21">
        <f t="shared" si="127"/>
        <v>15.301348941470771</v>
      </c>
      <c r="P763">
        <f t="shared" si="123"/>
        <v>0.52948040596225276</v>
      </c>
      <c r="Q763">
        <f t="shared" si="120"/>
        <v>0.64279412455253326</v>
      </c>
      <c r="R763">
        <f t="shared" si="121"/>
        <v>13.338867171266299</v>
      </c>
      <c r="T763" s="21">
        <f>(M763-M762)/(H763-H762)</f>
        <v>9.2088559624575739E-4</v>
      </c>
      <c r="W763">
        <v>648</v>
      </c>
      <c r="X763">
        <v>15.296827999999998</v>
      </c>
      <c r="Y763">
        <v>1.5</v>
      </c>
      <c r="Z763">
        <f t="shared" si="118"/>
        <v>1.5</v>
      </c>
      <c r="AA763" s="21">
        <f>IF(X763&gt;$B$8+$B$9,0,ABS(X763-O763)/X763)</f>
        <v>2.9554764365349179E-4</v>
      </c>
      <c r="AB763">
        <f>IF(OR(Z760&lt;&gt;Z766,X763&gt;$B$8+$B$9),0,((X766-X760)/(W766-W760)-(O766-O760)/(W766-W760))^2)</f>
        <v>4.5347107180604703E-8</v>
      </c>
    </row>
    <row r="764" spans="7:28" x14ac:dyDescent="0.2">
      <c r="G764" s="21"/>
      <c r="H764" s="21">
        <v>649</v>
      </c>
      <c r="I764">
        <f t="shared" si="124"/>
        <v>1.7247036711423316E-2</v>
      </c>
      <c r="J764">
        <f t="shared" si="125"/>
        <v>0.64220207288432274</v>
      </c>
      <c r="K764">
        <f t="shared" si="119"/>
        <v>25.883501595156922</v>
      </c>
      <c r="L764">
        <f>0.5*Z764*K764/J764/$B$7</f>
        <v>30.228221016446962</v>
      </c>
      <c r="M764">
        <f t="shared" si="122"/>
        <v>0.44285226954569368</v>
      </c>
      <c r="N764" s="21">
        <f t="shared" si="126"/>
        <v>5.345135408955317E-2</v>
      </c>
      <c r="O764" s="21">
        <f t="shared" si="127"/>
        <v>15.318595978182193</v>
      </c>
      <c r="P764">
        <f t="shared" si="123"/>
        <v>0.5303579944320449</v>
      </c>
      <c r="Q764">
        <f t="shared" si="120"/>
        <v>0.64220207288432274</v>
      </c>
      <c r="R764">
        <f t="shared" si="121"/>
        <v>12.412872499430147</v>
      </c>
      <c r="T764" s="21">
        <f>(M764-M763)/(H764-H763)</f>
        <v>9.2148398771241258E-4</v>
      </c>
      <c r="W764">
        <v>649</v>
      </c>
      <c r="X764">
        <v>15.32441</v>
      </c>
      <c r="Y764">
        <v>1.5</v>
      </c>
      <c r="Z764">
        <f t="shared" si="118"/>
        <v>1.5</v>
      </c>
      <c r="AA764" s="21">
        <f>IF(X764&gt;$B$8+$B$9,0,ABS(X764-O764)/X764)</f>
        <v>3.7939612799495068E-4</v>
      </c>
      <c r="AB764">
        <f>IF(OR(Z761&lt;&gt;Z767,X764&gt;$B$8+$B$9),0,((X767-X761)/(W767-W761)-(O767-O761)/(W767-W761))^2)</f>
        <v>1.0416855099481506E-6</v>
      </c>
    </row>
    <row r="765" spans="7:28" x14ac:dyDescent="0.2">
      <c r="G765" s="21"/>
      <c r="H765" s="21">
        <v>650</v>
      </c>
      <c r="I765">
        <f t="shared" si="124"/>
        <v>1.724360532409433E-2</v>
      </c>
      <c r="J765">
        <f t="shared" si="125"/>
        <v>0.64161017946643117</v>
      </c>
      <c r="K765">
        <f t="shared" si="119"/>
        <v>25.8682589208656</v>
      </c>
      <c r="L765">
        <f>0.5*Z765*K765/J765/$B$7</f>
        <v>30.238289247192757</v>
      </c>
      <c r="M765">
        <f t="shared" si="122"/>
        <v>0.44377435680377308</v>
      </c>
      <c r="N765" s="21">
        <f t="shared" si="126"/>
        <v>5.3496956470143936E-2</v>
      </c>
      <c r="O765" s="21">
        <f t="shared" si="127"/>
        <v>15.335839583506287</v>
      </c>
      <c r="P765">
        <f t="shared" si="123"/>
        <v>0.53123534832998687</v>
      </c>
      <c r="Q765">
        <f t="shared" si="120"/>
        <v>0.64161017946643117</v>
      </c>
      <c r="R765">
        <f t="shared" si="121"/>
        <v>11.607299967746838</v>
      </c>
      <c r="T765" s="21">
        <f>(M765-M764)/(H765-H764)</f>
        <v>9.2208725807940706E-4</v>
      </c>
      <c r="W765">
        <v>650</v>
      </c>
      <c r="X765">
        <v>15.3309</v>
      </c>
      <c r="Y765">
        <v>1.5</v>
      </c>
      <c r="Z765">
        <f t="shared" si="118"/>
        <v>1.5</v>
      </c>
      <c r="AA765" s="21">
        <f>IF(X765&gt;$B$8+$B$9,0,ABS(X765-O765)/X765)</f>
        <v>3.2219788181301115E-4</v>
      </c>
      <c r="AB765">
        <f>IF(OR(Z762&lt;&gt;Z768,X765&gt;$B$8+$B$9),0,((X768-X762)/(W768-W762)-(O768-O762)/(W768-W762))^2)</f>
        <v>1.3131218972075177E-6</v>
      </c>
    </row>
    <row r="766" spans="7:28" x14ac:dyDescent="0.2">
      <c r="G766" s="21"/>
      <c r="H766" s="21">
        <v>651</v>
      </c>
      <c r="I766">
        <f t="shared" si="124"/>
        <v>1.72402804604973E-2</v>
      </c>
      <c r="J766">
        <f t="shared" si="125"/>
        <v>0.64101844173776601</v>
      </c>
      <c r="K766">
        <f t="shared" si="119"/>
        <v>25.85307277625385</v>
      </c>
      <c r="L766">
        <f>0.5*Z766*K766/J766/$B$7</f>
        <v>30.248434865033968</v>
      </c>
      <c r="M766">
        <f t="shared" si="122"/>
        <v>0.44469705221359762</v>
      </c>
      <c r="N766" s="21">
        <f t="shared" si="126"/>
        <v>5.3542529656788108E-2</v>
      </c>
      <c r="O766" s="21">
        <f t="shared" si="127"/>
        <v>15.353079863966784</v>
      </c>
      <c r="P766">
        <f t="shared" si="123"/>
        <v>0.53211247145234408</v>
      </c>
      <c r="Q766">
        <f t="shared" si="120"/>
        <v>0.64101844173776601</v>
      </c>
      <c r="R766">
        <f t="shared" si="121"/>
        <v>10.900090282359475</v>
      </c>
      <c r="T766" s="21">
        <f>(M766-M765)/(H766-H765)</f>
        <v>9.2269540982453657E-4</v>
      </c>
      <c r="W766">
        <v>651</v>
      </c>
      <c r="X766">
        <v>15.361726999999998</v>
      </c>
      <c r="Y766">
        <v>1.5</v>
      </c>
      <c r="Z766">
        <f t="shared" ref="Z766:Z829" si="128">Y766</f>
        <v>1.5</v>
      </c>
      <c r="AA766" s="21">
        <f>IF(X766&gt;$B$8+$B$9,0,ABS(X766-O766)/X766)</f>
        <v>5.6290129574720113E-4</v>
      </c>
      <c r="AB766">
        <f>IF(OR(Z763&lt;&gt;Z769,X766&gt;$B$8+$B$9),0,((X769-X763)/(W769-W763)-(O769-O763)/(W769-W763))^2)</f>
        <v>4.5590704591029371E-9</v>
      </c>
    </row>
    <row r="767" spans="7:28" x14ac:dyDescent="0.2">
      <c r="G767" s="21"/>
      <c r="H767" s="21">
        <v>652</v>
      </c>
      <c r="I767">
        <f t="shared" si="124"/>
        <v>1.7237061767202206E-2</v>
      </c>
      <c r="J767">
        <f t="shared" si="125"/>
        <v>0.64042685714626491</v>
      </c>
      <c r="K767">
        <f t="shared" si="119"/>
        <v>25.837942857029649</v>
      </c>
      <c r="L767">
        <f>0.5*Z767*K767/J767/$B$7</f>
        <v>30.258657841306704</v>
      </c>
      <c r="M767">
        <f t="shared" si="122"/>
        <v>0.44562036065921501</v>
      </c>
      <c r="N767" s="21">
        <f t="shared" si="126"/>
        <v>5.3588074039802376E-2</v>
      </c>
      <c r="O767" s="21">
        <f t="shared" si="127"/>
        <v>15.370316925733986</v>
      </c>
      <c r="P767">
        <f t="shared" si="123"/>
        <v>0.53298936758199655</v>
      </c>
      <c r="Q767">
        <f t="shared" si="120"/>
        <v>0.64042685714626491</v>
      </c>
      <c r="R767">
        <f t="shared" si="121"/>
        <v>10.274261951662064</v>
      </c>
      <c r="T767" s="21">
        <f>(M767-M766)/(H767-H766)</f>
        <v>9.233084456173879E-4</v>
      </c>
      <c r="W767">
        <v>652</v>
      </c>
      <c r="X767">
        <v>15.368216999999998</v>
      </c>
      <c r="Y767">
        <v>1.5</v>
      </c>
      <c r="Z767">
        <f t="shared" si="128"/>
        <v>1.5</v>
      </c>
      <c r="AA767" s="21">
        <f>IF(X767&gt;$B$8+$B$9,0,ABS(X767-O767)/X767)</f>
        <v>1.3664081747338864E-4</v>
      </c>
      <c r="AB767">
        <f>IF(OR(Z764&lt;&gt;Z770,X767&gt;$B$8+$B$9),0,((X770-X764)/(W770-W764)-(O770-O764)/(W770-W764))^2)</f>
        <v>2.2103745149815171E-7</v>
      </c>
    </row>
    <row r="768" spans="7:28" x14ac:dyDescent="0.2">
      <c r="G768" s="21"/>
      <c r="H768" s="21">
        <v>653</v>
      </c>
      <c r="I768">
        <f t="shared" si="124"/>
        <v>1.723394889643216E-2</v>
      </c>
      <c r="J768">
        <f t="shared" si="125"/>
        <v>0.63983542314877306</v>
      </c>
      <c r="K768">
        <f t="shared" si="119"/>
        <v>25.822868861534932</v>
      </c>
      <c r="L768">
        <f>0.5*Z768*K768/J768/$B$7</f>
        <v>30.2689581499585</v>
      </c>
      <c r="M768">
        <f t="shared" si="122"/>
        <v>0.44654428702753418</v>
      </c>
      <c r="N768" s="21">
        <f t="shared" si="126"/>
        <v>5.3633590008173651E-2</v>
      </c>
      <c r="O768" s="21">
        <f t="shared" si="127"/>
        <v>15.387550874630419</v>
      </c>
      <c r="P768">
        <f t="shared" si="123"/>
        <v>0.53386604048862096</v>
      </c>
      <c r="Q768">
        <f t="shared" si="120"/>
        <v>0.63983542314877306</v>
      </c>
      <c r="R768">
        <f t="shared" si="121"/>
        <v>9.7165297247533289</v>
      </c>
      <c r="T768" s="21">
        <f>(M768-M767)/(H768-H767)</f>
        <v>9.239263683191723E-4</v>
      </c>
      <c r="W768">
        <v>653</v>
      </c>
      <c r="X768">
        <v>15.394175999999998</v>
      </c>
      <c r="Y768">
        <v>1.5</v>
      </c>
      <c r="Z768">
        <f t="shared" si="128"/>
        <v>1.5</v>
      </c>
      <c r="AA768" s="21">
        <f>IF(X768&gt;$B$8+$B$9,0,ABS(X768-O768)/X768)</f>
        <v>4.3036570256045316E-4</v>
      </c>
      <c r="AB768">
        <f>IF(OR(Z765&lt;&gt;Z771,X768&gt;$B$8+$B$9),0,((X771-X765)/(W771-W765)-(O771-O765)/(W771-W765))^2)</f>
        <v>3.8680965713934178E-6</v>
      </c>
    </row>
    <row r="769" spans="7:28" x14ac:dyDescent="0.2">
      <c r="G769" s="21"/>
      <c r="H769" s="21">
        <v>654</v>
      </c>
      <c r="I769">
        <f t="shared" si="124"/>
        <v>1.7230941506011392E-2</v>
      </c>
      <c r="J769">
        <f t="shared" si="125"/>
        <v>0.63924413721092066</v>
      </c>
      <c r="K769">
        <f t="shared" si="119"/>
        <v>25.807850490717627</v>
      </c>
      <c r="L769">
        <f>0.5*Z769*K769/J769/$B$7</f>
        <v>30.279335767535844</v>
      </c>
      <c r="M769">
        <f t="shared" si="122"/>
        <v>0.44746883620851702</v>
      </c>
      <c r="N769" s="21">
        <f t="shared" si="126"/>
        <v>5.3679077949581662E-2</v>
      </c>
      <c r="O769" s="21">
        <f t="shared" si="127"/>
        <v>15.404781816136429</v>
      </c>
      <c r="P769">
        <f t="shared" si="123"/>
        <v>0.53474249392887219</v>
      </c>
      <c r="Q769">
        <f t="shared" si="120"/>
        <v>0.63924413721092066</v>
      </c>
      <c r="R769">
        <f t="shared" si="121"/>
        <v>9.2163508232708988</v>
      </c>
      <c r="T769" s="21">
        <f>(M769-M768)/(H769-H768)</f>
        <v>9.2454918098283656E-4</v>
      </c>
      <c r="W769">
        <v>654</v>
      </c>
      <c r="X769">
        <v>15.400666000000001</v>
      </c>
      <c r="Y769">
        <v>1.5</v>
      </c>
      <c r="Z769">
        <f t="shared" si="128"/>
        <v>1.5</v>
      </c>
      <c r="AA769" s="21">
        <f>IF(X769&gt;$B$8+$B$9,0,ABS(X769-O769)/X769)</f>
        <v>2.672492304182369E-4</v>
      </c>
      <c r="AB769">
        <f>IF(OR(Z766&lt;&gt;Z772,X769&gt;$B$8+$B$9),0,((X772-X766)/(W772-W766)-(O772-O766)/(W772-W766))^2)</f>
        <v>2.3894884333382821E-6</v>
      </c>
    </row>
    <row r="770" spans="7:28" x14ac:dyDescent="0.2">
      <c r="G770" s="21"/>
      <c r="H770" s="21">
        <v>655</v>
      </c>
      <c r="I770">
        <f t="shared" si="124"/>
        <v>1.7228039259314536E-2</v>
      </c>
      <c r="J770">
        <f t="shared" si="125"/>
        <v>0.63865299680700183</v>
      </c>
      <c r="K770">
        <f t="shared" si="119"/>
        <v>25.792887448104093</v>
      </c>
      <c r="L770">
        <f>0.5*Z770*K770/J770/$B$7</f>
        <v>30.289790673171996</v>
      </c>
      <c r="M770">
        <f t="shared" si="122"/>
        <v>0.44839401309536997</v>
      </c>
      <c r="N770" s="21">
        <f t="shared" si="126"/>
        <v>5.3724538250421477E-2</v>
      </c>
      <c r="O770" s="21">
        <f t="shared" si="127"/>
        <v>15.422009855395745</v>
      </c>
      <c r="P770">
        <f t="shared" si="123"/>
        <v>0.53561873164656248</v>
      </c>
      <c r="Q770">
        <f t="shared" si="120"/>
        <v>0.63865299680700183</v>
      </c>
      <c r="R770">
        <f t="shared" si="121"/>
        <v>8.7652520093587967</v>
      </c>
      <c r="T770" s="21">
        <f>(M770-M769)/(H770-H769)</f>
        <v>9.2517688685295196E-4</v>
      </c>
      <c r="W770">
        <v>655</v>
      </c>
      <c r="X770">
        <v>15.425003</v>
      </c>
      <c r="Y770">
        <v>1.5</v>
      </c>
      <c r="Z770">
        <f t="shared" si="128"/>
        <v>1.5</v>
      </c>
      <c r="AA770" s="21">
        <f>IF(X770&gt;$B$8+$B$9,0,ABS(X770-O770)/X770)</f>
        <v>1.9404499333035489E-4</v>
      </c>
      <c r="AB770">
        <f>IF(OR(Z767&lt;&gt;Z773,X770&gt;$B$8+$B$9),0,((X773-X767)/(W773-W767)-(O773-O767)/(W773-W767))^2)</f>
        <v>6.3287205788614369E-9</v>
      </c>
    </row>
    <row r="771" spans="7:28" x14ac:dyDescent="0.2">
      <c r="G771" s="21"/>
      <c r="H771" s="21">
        <v>656</v>
      </c>
      <c r="I771">
        <f t="shared" si="124"/>
        <v>1.7225241825216606E-2</v>
      </c>
      <c r="J771">
        <f t="shared" si="125"/>
        <v>0.63806199941985553</v>
      </c>
      <c r="K771">
        <f t="shared" ref="K771:K834" si="129">IF(O771&lt;$B$8+$B$9,0.5*(($B$8+$B$9)^2+O771^2)/O771-$B$9,$B$8)</f>
        <v>25.777979439771915</v>
      </c>
      <c r="L771">
        <f>0.5*Z771*K771/J771/$B$7</f>
        <v>30.300322848575064</v>
      </c>
      <c r="M771">
        <f t="shared" si="122"/>
        <v>0.44931982258473296</v>
      </c>
      <c r="N771" s="21">
        <f t="shared" si="126"/>
        <v>5.3769971295825725E-2</v>
      </c>
      <c r="O771" s="21">
        <f t="shared" si="127"/>
        <v>15.439235097220962</v>
      </c>
      <c r="P771">
        <f t="shared" si="123"/>
        <v>0.53649475737283825</v>
      </c>
      <c r="Q771">
        <f t="shared" ref="Q771:Q834" si="130">1-B$15*P771</f>
        <v>0.63806199941985553</v>
      </c>
      <c r="R771">
        <f t="shared" ref="R771:R834" si="131">$E$15/(P771+$E$16)</f>
        <v>8.3563455288150923</v>
      </c>
      <c r="T771" s="21">
        <f>(M771-M770)/(H771-H770)</f>
        <v>9.2580948936299423E-4</v>
      </c>
      <c r="W771">
        <v>656</v>
      </c>
      <c r="X771">
        <v>15.446096000000001</v>
      </c>
      <c r="Y771">
        <v>1.5</v>
      </c>
      <c r="Z771">
        <f t="shared" si="128"/>
        <v>1.5</v>
      </c>
      <c r="AA771" s="21">
        <f>IF(X771&gt;$B$8+$B$9,0,ABS(X771-O771)/X771)</f>
        <v>4.4418361630270355E-4</v>
      </c>
      <c r="AB771">
        <f>IF(OR(Z768&lt;&gt;Z774,X771&gt;$B$8+$B$9),0,((X774-X768)/(W774-W768)-(O774-O768)/(W774-W768))^2)</f>
        <v>6.8733167755922296E-6</v>
      </c>
    </row>
    <row r="772" spans="7:28" x14ac:dyDescent="0.2">
      <c r="G772" s="21"/>
      <c r="H772" s="21">
        <v>657</v>
      </c>
      <c r="I772">
        <f t="shared" si="124"/>
        <v>1.7222548878043857E-2</v>
      </c>
      <c r="J772">
        <f t="shared" si="125"/>
        <v>0.63747114254074666</v>
      </c>
      <c r="K772">
        <f t="shared" si="129"/>
        <v>25.763126174323066</v>
      </c>
      <c r="L772">
        <f>0.5*Z772*K772/J772/$B$7</f>
        <v>30.310932278016384</v>
      </c>
      <c r="M772">
        <f t="shared" ref="M772:M835" si="132">-LN(J772)</f>
        <v>0.45024626957686975</v>
      </c>
      <c r="N772" s="21">
        <f t="shared" si="126"/>
        <v>5.3815377469686697E-2</v>
      </c>
      <c r="O772" s="21">
        <f t="shared" si="127"/>
        <v>15.456457646099006</v>
      </c>
      <c r="P772">
        <f t="shared" ref="P772:P835" si="133">MIN(O772/(K772+$B$9),1)</f>
        <v>0.53737057482635653</v>
      </c>
      <c r="Q772">
        <f t="shared" si="130"/>
        <v>0.63747114254074666</v>
      </c>
      <c r="R772">
        <f t="shared" si="131"/>
        <v>7.983974845362682</v>
      </c>
      <c r="T772" s="21">
        <f>(M772-M771)/(H772-H771)</f>
        <v>9.2644699213678683E-4</v>
      </c>
      <c r="W772">
        <v>657</v>
      </c>
      <c r="X772">
        <v>15.455829999999999</v>
      </c>
      <c r="Y772">
        <v>1.5</v>
      </c>
      <c r="Z772">
        <f t="shared" si="128"/>
        <v>1.5</v>
      </c>
      <c r="AA772" s="21">
        <f>IF(X772&gt;$B$8+$B$9,0,ABS(X772-O772)/X772)</f>
        <v>4.0609019315487784E-5</v>
      </c>
      <c r="AB772">
        <f>IF(OR(Z769&lt;&gt;Z775,X772&gt;$B$8+$B$9),0,((X775-X769)/(W775-W769)-(O775-O769)/(W775-W769))^2)</f>
        <v>8.0330618353072245E-7</v>
      </c>
    </row>
    <row r="773" spans="7:28" x14ac:dyDescent="0.2">
      <c r="G773" s="21"/>
      <c r="H773" s="21">
        <v>658</v>
      </c>
      <c r="I773">
        <f t="shared" ref="I773:I836" si="134">IF(P772&lt;0.999,MAX(0,MIN(10000000,(L772/$E$8/M772^$E$10)^(1/$E$9)/N772)),0.1)</f>
        <v>1.7219960097525543E-2</v>
      </c>
      <c r="J773">
        <f t="shared" ref="J773:J836" si="135">Q773</f>
        <v>0.63688042366924824</v>
      </c>
      <c r="K773">
        <f t="shared" si="129"/>
        <v>25.748327362857431</v>
      </c>
      <c r="L773">
        <f>0.5*Z773*K773/J773/$B$7</f>
        <v>30.321618948319259</v>
      </c>
      <c r="M773">
        <f t="shared" si="132"/>
        <v>0.45117335897585759</v>
      </c>
      <c r="N773" s="21">
        <f t="shared" ref="N773:N836" si="136">-$B$15*(O773-2*(K773+$B$9))/(K773+$B$9)^2/J773</f>
        <v>5.3860757154678224E-2</v>
      </c>
      <c r="O773" s="21">
        <f t="shared" ref="O773:O836" si="137">O772+I773*(H773-H772)</f>
        <v>15.473677606196532</v>
      </c>
      <c r="P773">
        <f t="shared" si="133"/>
        <v>0.538246187713459</v>
      </c>
      <c r="Q773">
        <f t="shared" si="130"/>
        <v>0.63688042366924824</v>
      </c>
      <c r="R773">
        <f t="shared" si="131"/>
        <v>7.6434513015054302</v>
      </c>
      <c r="T773" s="21">
        <f>(M773-M772)/(H773-H772)</f>
        <v>9.2708939898783482E-4</v>
      </c>
      <c r="W773">
        <v>658</v>
      </c>
      <c r="X773">
        <v>15.472055000000001</v>
      </c>
      <c r="Y773">
        <v>1.5</v>
      </c>
      <c r="Z773">
        <f t="shared" si="128"/>
        <v>1.5</v>
      </c>
      <c r="AA773" s="21">
        <f>IF(X773&gt;$B$8+$B$9,0,ABS(X773-O773)/X773)</f>
        <v>1.0487334723994585E-4</v>
      </c>
      <c r="AB773">
        <f>IF(OR(Z770&lt;&gt;Z776,X773&gt;$B$8+$B$9),0,((X776-X770)/(W776-W770)-(O776-O770)/(W776-W770))^2)</f>
        <v>2.0538047892533171E-7</v>
      </c>
    </row>
    <row r="774" spans="7:28" x14ac:dyDescent="0.2">
      <c r="G774" s="21"/>
      <c r="H774" s="21">
        <v>659</v>
      </c>
      <c r="I774">
        <f t="shared" si="134"/>
        <v>1.7217475168746506E-2</v>
      </c>
      <c r="J774">
        <f t="shared" si="135"/>
        <v>0.63628984031312485</v>
      </c>
      <c r="K774">
        <f t="shared" si="129"/>
        <v>25.733582718946678</v>
      </c>
      <c r="L774">
        <f>0.5*Z774*K774/J774/$B$7</f>
        <v>30.332382848847917</v>
      </c>
      <c r="M774">
        <f t="shared" si="132"/>
        <v>0.45210109568977586</v>
      </c>
      <c r="N774" s="21">
        <f t="shared" si="136"/>
        <v>5.3906110732277461E-2</v>
      </c>
      <c r="O774" s="21">
        <f t="shared" si="137"/>
        <v>15.490895081365277</v>
      </c>
      <c r="P774">
        <f t="shared" si="133"/>
        <v>0.5391215997283455</v>
      </c>
      <c r="Q774">
        <f t="shared" si="130"/>
        <v>0.63628984031312485</v>
      </c>
      <c r="R774">
        <f t="shared" si="131"/>
        <v>7.3308555959034507</v>
      </c>
      <c r="T774" s="21">
        <f>(M774-M773)/(H774-H773)</f>
        <v>9.2773671391827017E-4</v>
      </c>
      <c r="W774">
        <v>659</v>
      </c>
      <c r="X774">
        <v>15.48179</v>
      </c>
      <c r="Y774">
        <v>1.5</v>
      </c>
      <c r="Z774">
        <f t="shared" si="128"/>
        <v>1.5</v>
      </c>
      <c r="AA774" s="21">
        <f>IF(X774&gt;$B$8+$B$9,0,ABS(X774-O774)/X774)</f>
        <v>5.8811554511959546E-4</v>
      </c>
      <c r="AB774">
        <f>IF(OR(Z771&lt;&gt;Z777,X774&gt;$B$8+$B$9),0,((X777-X771)/(W777-W771)-(O777-O771)/(W777-W771))^2)</f>
        <v>3.250528929645483E-6</v>
      </c>
    </row>
    <row r="775" spans="7:28" x14ac:dyDescent="0.2">
      <c r="G775" s="21"/>
      <c r="H775" s="21">
        <v>660</v>
      </c>
      <c r="I775">
        <f t="shared" si="134"/>
        <v>1.7215093782100559E-2</v>
      </c>
      <c r="J775">
        <f t="shared" si="135"/>
        <v>0.63569938998821729</v>
      </c>
      <c r="K775">
        <f t="shared" si="129"/>
        <v>25.718891958608509</v>
      </c>
      <c r="L775">
        <f>0.5*Z775*K775/J775/$B$7</f>
        <v>30.343223971496823</v>
      </c>
      <c r="M775">
        <f t="shared" si="132"/>
        <v>0.4530294846308946</v>
      </c>
      <c r="N775" s="21">
        <f t="shared" si="136"/>
        <v>5.3951438582786407E-2</v>
      </c>
      <c r="O775" s="21">
        <f t="shared" si="137"/>
        <v>15.508110175147378</v>
      </c>
      <c r="P775">
        <f t="shared" si="133"/>
        <v>0.53999681455324433</v>
      </c>
      <c r="Q775">
        <f t="shared" si="130"/>
        <v>0.63569938998821729</v>
      </c>
      <c r="R775">
        <f t="shared" si="131"/>
        <v>7.0428861982865349</v>
      </c>
      <c r="T775" s="21">
        <f>(M775-M774)/(H775-H774)</f>
        <v>9.2838894111874071E-4</v>
      </c>
      <c r="W775">
        <v>660</v>
      </c>
      <c r="X775">
        <v>15.509371999999999</v>
      </c>
      <c r="Y775">
        <v>1.5</v>
      </c>
      <c r="Z775">
        <f t="shared" si="128"/>
        <v>1.5</v>
      </c>
      <c r="AA775" s="21">
        <f>IF(X775&gt;$B$8+$B$9,0,ABS(X775-O775)/X775)</f>
        <v>8.135886176572939E-5</v>
      </c>
      <c r="AB775">
        <f>IF(OR(Z772&lt;&gt;Z778,X775&gt;$B$8+$B$9),0,((X778-X772)/(W778-W772)-(O778-O772)/(W778-W772))^2)</f>
        <v>8.5392088241079076E-9</v>
      </c>
    </row>
    <row r="776" spans="7:28" x14ac:dyDescent="0.2">
      <c r="G776" s="21"/>
      <c r="H776" s="21">
        <v>661</v>
      </c>
      <c r="I776">
        <f t="shared" si="134"/>
        <v>1.7212815633244845E-2</v>
      </c>
      <c r="J776">
        <f t="shared" si="135"/>
        <v>0.63510907021832796</v>
      </c>
      <c r="K776">
        <f t="shared" si="129"/>
        <v>25.704254800281195</v>
      </c>
      <c r="L776">
        <f>0.5*Z776*K776/J776/$B$7</f>
        <v>30.354142310680178</v>
      </c>
      <c r="M776">
        <f t="shared" si="132"/>
        <v>0.45395853071586234</v>
      </c>
      <c r="N776" s="21">
        <f t="shared" si="136"/>
        <v>5.3996741085353281E-2</v>
      </c>
      <c r="O776" s="21">
        <f t="shared" si="137"/>
        <v>15.525322990780623</v>
      </c>
      <c r="P776">
        <f t="shared" si="133"/>
        <v>0.54087183585858267</v>
      </c>
      <c r="Q776">
        <f t="shared" si="130"/>
        <v>0.63510907021832796</v>
      </c>
      <c r="R776">
        <f t="shared" si="131"/>
        <v>6.776742245511743</v>
      </c>
      <c r="T776" s="21">
        <f>(M776-M775)/(H776-H775)</f>
        <v>9.2904608496774399E-4</v>
      </c>
      <c r="W776">
        <v>661</v>
      </c>
      <c r="X776">
        <v>15.525596999999998</v>
      </c>
      <c r="Y776">
        <v>1.5</v>
      </c>
      <c r="Z776">
        <f t="shared" si="128"/>
        <v>1.5</v>
      </c>
      <c r="AA776" s="21">
        <f>IF(X776&gt;$B$8+$B$9,0,ABS(X776-O776)/X776)</f>
        <v>1.7648868470224017E-5</v>
      </c>
      <c r="AB776">
        <f>IF(OR(Z773&lt;&gt;Z779,X776&gt;$B$8+$B$9),0,((X779-X773)/(W779-W773)-(O779-O773)/(W779-W773))^2)</f>
        <v>1.990930289291212E-7</v>
      </c>
    </row>
    <row r="777" spans="7:28" x14ac:dyDescent="0.2">
      <c r="G777" s="21"/>
      <c r="H777" s="21">
        <v>662</v>
      </c>
      <c r="I777">
        <f t="shared" si="134"/>
        <v>1.721064042305474E-2</v>
      </c>
      <c r="J777">
        <f t="shared" si="135"/>
        <v>0.63451887853510724</v>
      </c>
      <c r="K777">
        <f t="shared" si="129"/>
        <v>25.68967096479852</v>
      </c>
      <c r="L777">
        <f>0.5*Z777*K777/J777/$B$7</f>
        <v>30.365137863321827</v>
      </c>
      <c r="M777">
        <f t="shared" si="132"/>
        <v>0.45488823886589413</v>
      </c>
      <c r="N777" s="21">
        <f t="shared" si="136"/>
        <v>5.4042018617993785E-2</v>
      </c>
      <c r="O777" s="21">
        <f t="shared" si="137"/>
        <v>15.542533631203678</v>
      </c>
      <c r="P777">
        <f t="shared" si="133"/>
        <v>0.54174666730315457</v>
      </c>
      <c r="Q777">
        <f t="shared" si="130"/>
        <v>0.63451887853510724</v>
      </c>
      <c r="R777">
        <f t="shared" si="131"/>
        <v>6.5300321023266568</v>
      </c>
      <c r="T777" s="21">
        <f>(M777-M776)/(H777-H776)</f>
        <v>9.2970815003179386E-4</v>
      </c>
      <c r="W777">
        <v>662</v>
      </c>
      <c r="X777">
        <v>15.538577</v>
      </c>
      <c r="Y777">
        <v>1.5</v>
      </c>
      <c r="Z777">
        <f t="shared" si="128"/>
        <v>1.5</v>
      </c>
      <c r="AA777" s="21">
        <f>IF(X777&gt;$B$8+$B$9,0,ABS(X777-O777)/X777)</f>
        <v>2.5463278932673724E-4</v>
      </c>
      <c r="AB777">
        <f>IF(OR(Z774&lt;&gt;Z780,X777&gt;$B$8+$B$9),0,((X780-X774)/(W780-W774)-(O780-O774)/(W780-W774))^2)</f>
        <v>7.8442520454410077E-6</v>
      </c>
    </row>
    <row r="778" spans="7:28" x14ac:dyDescent="0.2">
      <c r="G778" s="21"/>
      <c r="H778" s="21">
        <v>663</v>
      </c>
      <c r="I778">
        <f t="shared" si="134"/>
        <v>1.7208567857579782E-2</v>
      </c>
      <c r="J778">
        <f t="shared" si="135"/>
        <v>0.63392881247794075</v>
      </c>
      <c r="K778">
        <f t="shared" si="129"/>
        <v>25.675140175365012</v>
      </c>
      <c r="L778">
        <f>0.5*Z778*K778/J778/$B$7</f>
        <v>30.376210628845389</v>
      </c>
      <c r="M778">
        <f t="shared" si="132"/>
        <v>0.45581861400695894</v>
      </c>
      <c r="N778" s="21">
        <f t="shared" si="136"/>
        <v>5.4087271557612122E-2</v>
      </c>
      <c r="O778" s="21">
        <f t="shared" si="137"/>
        <v>15.559742199061258</v>
      </c>
      <c r="P778">
        <f t="shared" si="133"/>
        <v>0.54262131253428803</v>
      </c>
      <c r="Q778">
        <f t="shared" si="130"/>
        <v>0.63392881247794075</v>
      </c>
      <c r="R778">
        <f t="shared" si="131"/>
        <v>6.3007012559117541</v>
      </c>
      <c r="T778" s="21">
        <f>(M778-M777)/(H778-H777)</f>
        <v>9.3037514106480979E-4</v>
      </c>
      <c r="W778">
        <v>663</v>
      </c>
      <c r="X778">
        <v>15.559669</v>
      </c>
      <c r="Y778">
        <v>1.5</v>
      </c>
      <c r="Z778">
        <f t="shared" si="128"/>
        <v>1.5</v>
      </c>
      <c r="AA778" s="21">
        <f>IF(X778&gt;$B$8+$B$9,0,ABS(X778-O778)/X778)</f>
        <v>4.7044099240528551E-6</v>
      </c>
      <c r="AB778">
        <f>IF(OR(Z775&lt;&gt;Z781,X778&gt;$B$8+$B$9),0,((X781-X775)/(W781-W775)-(O781-O775)/(W781-W775))^2)</f>
        <v>8.2800468354569568E-7</v>
      </c>
    </row>
    <row r="779" spans="7:28" x14ac:dyDescent="0.2">
      <c r="G779" s="21"/>
      <c r="H779" s="21">
        <v>664</v>
      </c>
      <c r="I779">
        <f t="shared" si="134"/>
        <v>1.7206597648000369E-2</v>
      </c>
      <c r="J779">
        <f t="shared" si="135"/>
        <v>0.63333886959383867</v>
      </c>
      <c r="K779">
        <f t="shared" si="129"/>
        <v>25.660662157531508</v>
      </c>
      <c r="L779">
        <f>0.5*Z779*K779/J779/$B$7</f>
        <v>30.387360609164574</v>
      </c>
      <c r="M779">
        <f t="shared" si="132"/>
        <v>0.45674966106996551</v>
      </c>
      <c r="N779" s="21">
        <f t="shared" si="136"/>
        <v>5.4132500280021902E-2</v>
      </c>
      <c r="O779" s="21">
        <f t="shared" si="137"/>
        <v>15.576948796709258</v>
      </c>
      <c r="P779">
        <f t="shared" si="133"/>
        <v>0.54349577518801029</v>
      </c>
      <c r="Q779">
        <f t="shared" si="130"/>
        <v>0.63333886959383867</v>
      </c>
      <c r="R779">
        <f t="shared" si="131"/>
        <v>6.0869749373236015</v>
      </c>
      <c r="T779" s="21">
        <f>(M779-M778)/(H779-H778)</f>
        <v>9.3104706300656259E-4</v>
      </c>
      <c r="W779">
        <v>664</v>
      </c>
      <c r="X779">
        <v>15.572648999999998</v>
      </c>
      <c r="Y779">
        <v>1.5</v>
      </c>
      <c r="Z779">
        <f t="shared" si="128"/>
        <v>1.5</v>
      </c>
      <c r="AA779" s="21">
        <f>IF(X779&gt;$B$8+$B$9,0,ABS(X779-O779)/X779)</f>
        <v>2.7611209302026593E-4</v>
      </c>
      <c r="AB779">
        <f>IF(OR(Z776&lt;&gt;Z782,X779&gt;$B$8+$B$9),0,((X782-X776)/(W782-W776)-(O782-O776)/(W782-W776))^2)</f>
        <v>9.6229460326505958E-7</v>
      </c>
    </row>
    <row r="780" spans="7:28" x14ac:dyDescent="0.2">
      <c r="G780" s="21"/>
      <c r="H780" s="21">
        <v>665</v>
      </c>
      <c r="I780">
        <f t="shared" si="134"/>
        <v>1.7204729510584958E-2</v>
      </c>
      <c r="J780">
        <f t="shared" si="135"/>
        <v>0.63274904743732363</v>
      </c>
      <c r="K780">
        <f t="shared" si="129"/>
        <v>25.646236639171057</v>
      </c>
      <c r="L780">
        <f>0.5*Z780*K780/J780/$B$7</f>
        <v>30.398587808673966</v>
      </c>
      <c r="M780">
        <f t="shared" si="132"/>
        <v>0.45768138499095085</v>
      </c>
      <c r="N780" s="21">
        <f t="shared" si="136"/>
        <v>5.4177705159966942E-2</v>
      </c>
      <c r="O780" s="21">
        <f t="shared" si="137"/>
        <v>15.594153526219843</v>
      </c>
      <c r="P780">
        <f t="shared" si="133"/>
        <v>0.54437005888921175</v>
      </c>
      <c r="Q780">
        <f t="shared" si="130"/>
        <v>0.63274904743732363</v>
      </c>
      <c r="R780">
        <f t="shared" si="131"/>
        <v>5.8873120762129583</v>
      </c>
      <c r="T780" s="21">
        <f>(M780-M779)/(H780-H779)</f>
        <v>9.3172392098533896E-4</v>
      </c>
      <c r="W780">
        <v>665</v>
      </c>
      <c r="X780">
        <v>15.601852999999998</v>
      </c>
      <c r="Y780">
        <v>1.5</v>
      </c>
      <c r="Z780">
        <f t="shared" si="128"/>
        <v>1.5</v>
      </c>
      <c r="AA780" s="21">
        <f>IF(X780&gt;$B$8+$B$9,0,ABS(X780-O780)/X780)</f>
        <v>4.9349739291577942E-4</v>
      </c>
      <c r="AB780">
        <f>IF(OR(Z777&lt;&gt;Z783,X780&gt;$B$8+$B$9),0,((X783-X777)/(W783-W777)-(O783-O777)/(W783-W777))^2)</f>
        <v>8.3481988488351673E-7</v>
      </c>
    </row>
    <row r="781" spans="7:28" x14ac:dyDescent="0.2">
      <c r="G781" s="21"/>
      <c r="H781" s="21">
        <v>666</v>
      </c>
      <c r="I781">
        <f t="shared" si="134"/>
        <v>1.720296316664844E-2</v>
      </c>
      <c r="J781">
        <f t="shared" si="135"/>
        <v>0.63215934357032211</v>
      </c>
      <c r="K781">
        <f t="shared" si="129"/>
        <v>25.631863350455124</v>
      </c>
      <c r="L781">
        <f>0.5*Z781*K781/J781/$B$7</f>
        <v>30.409892234239919</v>
      </c>
      <c r="M781">
        <f t="shared" si="132"/>
        <v>0.45861379071126523</v>
      </c>
      <c r="N781" s="21">
        <f t="shared" si="136"/>
        <v>5.4222886571141764E-2</v>
      </c>
      <c r="O781" s="21">
        <f t="shared" si="137"/>
        <v>15.611356489386491</v>
      </c>
      <c r="P781">
        <f t="shared" si="133"/>
        <v>0.54524416725180891</v>
      </c>
      <c r="Q781">
        <f t="shared" si="130"/>
        <v>0.63215934357032211</v>
      </c>
      <c r="R781">
        <f t="shared" si="131"/>
        <v>5.7003680604426181</v>
      </c>
      <c r="T781" s="21">
        <f>(M781-M780)/(H781-H780)</f>
        <v>9.3240572031438873E-4</v>
      </c>
      <c r="W781">
        <v>666</v>
      </c>
      <c r="X781">
        <v>15.618078000000001</v>
      </c>
      <c r="Y781">
        <v>1.5</v>
      </c>
      <c r="Z781">
        <f t="shared" si="128"/>
        <v>1.5</v>
      </c>
      <c r="AA781" s="21">
        <f>IF(X781&gt;$B$8+$B$9,0,ABS(X781-O781)/X781)</f>
        <v>4.3036733543714222E-4</v>
      </c>
      <c r="AB781">
        <f>IF(OR(Z778&lt;&gt;Z784,X781&gt;$B$8+$B$9),0,((X784-X778)/(W784-W778)-(O784-O778)/(W784-W778))^2)</f>
        <v>1.0864739927717646E-8</v>
      </c>
    </row>
    <row r="782" spans="7:28" x14ac:dyDescent="0.2">
      <c r="G782" s="21"/>
      <c r="H782" s="21">
        <v>667</v>
      </c>
      <c r="I782">
        <f t="shared" si="134"/>
        <v>1.7201298342511023E-2</v>
      </c>
      <c r="J782">
        <f t="shared" si="135"/>
        <v>0.63156975556205519</v>
      </c>
      <c r="K782">
        <f t="shared" si="129"/>
        <v>25.617542023830133</v>
      </c>
      <c r="L782">
        <f>0.5*Z782*K782/J782/$B$7</f>
        <v>30.421273895191771</v>
      </c>
      <c r="M782">
        <f t="shared" si="132"/>
        <v>0.45954688317775877</v>
      </c>
      <c r="N782" s="21">
        <f t="shared" si="136"/>
        <v>5.4268044886212084E-2</v>
      </c>
      <c r="O782" s="21">
        <f t="shared" si="137"/>
        <v>15.628557787729003</v>
      </c>
      <c r="P782">
        <f t="shared" si="133"/>
        <v>0.54611810387890536</v>
      </c>
      <c r="Q782">
        <f t="shared" si="130"/>
        <v>0.63156975556205519</v>
      </c>
      <c r="R782">
        <f t="shared" si="131"/>
        <v>5.524964396963056</v>
      </c>
      <c r="T782" s="21">
        <f>(M782-M781)/(H782-H781)</f>
        <v>9.3309246649353472E-4</v>
      </c>
      <c r="W782">
        <v>667</v>
      </c>
      <c r="X782">
        <v>15.622945999999999</v>
      </c>
      <c r="Y782">
        <v>1.5</v>
      </c>
      <c r="Z782">
        <f t="shared" si="128"/>
        <v>1.5</v>
      </c>
      <c r="AA782" s="21">
        <f>IF(X782&gt;$B$8+$B$9,0,ABS(X782-O782)/X782)</f>
        <v>3.592016338662271E-4</v>
      </c>
      <c r="AB782">
        <f>IF(OR(Z779&lt;&gt;Z785,X782&gt;$B$8+$B$9),0,((X785-X779)/(W785-W779)-(O785-O779)/(W785-W779))^2)</f>
        <v>2.986612852749594E-6</v>
      </c>
    </row>
    <row r="783" spans="7:28" x14ac:dyDescent="0.2">
      <c r="G783" s="21"/>
      <c r="H783" s="21">
        <v>668</v>
      </c>
      <c r="I783">
        <f t="shared" si="134"/>
        <v>1.7199734769457714E-2</v>
      </c>
      <c r="J783">
        <f t="shared" si="135"/>
        <v>0.63098028098893111</v>
      </c>
      <c r="K783">
        <f t="shared" si="129"/>
        <v>25.603272393994281</v>
      </c>
      <c r="L783">
        <f>0.5*Z783*K783/J783/$B$7</f>
        <v>30.432732803313339</v>
      </c>
      <c r="M783">
        <f t="shared" si="132"/>
        <v>0.46048066734296661</v>
      </c>
      <c r="N783" s="21">
        <f t="shared" si="136"/>
        <v>5.4313180476835123E-2</v>
      </c>
      <c r="O783" s="21">
        <f t="shared" si="137"/>
        <v>15.64575752249846</v>
      </c>
      <c r="P783">
        <f t="shared" si="133"/>
        <v>0.54699187236295166</v>
      </c>
      <c r="Q783">
        <f t="shared" si="130"/>
        <v>0.63098028098893111</v>
      </c>
      <c r="R783">
        <f t="shared" si="131"/>
        <v>5.3600638265793199</v>
      </c>
      <c r="T783" s="21">
        <f>(M783-M782)/(H783-H782)</f>
        <v>9.3378416520784047E-4</v>
      </c>
      <c r="W783">
        <v>668</v>
      </c>
      <c r="X783">
        <v>15.647282999999998</v>
      </c>
      <c r="Y783">
        <v>1.5</v>
      </c>
      <c r="Z783">
        <f t="shared" si="128"/>
        <v>1.5</v>
      </c>
      <c r="AA783" s="21">
        <f>IF(X783&gt;$B$8+$B$9,0,ABS(X783-O783)/X783)</f>
        <v>9.7491526262921444E-5</v>
      </c>
      <c r="AB783">
        <f>IF(OR(Z780&lt;&gt;Z786,X783&gt;$B$8+$B$9),0,((X786-X780)/(W786-W780)-(O786-O780)/(W786-W780))^2)</f>
        <v>3.1879077226213489E-6</v>
      </c>
    </row>
    <row r="784" spans="7:28" x14ac:dyDescent="0.2">
      <c r="G784" s="21"/>
      <c r="H784" s="21">
        <v>669</v>
      </c>
      <c r="I784">
        <f t="shared" si="134"/>
        <v>1.719827218369897E-2</v>
      </c>
      <c r="J784">
        <f t="shared" si="135"/>
        <v>0.63039091743443731</v>
      </c>
      <c r="K784">
        <f t="shared" si="129"/>
        <v>25.589054197874692</v>
      </c>
      <c r="L784">
        <f>0.5*Z784*K784/J784/$B$7</f>
        <v>30.444268972834667</v>
      </c>
      <c r="M784">
        <f t="shared" si="132"/>
        <v>0.46141514816529572</v>
      </c>
      <c r="N784" s="21">
        <f t="shared" si="136"/>
        <v>5.4358293713679687E-2</v>
      </c>
      <c r="O784" s="21">
        <f t="shared" si="137"/>
        <v>15.662955794682158</v>
      </c>
      <c r="P784">
        <f t="shared" si="133"/>
        <v>0.54786547628590465</v>
      </c>
      <c r="Q784">
        <f t="shared" si="130"/>
        <v>0.63039091743443731</v>
      </c>
      <c r="R784">
        <f t="shared" si="131"/>
        <v>5.2047497820643995</v>
      </c>
      <c r="T784" s="21">
        <f>(M784-M783)/(H784-H783)</f>
        <v>9.3448082232910901E-4</v>
      </c>
      <c r="W784">
        <v>669</v>
      </c>
      <c r="X784">
        <v>15.663508</v>
      </c>
      <c r="Y784">
        <v>1.5</v>
      </c>
      <c r="Z784">
        <f t="shared" si="128"/>
        <v>1.5</v>
      </c>
      <c r="AA784" s="21">
        <f>IF(X784&gt;$B$8+$B$9,0,ABS(X784-O784)/X784)</f>
        <v>3.5254255805386969E-5</v>
      </c>
      <c r="AB784">
        <f>IF(OR(Z781&lt;&gt;Z787,X784&gt;$B$8+$B$9),0,((X787-X781)/(W787-W781)-(O787-O781)/(W787-W781))^2)</f>
        <v>2.291364561711231E-6</v>
      </c>
    </row>
    <row r="785" spans="7:28" x14ac:dyDescent="0.2">
      <c r="G785" s="21"/>
      <c r="H785" s="21">
        <v>670</v>
      </c>
      <c r="I785">
        <f t="shared" si="134"/>
        <v>1.71969103263316E-2</v>
      </c>
      <c r="J785">
        <f t="shared" si="135"/>
        <v>0.62980166248903524</v>
      </c>
      <c r="K785">
        <f t="shared" si="129"/>
        <v>25.574887174604843</v>
      </c>
      <c r="L785">
        <f>0.5*Z785*K785/J785/$B$7</f>
        <v>30.455882420424025</v>
      </c>
      <c r="M785">
        <f t="shared" si="132"/>
        <v>0.46235033060920927</v>
      </c>
      <c r="N785" s="21">
        <f t="shared" si="136"/>
        <v>5.4403384966446262E-2</v>
      </c>
      <c r="O785" s="21">
        <f t="shared" si="137"/>
        <v>15.68015270500849</v>
      </c>
      <c r="P785">
        <f t="shared" si="133"/>
        <v>0.54873891921938367</v>
      </c>
      <c r="Q785">
        <f t="shared" si="130"/>
        <v>0.62980166248903524</v>
      </c>
      <c r="R785">
        <f t="shared" si="131"/>
        <v>5.05820933020828</v>
      </c>
      <c r="T785" s="21">
        <f>(M785-M784)/(H785-H784)</f>
        <v>9.3518244391355143E-4</v>
      </c>
      <c r="W785">
        <v>670</v>
      </c>
      <c r="X785">
        <v>15.686222000000001</v>
      </c>
      <c r="Y785">
        <v>1.5</v>
      </c>
      <c r="Z785">
        <f t="shared" si="128"/>
        <v>1.5</v>
      </c>
      <c r="AA785" s="21">
        <f>IF(X785&gt;$B$8+$B$9,0,ABS(X785-O785)/X785)</f>
        <v>3.8691885091964349E-4</v>
      </c>
      <c r="AB785">
        <f>IF(OR(Z782&lt;&gt;Z788,X785&gt;$B$8+$B$9),0,((X788-X782)/(W788-W782)-(O788-O782)/(W788-W782))^2)</f>
        <v>1.2082383822594692E-8</v>
      </c>
    </row>
    <row r="786" spans="7:28" x14ac:dyDescent="0.2">
      <c r="G786" s="21"/>
      <c r="H786" s="21">
        <v>671</v>
      </c>
      <c r="I786">
        <f t="shared" si="134"/>
        <v>1.7195648943300692E-2</v>
      </c>
      <c r="J786">
        <f t="shared" si="135"/>
        <v>0.62921251375005427</v>
      </c>
      <c r="K786">
        <f t="shared" si="129"/>
        <v>25.560771065502301</v>
      </c>
      <c r="L786">
        <f>0.5*Z786*K786/J786/$B$7</f>
        <v>30.467573165180188</v>
      </c>
      <c r="M786">
        <f t="shared" si="132"/>
        <v>0.46328621964541256</v>
      </c>
      <c r="N786" s="21">
        <f t="shared" si="136"/>
        <v>5.4448454603886837E-2</v>
      </c>
      <c r="O786" s="21">
        <f t="shared" si="137"/>
        <v>15.69734835395179</v>
      </c>
      <c r="P786">
        <f t="shared" si="133"/>
        <v>0.54961220472482786</v>
      </c>
      <c r="Q786">
        <f t="shared" si="130"/>
        <v>0.62921251375005427</v>
      </c>
      <c r="R786">
        <f t="shared" si="131"/>
        <v>4.919718927391461</v>
      </c>
      <c r="T786" s="21">
        <f>(M786-M785)/(H786-H785)</f>
        <v>9.3588903620328567E-4</v>
      </c>
      <c r="W786">
        <v>671</v>
      </c>
      <c r="X786">
        <v>15.694334999999999</v>
      </c>
      <c r="Y786">
        <v>1.5</v>
      </c>
      <c r="Z786">
        <f t="shared" si="128"/>
        <v>1.5</v>
      </c>
      <c r="AA786" s="21">
        <f>IF(X786&gt;$B$8+$B$9,0,ABS(X786-O786)/X786)</f>
        <v>1.9200265266362587E-4</v>
      </c>
      <c r="AB786">
        <f>IF(OR(Z783&lt;&gt;Z789,X786&gt;$B$8+$B$9),0,((X789-X783)/(W789-W783)-(O789-O783)/(W789-W783))^2)</f>
        <v>9.4193851567508652E-7</v>
      </c>
    </row>
    <row r="787" spans="7:28" x14ac:dyDescent="0.2">
      <c r="G787" s="21"/>
      <c r="H787" s="21">
        <v>672</v>
      </c>
      <c r="I787">
        <f t="shared" si="134"/>
        <v>1.7194487785362068E-2</v>
      </c>
      <c r="J787">
        <f t="shared" si="135"/>
        <v>0.62862346882158815</v>
      </c>
      <c r="K787">
        <f t="shared" si="129"/>
        <v>25.546705614046754</v>
      </c>
      <c r="L787">
        <f>0.5*Z787*K787/J787/$B$7</f>
        <v>30.479341228624953</v>
      </c>
      <c r="M787">
        <f t="shared" si="132"/>
        <v>0.46422282025103689</v>
      </c>
      <c r="N787" s="21">
        <f t="shared" si="136"/>
        <v>5.4493502993824584E-2</v>
      </c>
      <c r="O787" s="21">
        <f t="shared" si="137"/>
        <v>15.714542841737153</v>
      </c>
      <c r="P787">
        <f t="shared" si="133"/>
        <v>0.55048533635364982</v>
      </c>
      <c r="Q787">
        <f t="shared" si="130"/>
        <v>0.62862346882158815</v>
      </c>
      <c r="R787">
        <f t="shared" si="131"/>
        <v>4.7886324617647427</v>
      </c>
      <c r="T787" s="21">
        <f>(M787-M786)/(H787-H786)</f>
        <v>9.3660060562433811E-4</v>
      </c>
      <c r="W787">
        <v>672</v>
      </c>
      <c r="X787">
        <v>15.712181999999999</v>
      </c>
      <c r="Y787">
        <v>1.5</v>
      </c>
      <c r="Z787">
        <f t="shared" si="128"/>
        <v>1.5</v>
      </c>
      <c r="AA787" s="21">
        <f>IF(X787&gt;$B$8+$B$9,0,ABS(X787-O787)/X787)</f>
        <v>1.5025549838680065E-4</v>
      </c>
      <c r="AB787">
        <f>IF(OR(Z784&lt;&gt;Z790,X787&gt;$B$8+$B$9),0,((X790-X784)/(W790-W784)-(O790-O784)/(W790-W784))^2)</f>
        <v>4.8849430946559248E-7</v>
      </c>
    </row>
    <row r="788" spans="7:28" x14ac:dyDescent="0.2">
      <c r="G788" s="21"/>
      <c r="H788" s="21">
        <v>673</v>
      </c>
      <c r="I788">
        <f t="shared" si="134"/>
        <v>1.7193426608045539E-2</v>
      </c>
      <c r="J788">
        <f t="shared" si="135"/>
        <v>0.62803452531439041</v>
      </c>
      <c r="K788">
        <f t="shared" si="129"/>
        <v>25.532690565858296</v>
      </c>
      <c r="L788">
        <f>0.5*Z788*K788/J788/$B$7</f>
        <v>30.491186634695893</v>
      </c>
      <c r="M788">
        <f t="shared" si="132"/>
        <v>0.46516013740982576</v>
      </c>
      <c r="N788" s="21">
        <f t="shared" si="136"/>
        <v>5.4538530503173567E-2</v>
      </c>
      <c r="O788" s="21">
        <f t="shared" si="137"/>
        <v>15.731736268345198</v>
      </c>
      <c r="P788">
        <f t="shared" si="133"/>
        <v>0.55135831764739041</v>
      </c>
      <c r="Q788">
        <f t="shared" si="130"/>
        <v>0.62803452531439041</v>
      </c>
      <c r="R788">
        <f t="shared" si="131"/>
        <v>4.664371164955897</v>
      </c>
      <c r="T788" s="21">
        <f>(M788-M787)/(H788-H787)</f>
        <v>9.3731715878886401E-4</v>
      </c>
      <c r="W788">
        <v>673</v>
      </c>
      <c r="X788">
        <v>15.726783999999999</v>
      </c>
      <c r="Y788">
        <v>1.5</v>
      </c>
      <c r="Z788">
        <f t="shared" si="128"/>
        <v>1.5</v>
      </c>
      <c r="AA788" s="21">
        <f>IF(X788&gt;$B$8+$B$9,0,ABS(X788-O788)/X788)</f>
        <v>3.1489389980810347E-4</v>
      </c>
      <c r="AB788">
        <f>IF(OR(Z785&lt;&gt;Z791,X788&gt;$B$8+$B$9),0,((X791-X785)/(W791-W785)-(O791-O785)/(W791-W785))^2)</f>
        <v>9.3749913375966219E-7</v>
      </c>
    </row>
    <row r="789" spans="7:28" x14ac:dyDescent="0.2">
      <c r="G789" s="21"/>
      <c r="H789" s="21">
        <v>674</v>
      </c>
      <c r="I789">
        <f t="shared" si="134"/>
        <v>1.7192465171618723E-2</v>
      </c>
      <c r="J789">
        <f t="shared" si="135"/>
        <v>0.62744568084577246</v>
      </c>
      <c r="K789">
        <f t="shared" si="129"/>
        <v>25.518725668676048</v>
      </c>
      <c r="L789">
        <f>0.5*Z789*K789/J789/$B$7</f>
        <v>30.50310940973942</v>
      </c>
      <c r="M789">
        <f t="shared" si="132"/>
        <v>0.4660981761123183</v>
      </c>
      <c r="N789" s="21">
        <f t="shared" si="136"/>
        <v>5.4583537497958148E-2</v>
      </c>
      <c r="O789" s="21">
        <f t="shared" si="137"/>
        <v>15.748928733516816</v>
      </c>
      <c r="P789">
        <f t="shared" si="133"/>
        <v>0.55223115213786989</v>
      </c>
      <c r="Q789">
        <f t="shared" si="130"/>
        <v>0.62744568084577246</v>
      </c>
      <c r="R789">
        <f t="shared" si="131"/>
        <v>4.5464150609607943</v>
      </c>
      <c r="T789" s="21">
        <f>(M789-M788)/(H789-H788)</f>
        <v>9.3803870249253851E-4</v>
      </c>
      <c r="W789">
        <v>674</v>
      </c>
      <c r="X789">
        <v>15.744630999999998</v>
      </c>
      <c r="Y789">
        <v>1.5</v>
      </c>
      <c r="Z789">
        <f t="shared" si="128"/>
        <v>1.5</v>
      </c>
      <c r="AA789" s="21">
        <f>IF(X789&gt;$B$8+$B$9,0,ABS(X789-O789)/X789)</f>
        <v>2.7296502006418378E-4</v>
      </c>
      <c r="AB789">
        <f>IF(OR(Z786&lt;&gt;Z792,X789&gt;$B$8+$B$9),0,((X792-X786)/(W792-W786)-(O792-O786)/(W792-W786))^2)</f>
        <v>1.5322315149084798E-6</v>
      </c>
    </row>
    <row r="790" spans="7:28" x14ac:dyDescent="0.2">
      <c r="G790" s="21"/>
      <c r="H790" s="21">
        <v>675</v>
      </c>
      <c r="I790">
        <f t="shared" si="134"/>
        <v>1.7191603241051668E-2</v>
      </c>
      <c r="J790">
        <f t="shared" si="135"/>
        <v>0.62685693303950085</v>
      </c>
      <c r="K790">
        <f t="shared" si="129"/>
        <v>25.504810672336994</v>
      </c>
      <c r="L790">
        <f>0.5*Z790*K790/J790/$B$7</f>
        <v>30.51510958250401</v>
      </c>
      <c r="M790">
        <f t="shared" si="132"/>
        <v>0.46703694135603502</v>
      </c>
      <c r="N790" s="21">
        <f t="shared" si="136"/>
        <v>5.462852434333236E-2</v>
      </c>
      <c r="O790" s="21">
        <f t="shared" si="137"/>
        <v>15.766120336757869</v>
      </c>
      <c r="P790">
        <f t="shared" si="133"/>
        <v>0.55310384334734009</v>
      </c>
      <c r="Q790">
        <f t="shared" si="130"/>
        <v>0.62685693303950085</v>
      </c>
      <c r="R790">
        <f t="shared" si="131"/>
        <v>4.4342956857230567</v>
      </c>
      <c r="T790" s="21">
        <f>(M790-M789)/(H790-H789)</f>
        <v>9.3876524371672154E-4</v>
      </c>
      <c r="W790">
        <v>675</v>
      </c>
      <c r="X790">
        <v>15.762478999999999</v>
      </c>
      <c r="Y790">
        <v>1.5</v>
      </c>
      <c r="Z790">
        <f t="shared" si="128"/>
        <v>1.5</v>
      </c>
      <c r="AA790" s="21">
        <f>IF(X790&gt;$B$8+$B$9,0,ABS(X790-O790)/X790)</f>
        <v>2.3101294903356227E-4</v>
      </c>
      <c r="AB790">
        <f>IF(OR(Z787&lt;&gt;Z793,X790&gt;$B$8+$B$9),0,((X793-X787)/(W793-W787)-(O793-O787)/(W793-W787))^2)</f>
        <v>1.4859421473821232E-7</v>
      </c>
    </row>
    <row r="791" spans="7:28" x14ac:dyDescent="0.2">
      <c r="G791" s="21"/>
      <c r="H791" s="21">
        <v>676</v>
      </c>
      <c r="I791">
        <f t="shared" si="134"/>
        <v>1.7190840585982012E-2</v>
      </c>
      <c r="J791">
        <f t="shared" si="135"/>
        <v>0.62626827952569619</v>
      </c>
      <c r="K791">
        <f t="shared" si="129"/>
        <v>25.490945328755146</v>
      </c>
      <c r="L791">
        <f>0.5*Z791*K791/J791/$B$7</f>
        <v>30.527187184133805</v>
      </c>
      <c r="M791">
        <f t="shared" si="132"/>
        <v>0.46797643814566192</v>
      </c>
      <c r="N791" s="21">
        <f t="shared" si="136"/>
        <v>5.4673491403599048E-2</v>
      </c>
      <c r="O791" s="21">
        <f t="shared" si="137"/>
        <v>15.783311177343851</v>
      </c>
      <c r="P791">
        <f t="shared" si="133"/>
        <v>0.55397639478863414</v>
      </c>
      <c r="Q791">
        <f t="shared" si="130"/>
        <v>0.62626827952569619</v>
      </c>
      <c r="R791">
        <f t="shared" si="131"/>
        <v>4.3275898624327569</v>
      </c>
      <c r="T791" s="21">
        <f>(M791-M790)/(H791-H790)</f>
        <v>9.3949678962690353E-4</v>
      </c>
      <c r="W791">
        <v>676</v>
      </c>
      <c r="X791">
        <v>15.783570999999998</v>
      </c>
      <c r="Y791">
        <v>1.5</v>
      </c>
      <c r="Z791">
        <f t="shared" si="128"/>
        <v>1.5</v>
      </c>
      <c r="AA791" s="21">
        <f>IF(X791&gt;$B$8+$B$9,0,ABS(X791-O791)/X791)</f>
        <v>1.6461588834835594E-5</v>
      </c>
      <c r="AB791">
        <f>IF(OR(Z788&lt;&gt;Z794,X791&gt;$B$8+$B$9),0,((X794-X788)/(W794-W788)-(O794-O788)/(W794-W788))^2)</f>
        <v>8.59377135832813E-7</v>
      </c>
    </row>
    <row r="792" spans="7:28" x14ac:dyDescent="0.2">
      <c r="G792" s="21"/>
      <c r="H792" s="21">
        <v>677</v>
      </c>
      <c r="I792">
        <f t="shared" si="134"/>
        <v>1.7190176980680899E-2</v>
      </c>
      <c r="J792">
        <f t="shared" si="135"/>
        <v>0.62567971794073329</v>
      </c>
      <c r="K792">
        <f t="shared" si="129"/>
        <v>25.477129391900938</v>
      </c>
      <c r="L792">
        <f>0.5*Z792*K792/J792/$B$7</f>
        <v>30.539342248162292</v>
      </c>
      <c r="M792">
        <f t="shared" si="132"/>
        <v>0.46891667149323429</v>
      </c>
      <c r="N792" s="21">
        <f t="shared" si="136"/>
        <v>5.4718439042229103E-2</v>
      </c>
      <c r="O792" s="21">
        <f t="shared" si="137"/>
        <v>15.800501354324531</v>
      </c>
      <c r="P792">
        <f t="shared" si="133"/>
        <v>0.55484880996531505</v>
      </c>
      <c r="Q792">
        <f t="shared" si="130"/>
        <v>0.62567971794073329</v>
      </c>
      <c r="R792">
        <f t="shared" si="131"/>
        <v>4.2259143581563192</v>
      </c>
      <c r="T792" s="21">
        <f>(M792-M791)/(H792-H791)</f>
        <v>9.4023334757237231E-4</v>
      </c>
      <c r="W792">
        <v>677</v>
      </c>
      <c r="X792">
        <v>15.790060999999998</v>
      </c>
      <c r="Y792">
        <v>1.5</v>
      </c>
      <c r="Z792">
        <f t="shared" si="128"/>
        <v>1.5</v>
      </c>
      <c r="AA792" s="21">
        <f>IF(X792&gt;$B$8+$B$9,0,ABS(X792-O792)/X792)</f>
        <v>6.6119784619788843E-4</v>
      </c>
      <c r="AB792">
        <f>IF(OR(Z789&lt;&gt;Z795,X792&gt;$B$8+$B$9),0,((X795-X789)/(W795-W789)-(O795-O789)/(W795-W789))^2)</f>
        <v>1.3566141191704592E-8</v>
      </c>
    </row>
    <row r="793" spans="7:28" x14ac:dyDescent="0.2">
      <c r="G793" s="21"/>
      <c r="H793" s="21">
        <v>678</v>
      </c>
      <c r="I793">
        <f t="shared" si="134"/>
        <v>1.718961220401944E-2</v>
      </c>
      <c r="J793">
        <f t="shared" si="135"/>
        <v>0.62509124592714049</v>
      </c>
      <c r="K793">
        <f t="shared" si="129"/>
        <v>25.463362617780906</v>
      </c>
      <c r="L793">
        <f>0.5*Z793*K793/J793/$B$7</f>
        <v>30.551574810506388</v>
      </c>
      <c r="M793">
        <f t="shared" si="132"/>
        <v>0.46985764641832223</v>
      </c>
      <c r="N793" s="21">
        <f t="shared" si="136"/>
        <v>5.4763367621880346E-2</v>
      </c>
      <c r="O793" s="21">
        <f t="shared" si="137"/>
        <v>15.81769096652855</v>
      </c>
      <c r="P793">
        <f t="shared" si="133"/>
        <v>0.55572109237182421</v>
      </c>
      <c r="Q793">
        <f t="shared" si="130"/>
        <v>0.62509124592714049</v>
      </c>
      <c r="R793">
        <f t="shared" si="131"/>
        <v>4.1289212795720687</v>
      </c>
      <c r="T793" s="21">
        <f>(M793-M792)/(H793-H792)</f>
        <v>9.4097492508793401E-4</v>
      </c>
      <c r="W793">
        <v>678</v>
      </c>
      <c r="X793">
        <v>15.817643</v>
      </c>
      <c r="Y793">
        <v>1.5</v>
      </c>
      <c r="Z793">
        <f t="shared" si="128"/>
        <v>1.5</v>
      </c>
      <c r="AA793" s="21">
        <f>IF(X793&gt;$B$8+$B$9,0,ABS(X793-O793)/X793)</f>
        <v>3.0324700431026257E-6</v>
      </c>
      <c r="AB793">
        <f>IF(OR(Z790&lt;&gt;Z796,X793&gt;$B$8+$B$9),0,((X796-X790)/(W796-W790)-(O796-O790)/(W796-W790))^2)</f>
        <v>4.3251168004626828E-7</v>
      </c>
    </row>
    <row r="794" spans="7:28" x14ac:dyDescent="0.2">
      <c r="G794" s="21"/>
      <c r="H794" s="21">
        <v>679</v>
      </c>
      <c r="I794">
        <f t="shared" si="134"/>
        <v>1.7189146039435926E-2</v>
      </c>
      <c r="J794">
        <f t="shared" si="135"/>
        <v>0.62450286113350162</v>
      </c>
      <c r="K794">
        <f t="shared" si="129"/>
        <v>25.449644764417624</v>
      </c>
      <c r="L794">
        <f>0.5*Z794*K794/J794/$B$7</f>
        <v>30.563884909460629</v>
      </c>
      <c r="M794">
        <f t="shared" si="132"/>
        <v>0.47079936794821403</v>
      </c>
      <c r="N794" s="21">
        <f t="shared" si="136"/>
        <v>5.4808277504416428E-2</v>
      </c>
      <c r="O794" s="21">
        <f t="shared" si="137"/>
        <v>15.834880112567987</v>
      </c>
      <c r="P794">
        <f t="shared" si="133"/>
        <v>0.55659324549362732</v>
      </c>
      <c r="Q794">
        <f t="shared" si="130"/>
        <v>0.62450286113350162</v>
      </c>
      <c r="R794">
        <f t="shared" si="131"/>
        <v>4.0362940912257619</v>
      </c>
      <c r="T794" s="21">
        <f>(M794-M793)/(H794-H793)</f>
        <v>9.4172152989180358E-4</v>
      </c>
      <c r="W794">
        <v>679</v>
      </c>
      <c r="X794">
        <v>15.83549</v>
      </c>
      <c r="Y794">
        <v>1.5</v>
      </c>
      <c r="Z794">
        <f t="shared" si="128"/>
        <v>1.5</v>
      </c>
      <c r="AA794" s="21">
        <f>IF(X794&gt;$B$8+$B$9,0,ABS(X794-O794)/X794)</f>
        <v>3.8513960225611435E-5</v>
      </c>
      <c r="AB794">
        <f>IF(OR(Z791&lt;&gt;Z797,X794&gt;$B$8+$B$9),0,((X797-X791)/(W797-W791)-(O797-O791)/(W797-W791))^2)</f>
        <v>1.7943121635590451E-7</v>
      </c>
    </row>
    <row r="795" spans="7:28" x14ac:dyDescent="0.2">
      <c r="G795" s="21"/>
      <c r="H795" s="21">
        <v>680</v>
      </c>
      <c r="I795">
        <f t="shared" si="134"/>
        <v>1.7188778274903494E-2</v>
      </c>
      <c r="J795">
        <f t="shared" si="135"/>
        <v>0.62391456121435729</v>
      </c>
      <c r="K795">
        <f t="shared" si="129"/>
        <v>25.435975591829898</v>
      </c>
      <c r="L795">
        <f>0.5*Z795*K795/J795/$B$7</f>
        <v>30.576272585691704</v>
      </c>
      <c r="M795">
        <f t="shared" si="132"/>
        <v>0.4717418411181008</v>
      </c>
      <c r="N795" s="21">
        <f t="shared" si="136"/>
        <v>5.4853169050925542E-2</v>
      </c>
      <c r="O795" s="21">
        <f t="shared" si="137"/>
        <v>15.85206889084289</v>
      </c>
      <c r="P795">
        <f t="shared" si="133"/>
        <v>0.55746527280736025</v>
      </c>
      <c r="Q795">
        <f t="shared" si="130"/>
        <v>0.62391456121435729</v>
      </c>
      <c r="R795">
        <f t="shared" si="131"/>
        <v>3.9477441602739956</v>
      </c>
      <c r="T795" s="21">
        <f>(M795-M794)/(H795-H794)</f>
        <v>9.4247316988677055E-4</v>
      </c>
      <c r="W795">
        <v>680</v>
      </c>
      <c r="X795">
        <v>15.848469999999999</v>
      </c>
      <c r="Y795">
        <v>1.5</v>
      </c>
      <c r="Z795">
        <f t="shared" si="128"/>
        <v>1.5</v>
      </c>
      <c r="AA795" s="21">
        <f>IF(X795&gt;$B$8+$B$9,0,ABS(X795-O795)/X795)</f>
        <v>2.270812793216773E-4</v>
      </c>
      <c r="AB795">
        <f>IF(OR(Z792&lt;&gt;Z798,X795&gt;$B$8+$B$9),0,((X798-X792)/(W798-W792)-(O798-O792)/(W798-W792))^2)</f>
        <v>3.0278055146932803E-6</v>
      </c>
    </row>
    <row r="796" spans="7:28" x14ac:dyDescent="0.2">
      <c r="G796" s="21"/>
      <c r="H796" s="21">
        <v>681</v>
      </c>
      <c r="I796">
        <f t="shared" si="134"/>
        <v>1.7188508702898651E-2</v>
      </c>
      <c r="J796">
        <f t="shared" si="135"/>
        <v>0.62332634383010777</v>
      </c>
      <c r="K796">
        <f t="shared" si="129"/>
        <v>25.422354862013211</v>
      </c>
      <c r="L796">
        <f>0.5*Z796*K796/J796/$B$7</f>
        <v>30.588737882233161</v>
      </c>
      <c r="M796">
        <f t="shared" si="132"/>
        <v>0.47268507097126078</v>
      </c>
      <c r="N796" s="21">
        <f t="shared" si="136"/>
        <v>5.4898042621739127E-2</v>
      </c>
      <c r="O796" s="21">
        <f t="shared" si="137"/>
        <v>15.86925739954579</v>
      </c>
      <c r="P796">
        <f t="shared" si="133"/>
        <v>0.55833717778097358</v>
      </c>
      <c r="Q796">
        <f t="shared" si="130"/>
        <v>0.62332634383010777</v>
      </c>
      <c r="R796">
        <f t="shared" si="131"/>
        <v>3.8630077482492591</v>
      </c>
      <c r="T796" s="21">
        <f>(M796-M795)/(H796-H795)</f>
        <v>9.4322985315997698E-4</v>
      </c>
      <c r="W796">
        <v>681</v>
      </c>
      <c r="X796">
        <v>15.869561999999998</v>
      </c>
      <c r="Y796">
        <v>1.5</v>
      </c>
      <c r="Z796">
        <f t="shared" si="128"/>
        <v>1.5</v>
      </c>
      <c r="AA796" s="21">
        <f>IF(X796&gt;$B$8+$B$9,0,ABS(X796-O796)/X796)</f>
        <v>1.9194005115508606E-5</v>
      </c>
      <c r="AB796">
        <f>IF(OR(Z793&lt;&gt;Z799,X796&gt;$B$8+$B$9),0,((X799-X793)/(W799-W793)-(O799-O793)/(W799-W793))^2)</f>
        <v>4.807852081967804E-7</v>
      </c>
    </row>
    <row r="797" spans="7:28" x14ac:dyDescent="0.2">
      <c r="G797" s="21"/>
      <c r="H797" s="21">
        <v>682</v>
      </c>
      <c r="I797">
        <f t="shared" si="134"/>
        <v>1.7188337120370184E-2</v>
      </c>
      <c r="J797">
        <f t="shared" si="135"/>
        <v>0.62273820664691537</v>
      </c>
      <c r="K797">
        <f t="shared" si="129"/>
        <v>25.408782338920421</v>
      </c>
      <c r="L797">
        <f>0.5*Z797*K797/J797/$B$7</f>
        <v>30.601280844480382</v>
      </c>
      <c r="M797">
        <f t="shared" si="132"/>
        <v>0.47362906255924442</v>
      </c>
      <c r="N797" s="21">
        <f t="shared" si="136"/>
        <v>5.4942898576450364E-2</v>
      </c>
      <c r="O797" s="21">
        <f t="shared" si="137"/>
        <v>15.886445736666159</v>
      </c>
      <c r="P797">
        <f t="shared" si="133"/>
        <v>0.55920896387387609</v>
      </c>
      <c r="Q797">
        <f t="shared" si="130"/>
        <v>0.62273820664691537</v>
      </c>
      <c r="R797">
        <f t="shared" si="131"/>
        <v>3.7818433837987642</v>
      </c>
      <c r="T797" s="21">
        <f>(M797-M796)/(H797-H796)</f>
        <v>9.4399158798363914E-4</v>
      </c>
      <c r="W797">
        <v>682</v>
      </c>
      <c r="X797">
        <v>15.884163999999998</v>
      </c>
      <c r="Y797">
        <v>1.5</v>
      </c>
      <c r="Z797">
        <f t="shared" si="128"/>
        <v>1.5</v>
      </c>
      <c r="AA797" s="21">
        <f>IF(X797&gt;$B$8+$B$9,0,ABS(X797-O797)/X797)</f>
        <v>1.4364852101507756E-4</v>
      </c>
      <c r="AB797">
        <f>IF(OR(Z794&lt;&gt;Z800,X797&gt;$B$8+$B$9),0,((X800-X794)/(W800-W794)-(O800-O794)/(W800-W794))^2)</f>
        <v>1.787292455531262E-7</v>
      </c>
    </row>
    <row r="798" spans="7:28" x14ac:dyDescent="0.2">
      <c r="G798" s="21"/>
      <c r="H798" s="21">
        <v>683</v>
      </c>
      <c r="I798">
        <f t="shared" si="134"/>
        <v>1.7188263328708799E-2</v>
      </c>
      <c r="J798">
        <f t="shared" si="135"/>
        <v>0.62215014733660956</v>
      </c>
      <c r="K798">
        <f t="shared" si="129"/>
        <v>25.395257788442699</v>
      </c>
      <c r="L798">
        <f>0.5*Z798*K798/J798/$B$7</f>
        <v>30.613901520185753</v>
      </c>
      <c r="M798">
        <f t="shared" si="132"/>
        <v>0.47457382094205736</v>
      </c>
      <c r="N798" s="21">
        <f t="shared" si="136"/>
        <v>5.4987737273932615E-2</v>
      </c>
      <c r="O798" s="21">
        <f t="shared" si="137"/>
        <v>15.903633999994868</v>
      </c>
      <c r="P798">
        <f t="shared" si="133"/>
        <v>0.56008063453707713</v>
      </c>
      <c r="Q798">
        <f t="shared" si="130"/>
        <v>0.62215014733660956</v>
      </c>
      <c r="R798">
        <f t="shared" si="131"/>
        <v>3.7040295612713758</v>
      </c>
      <c r="T798" s="21">
        <f>(M798-M797)/(H798-H797)</f>
        <v>9.44758382812938E-4</v>
      </c>
      <c r="W798">
        <v>683</v>
      </c>
      <c r="X798">
        <v>15.903634</v>
      </c>
      <c r="Y798">
        <v>1.5</v>
      </c>
      <c r="Z798">
        <f t="shared" si="128"/>
        <v>1.5</v>
      </c>
      <c r="AA798" s="21">
        <f>IF(X798&gt;$B$8+$B$9,0,ABS(X798-O798)/X798)</f>
        <v>3.2268693488716627E-13</v>
      </c>
      <c r="AB798">
        <f>IF(OR(Z795&lt;&gt;Z801,X798&gt;$B$8+$B$9),0,((X801-X795)/(W801-W795)-(O801-O795)/(W801-W795))^2)</f>
        <v>8.6352680834750916E-7</v>
      </c>
    </row>
    <row r="799" spans="7:28" x14ac:dyDescent="0.2">
      <c r="G799" s="21"/>
      <c r="H799" s="21">
        <v>684</v>
      </c>
      <c r="I799">
        <f t="shared" si="134"/>
        <v>1.7188287133717246E-2</v>
      </c>
      <c r="J799">
        <f t="shared" si="135"/>
        <v>0.62156216357659089</v>
      </c>
      <c r="K799">
        <f t="shared" si="129"/>
        <v>25.381780978390722</v>
      </c>
      <c r="L799">
        <f>0.5*Z799*K799/J799/$B$7</f>
        <v>30.626599959454133</v>
      </c>
      <c r="M799">
        <f t="shared" si="132"/>
        <v>0.47551935118834571</v>
      </c>
      <c r="N799" s="21">
        <f t="shared" si="136"/>
        <v>5.5032559072357663E-2</v>
      </c>
      <c r="O799" s="21">
        <f t="shared" si="137"/>
        <v>15.920822287128585</v>
      </c>
      <c r="P799">
        <f t="shared" si="133"/>
        <v>0.56095219321332779</v>
      </c>
      <c r="Q799">
        <f t="shared" si="130"/>
        <v>0.62156216357659089</v>
      </c>
      <c r="R799">
        <f t="shared" si="131"/>
        <v>3.629362718958399</v>
      </c>
      <c r="T799" s="21">
        <f>(M799-M798)/(H799-H798)</f>
        <v>9.4553024628835081E-4</v>
      </c>
      <c r="W799">
        <v>684</v>
      </c>
      <c r="X799">
        <v>15.916613999999999</v>
      </c>
      <c r="Y799">
        <v>1.5</v>
      </c>
      <c r="Z799">
        <f t="shared" si="128"/>
        <v>1.5</v>
      </c>
      <c r="AA799" s="21">
        <f>IF(X799&gt;$B$8+$B$9,0,ABS(X799-O799)/X799)</f>
        <v>2.6439587770275813E-4</v>
      </c>
      <c r="AB799">
        <f>IF(OR(Z796&lt;&gt;Z802,X799&gt;$B$8+$B$9),0,((X802-X796)/(W802-W796)-(O802-O796)/(W802-W796))^2)</f>
        <v>4.3387142715869866E-7</v>
      </c>
    </row>
    <row r="800" spans="7:28" x14ac:dyDescent="0.2">
      <c r="G800" s="21"/>
      <c r="H800" s="21">
        <v>685</v>
      </c>
      <c r="I800">
        <f t="shared" si="134"/>
        <v>1.7188408345581316E-2</v>
      </c>
      <c r="J800">
        <f t="shared" si="135"/>
        <v>0.62097425304973575</v>
      </c>
      <c r="K800">
        <f t="shared" si="129"/>
        <v>25.368351678476092</v>
      </c>
      <c r="L800">
        <f>0.5*Z800*K800/J800/$B$7</f>
        <v>30.639376214738483</v>
      </c>
      <c r="M800">
        <f t="shared" si="132"/>
        <v>0.47646565837558147</v>
      </c>
      <c r="N800" s="21">
        <f t="shared" si="136"/>
        <v>5.5077364329214167E-2</v>
      </c>
      <c r="O800" s="21">
        <f t="shared" si="137"/>
        <v>15.938010695474166</v>
      </c>
      <c r="P800">
        <f t="shared" si="133"/>
        <v>0.56182364333726187</v>
      </c>
      <c r="Q800">
        <f t="shared" si="130"/>
        <v>0.62097425304973575</v>
      </c>
      <c r="R800">
        <f t="shared" si="131"/>
        <v>3.5576554581296023</v>
      </c>
      <c r="T800" s="21">
        <f>(M800-M799)/(H800-H799)</f>
        <v>9.4630718723576202E-4</v>
      </c>
      <c r="W800">
        <v>685</v>
      </c>
      <c r="X800">
        <v>15.936084000000001</v>
      </c>
      <c r="Y800">
        <v>1.5</v>
      </c>
      <c r="Z800">
        <f t="shared" si="128"/>
        <v>1.5</v>
      </c>
      <c r="AA800" s="21">
        <f>IF(X800&gt;$B$8+$B$9,0,ABS(X800-O800)/X800)</f>
        <v>1.2090143815535702E-4</v>
      </c>
      <c r="AB800">
        <f>IF(OR(Z797&lt;&gt;Z803,X800&gt;$B$8+$B$9),0,((X803-X797)/(W803-W797)-(O803-O797)/(W803-W797))^2)</f>
        <v>1.4388472593804627E-6</v>
      </c>
    </row>
    <row r="801" spans="7:28" x14ac:dyDescent="0.2">
      <c r="G801" s="21"/>
      <c r="H801" s="21">
        <v>686</v>
      </c>
      <c r="I801">
        <f t="shared" si="134"/>
        <v>1.7188626778840928E-2</v>
      </c>
      <c r="J801">
        <f t="shared" si="135"/>
        <v>0.62038641344430379</v>
      </c>
      <c r="K801">
        <f t="shared" si="129"/>
        <v>25.354969660292998</v>
      </c>
      <c r="L801">
        <f>0.5*Z801*K801/J801/$B$7</f>
        <v>30.652230340835732</v>
      </c>
      <c r="M801">
        <f t="shared" si="132"/>
        <v>0.47741274759024482</v>
      </c>
      <c r="N801" s="21">
        <f t="shared" si="136"/>
        <v>5.5122153401325501E-2</v>
      </c>
      <c r="O801" s="21">
        <f t="shared" si="137"/>
        <v>15.955199322253007</v>
      </c>
      <c r="P801">
        <f t="shared" si="133"/>
        <v>0.56269498833553466</v>
      </c>
      <c r="Q801">
        <f t="shared" si="130"/>
        <v>0.62038641344430379</v>
      </c>
      <c r="R801">
        <f t="shared" si="131"/>
        <v>3.4887349700568726</v>
      </c>
      <c r="T801" s="21">
        <f>(M801-M800)/(H801-H800)</f>
        <v>9.4708921466335472E-4</v>
      </c>
      <c r="W801">
        <v>686</v>
      </c>
      <c r="X801">
        <v>15.957176</v>
      </c>
      <c r="Y801">
        <v>1.5</v>
      </c>
      <c r="Z801">
        <f t="shared" si="128"/>
        <v>1.5</v>
      </c>
      <c r="AA801" s="21">
        <f>IF(X801&gt;$B$8+$B$9,0,ABS(X801-O801)/X801)</f>
        <v>1.2387390770106287E-4</v>
      </c>
      <c r="AB801">
        <f>IF(OR(Z798&lt;&gt;Z804,X801&gt;$B$8+$B$9),0,((X804-X798)/(W804-W798)-(O804-O798)/(W804-W798))^2)</f>
        <v>1.7913812415592982E-7</v>
      </c>
    </row>
    <row r="802" spans="7:28" x14ac:dyDescent="0.2">
      <c r="G802" s="21"/>
      <c r="H802" s="21">
        <v>687</v>
      </c>
      <c r="I802">
        <f t="shared" si="134"/>
        <v>1.7188942252362231E-2</v>
      </c>
      <c r="J802">
        <f t="shared" si="135"/>
        <v>0.6197986424538432</v>
      </c>
      <c r="K802">
        <f t="shared" si="129"/>
        <v>25.341634697300108</v>
      </c>
      <c r="L802">
        <f>0.5*Z802*K802/J802/$B$7</f>
        <v>30.665162394882927</v>
      </c>
      <c r="M802">
        <f t="shared" si="132"/>
        <v>0.47836062392801082</v>
      </c>
      <c r="N802" s="21">
        <f t="shared" si="136"/>
        <v>5.5166926644867949E-2</v>
      </c>
      <c r="O802" s="21">
        <f t="shared" si="137"/>
        <v>15.972388264505369</v>
      </c>
      <c r="P802">
        <f t="shared" si="133"/>
        <v>0.56356623162696173</v>
      </c>
      <c r="Q802">
        <f t="shared" si="130"/>
        <v>0.6197986424538432</v>
      </c>
      <c r="R802">
        <f t="shared" si="131"/>
        <v>3.4224416432285389</v>
      </c>
      <c r="T802" s="21">
        <f>(M802-M801)/(H802-H801)</f>
        <v>9.47876337765996E-4</v>
      </c>
      <c r="W802">
        <v>687</v>
      </c>
      <c r="X802">
        <v>15.976644999999998</v>
      </c>
      <c r="Y802">
        <v>1.5</v>
      </c>
      <c r="Z802">
        <f t="shared" si="128"/>
        <v>1.5</v>
      </c>
      <c r="AA802" s="21">
        <f>IF(X802&gt;$B$8+$B$9,0,ABS(X802-O802)/X802)</f>
        <v>2.6643488007830008E-4</v>
      </c>
      <c r="AB802">
        <f>IF(OR(Z799&lt;&gt;Z805,X802&gt;$B$8+$B$9),0,((X805-X799)/(W805-W799)-(O805-O799)/(W805-W799))^2)</f>
        <v>4.3281821028922332E-7</v>
      </c>
    </row>
    <row r="803" spans="7:28" x14ac:dyDescent="0.2">
      <c r="G803" s="21"/>
      <c r="H803" s="21">
        <v>688</v>
      </c>
      <c r="I803">
        <f t="shared" si="134"/>
        <v>1.7189354589310143E-2</v>
      </c>
      <c r="J803">
        <f t="shared" si="135"/>
        <v>0.61921093777709812</v>
      </c>
      <c r="K803">
        <f t="shared" si="129"/>
        <v>25.32834656480269</v>
      </c>
      <c r="L803">
        <f>0.5*Z803*K803/J803/$B$7</f>
        <v>30.67817243635357</v>
      </c>
      <c r="M803">
        <f t="shared" si="132"/>
        <v>0.47930929249393428</v>
      </c>
      <c r="N803" s="21">
        <f t="shared" si="136"/>
        <v>5.5211684415388644E-2</v>
      </c>
      <c r="O803" s="21">
        <f t="shared" si="137"/>
        <v>15.98957761909468</v>
      </c>
      <c r="P803">
        <f t="shared" si="133"/>
        <v>0.56443737662265669</v>
      </c>
      <c r="Q803">
        <f t="shared" si="130"/>
        <v>0.61921093777709812</v>
      </c>
      <c r="R803">
        <f t="shared" si="131"/>
        <v>3.3586278271237857</v>
      </c>
      <c r="T803" s="21">
        <f>(M803-M802)/(H803-H802)</f>
        <v>9.486685659234606E-4</v>
      </c>
      <c r="W803">
        <v>688</v>
      </c>
      <c r="X803">
        <v>15.994492999999999</v>
      </c>
      <c r="Y803">
        <v>1.5</v>
      </c>
      <c r="Z803">
        <f t="shared" si="128"/>
        <v>1.5</v>
      </c>
      <c r="AA803" s="21">
        <f>IF(X803&gt;$B$8+$B$9,0,ABS(X803-O803)/X803)</f>
        <v>3.0731708128031325E-4</v>
      </c>
      <c r="AB803">
        <f>IF(OR(Z800&lt;&gt;Z806,X803&gt;$B$8+$B$9),0,((X806-X800)/(W806-W800)-(O806-O800)/(W806-W800))^2)</f>
        <v>1.5262244768593193E-6</v>
      </c>
    </row>
    <row r="804" spans="7:28" x14ac:dyDescent="0.2">
      <c r="G804" s="21"/>
      <c r="H804" s="21">
        <v>689</v>
      </c>
      <c r="I804">
        <f t="shared" si="134"/>
        <v>1.7189863617121295E-2</v>
      </c>
      <c r="J804">
        <f t="shared" si="135"/>
        <v>0.61862329711791708</v>
      </c>
      <c r="K804">
        <f t="shared" si="129"/>
        <v>25.315105039934959</v>
      </c>
      <c r="L804">
        <f>0.5*Z804*K804/J804/$B$7</f>
        <v>30.691260527054148</v>
      </c>
      <c r="M804">
        <f t="shared" si="132"/>
        <v>0.4802587584026336</v>
      </c>
      <c r="N804" s="21">
        <f t="shared" si="136"/>
        <v>5.5256427067823362E-2</v>
      </c>
      <c r="O804" s="21">
        <f t="shared" si="137"/>
        <v>16.006767482711801</v>
      </c>
      <c r="P804">
        <f t="shared" si="133"/>
        <v>0.56530842672616721</v>
      </c>
      <c r="Q804">
        <f t="shared" si="130"/>
        <v>0.61862329711791708</v>
      </c>
      <c r="R804">
        <f t="shared" si="131"/>
        <v>3.2971567323931006</v>
      </c>
      <c r="T804" s="21">
        <f>(M804-M803)/(H804-H803)</f>
        <v>9.4946590869932068E-4</v>
      </c>
      <c r="W804">
        <v>689</v>
      </c>
      <c r="X804">
        <v>16.004227999999998</v>
      </c>
      <c r="Y804">
        <v>1.5</v>
      </c>
      <c r="Z804">
        <f t="shared" si="128"/>
        <v>1.5</v>
      </c>
      <c r="AA804" s="21">
        <f>IF(X804&gt;$B$8+$B$9,0,ABS(X804-O804)/X804)</f>
        <v>1.5867573942357526E-4</v>
      </c>
      <c r="AB804">
        <f>IF(OR(Z801&lt;&gt;Z807,X804&gt;$B$8+$B$9),0,((X807-X801)/(W807-W801)-(O807-O801)/(W807-W801))^2)</f>
        <v>1.4941189780108444E-7</v>
      </c>
    </row>
    <row r="805" spans="7:28" x14ac:dyDescent="0.2">
      <c r="G805" s="21"/>
      <c r="H805" s="21">
        <v>690</v>
      </c>
      <c r="I805">
        <f t="shared" si="134"/>
        <v>1.7190469167477729E-2</v>
      </c>
      <c r="J805">
        <f t="shared" si="135"/>
        <v>0.61803571818516101</v>
      </c>
      <c r="K805">
        <f t="shared" si="129"/>
        <v>25.301909901642645</v>
      </c>
      <c r="L805">
        <f>0.5*Z805*K805/J805/$B$7</f>
        <v>30.704426731120936</v>
      </c>
      <c r="M805">
        <f t="shared" si="132"/>
        <v>0.48120902677847666</v>
      </c>
      <c r="N805" s="21">
        <f t="shared" si="136"/>
        <v>5.5301154956514262E-2</v>
      </c>
      <c r="O805" s="21">
        <f t="shared" si="137"/>
        <v>16.023957951879279</v>
      </c>
      <c r="P805">
        <f t="shared" si="133"/>
        <v>0.56617938533361123</v>
      </c>
      <c r="Q805">
        <f t="shared" si="130"/>
        <v>0.61803571818516101</v>
      </c>
      <c r="R805">
        <f t="shared" si="131"/>
        <v>3.2379014502020618</v>
      </c>
      <c r="T805" s="21">
        <f>(M805-M804)/(H805-H804)</f>
        <v>9.5026837584305524E-4</v>
      </c>
      <c r="W805">
        <v>690</v>
      </c>
      <c r="X805">
        <v>16.023696999999999</v>
      </c>
      <c r="Y805">
        <v>1.5</v>
      </c>
      <c r="Z805">
        <f t="shared" si="128"/>
        <v>1.5</v>
      </c>
      <c r="AA805" s="21">
        <f>IF(X805&gt;$B$8+$B$9,0,ABS(X805-O805)/X805)</f>
        <v>1.6285372800060652E-5</v>
      </c>
      <c r="AB805">
        <f>IF(OR(Z802&lt;&gt;Z808,X805&gt;$B$8+$B$9),0,((X808-X802)/(W808-W802)-(O808-O802)/(W808-W802))^2)</f>
        <v>4.1934104148134153E-6</v>
      </c>
    </row>
    <row r="806" spans="7:28" x14ac:dyDescent="0.2">
      <c r="G806" s="21"/>
      <c r="H806" s="21">
        <v>691</v>
      </c>
      <c r="I806">
        <f t="shared" si="134"/>
        <v>1.7191171076281032E-2</v>
      </c>
      <c r="J806">
        <f t="shared" si="135"/>
        <v>0.61744819869261258</v>
      </c>
      <c r="K806">
        <f t="shared" si="129"/>
        <v>25.288760930665784</v>
      </c>
      <c r="L806">
        <f>0.5*Z806*K806/J806/$B$7</f>
        <v>30.717671115016991</v>
      </c>
      <c r="M806">
        <f t="shared" si="132"/>
        <v>0.48216010275576604</v>
      </c>
      <c r="N806" s="21">
        <f t="shared" si="136"/>
        <v>5.5345868435227652E-2</v>
      </c>
      <c r="O806" s="21">
        <f t="shared" si="137"/>
        <v>16.041149122955559</v>
      </c>
      <c r="P806">
        <f t="shared" si="133"/>
        <v>0.5670502558338113</v>
      </c>
      <c r="Q806">
        <f t="shared" si="130"/>
        <v>0.61744819869261258</v>
      </c>
      <c r="R806">
        <f t="shared" si="131"/>
        <v>3.1807440759427976</v>
      </c>
      <c r="T806" s="21">
        <f>(M806-M805)/(H806-H805)</f>
        <v>9.5107597728938398E-4</v>
      </c>
      <c r="W806">
        <v>691</v>
      </c>
      <c r="X806">
        <v>16.03181</v>
      </c>
      <c r="Y806">
        <v>1.5</v>
      </c>
      <c r="Z806">
        <f t="shared" si="128"/>
        <v>1.5</v>
      </c>
      <c r="AA806" s="21">
        <f>IF(X806&gt;$B$8+$B$9,0,ABS(X806-O806)/X806)</f>
        <v>5.8253702829307952E-4</v>
      </c>
      <c r="AB806">
        <f>IF(OR(Z803&lt;&gt;Z809,X806&gt;$B$8+$B$9),0,((X809-X803)/(W809-W803)-(O809-O803)/(W809-W803))^2)</f>
        <v>2.2736567343005505E-6</v>
      </c>
    </row>
    <row r="807" spans="7:28" x14ac:dyDescent="0.2">
      <c r="G807" s="21"/>
      <c r="H807" s="21">
        <v>692</v>
      </c>
      <c r="I807">
        <f t="shared" si="134"/>
        <v>1.7191969183627032E-2</v>
      </c>
      <c r="J807">
        <f t="shared" si="135"/>
        <v>0.61686073635888505</v>
      </c>
      <c r="K807">
        <f t="shared" si="129"/>
        <v>25.275657909521716</v>
      </c>
      <c r="L807">
        <f>0.5*Z807*K807/J807/$B$7</f>
        <v>30.730993747529414</v>
      </c>
      <c r="M807">
        <f t="shared" si="132"/>
        <v>0.48311199147892586</v>
      </c>
      <c r="N807" s="21">
        <f t="shared" si="136"/>
        <v>5.5390567857171481E-2</v>
      </c>
      <c r="O807" s="21">
        <f t="shared" si="137"/>
        <v>16.058341092139187</v>
      </c>
      <c r="P807">
        <f t="shared" si="133"/>
        <v>0.56792104160842904</v>
      </c>
      <c r="Q807">
        <f t="shared" si="130"/>
        <v>0.61686073635888505</v>
      </c>
      <c r="R807">
        <f t="shared" si="131"/>
        <v>3.1255749245801425</v>
      </c>
      <c r="T807" s="21">
        <f>(M807-M806)/(H807-H806)</f>
        <v>9.5188872315982165E-4</v>
      </c>
      <c r="W807">
        <v>692</v>
      </c>
      <c r="X807">
        <v>16.062636999999999</v>
      </c>
      <c r="Y807">
        <v>1.5</v>
      </c>
      <c r="Z807">
        <f t="shared" si="128"/>
        <v>1.5</v>
      </c>
      <c r="AA807" s="21">
        <f>IF(X807&gt;$B$8+$B$9,0,ABS(X807-O807)/X807)</f>
        <v>2.6744723552000549E-4</v>
      </c>
      <c r="AB807">
        <f>IF(OR(Z804&lt;&gt;Z810,X807&gt;$B$8+$B$9),0,((X810-X804)/(W810-W804)-(O810-O804)/(W810-W804))^2)</f>
        <v>1.533166190200679E-6</v>
      </c>
    </row>
    <row r="808" spans="7:28" x14ac:dyDescent="0.2">
      <c r="G808" s="21"/>
      <c r="H808" s="21">
        <v>693</v>
      </c>
      <c r="I808">
        <f t="shared" si="134"/>
        <v>1.7192863333781089E-2</v>
      </c>
      <c r="J808">
        <f t="shared" si="135"/>
        <v>0.61627332890733399</v>
      </c>
      <c r="K808">
        <f t="shared" si="129"/>
        <v>25.262600622488304</v>
      </c>
      <c r="L808">
        <f>0.5*Z808*K808/J808/$B$7</f>
        <v>30.744394699766712</v>
      </c>
      <c r="M808">
        <f t="shared" si="132"/>
        <v>0.48406469810268499</v>
      </c>
      <c r="N808" s="21">
        <f t="shared" si="136"/>
        <v>5.5435253575012902E-2</v>
      </c>
      <c r="O808" s="21">
        <f t="shared" si="137"/>
        <v>16.07553395547297</v>
      </c>
      <c r="P808">
        <f t="shared" si="133"/>
        <v>0.56879174603209759</v>
      </c>
      <c r="Q808">
        <f t="shared" si="130"/>
        <v>0.61627332890733399</v>
      </c>
      <c r="R808">
        <f t="shared" si="131"/>
        <v>3.0722918266446841</v>
      </c>
      <c r="T808" s="21">
        <f>(M808-M807)/(H808-H807)</f>
        <v>9.5270662375912529E-4</v>
      </c>
      <c r="W808">
        <v>693</v>
      </c>
      <c r="X808">
        <v>16.067504</v>
      </c>
      <c r="Y808">
        <v>1.5</v>
      </c>
      <c r="Z808">
        <f t="shared" si="128"/>
        <v>1.5</v>
      </c>
      <c r="AA808" s="21">
        <f>IF(X808&gt;$B$8+$B$9,0,ABS(X808-O808)/X808)</f>
        <v>4.9976371395150021E-4</v>
      </c>
      <c r="AB808">
        <f>IF(OR(Z805&lt;&gt;Z811,X808&gt;$B$8+$B$9),0,((X811-X805)/(W811-W805)-(O811-O805)/(W811-W805))^2)</f>
        <v>1.9709283557451656E-5</v>
      </c>
    </row>
    <row r="809" spans="7:28" x14ac:dyDescent="0.2">
      <c r="G809" s="21"/>
      <c r="H809" s="21">
        <v>694</v>
      </c>
      <c r="I809">
        <f t="shared" si="134"/>
        <v>1.7193853375153712E-2</v>
      </c>
      <c r="J809">
        <f t="shared" si="135"/>
        <v>0.61568597406596692</v>
      </c>
      <c r="K809">
        <f t="shared" si="129"/>
        <v>25.249588855587369</v>
      </c>
      <c r="L809">
        <f>0.5*Z809*K809/J809/$B$7</f>
        <v>30.757874045156537</v>
      </c>
      <c r="M809">
        <f t="shared" si="132"/>
        <v>0.48501822779226539</v>
      </c>
      <c r="N809" s="21">
        <f t="shared" si="136"/>
        <v>5.5479925940895625E-2</v>
      </c>
      <c r="O809" s="21">
        <f t="shared" si="137"/>
        <v>16.092727808848124</v>
      </c>
      <c r="P809">
        <f t="shared" si="133"/>
        <v>0.56966237247255402</v>
      </c>
      <c r="Q809">
        <f t="shared" si="130"/>
        <v>0.61568597406596692</v>
      </c>
      <c r="R809">
        <f t="shared" si="131"/>
        <v>3.0207994953650661</v>
      </c>
      <c r="T809" s="21">
        <f>(M809-M808)/(H809-H808)</f>
        <v>9.535296895804013E-4</v>
      </c>
      <c r="W809">
        <v>694</v>
      </c>
      <c r="X809">
        <v>16.088595999999999</v>
      </c>
      <c r="Y809">
        <v>1.5</v>
      </c>
      <c r="Z809">
        <f t="shared" si="128"/>
        <v>1.5</v>
      </c>
      <c r="AA809" s="21">
        <f>IF(X809&gt;$B$8+$B$9,0,ABS(X809-O809)/X809)</f>
        <v>2.5681599861948634E-4</v>
      </c>
      <c r="AB809">
        <f>IF(OR(Z806&lt;&gt;Z812,X809&gt;$B$8+$B$9),0,((X812-X806)/(W812-W806)-(O812-O806)/(W812-W806))^2)</f>
        <v>6.479448922709116E-6</v>
      </c>
    </row>
    <row r="810" spans="7:28" x14ac:dyDescent="0.2">
      <c r="G810" s="21"/>
      <c r="H810" s="21">
        <v>695</v>
      </c>
      <c r="I810">
        <f t="shared" si="134"/>
        <v>1.7194939160277038E-2</v>
      </c>
      <c r="J810">
        <f t="shared" si="135"/>
        <v>0.61509866956735471</v>
      </c>
      <c r="K810">
        <f t="shared" si="129"/>
        <v>25.236622396568308</v>
      </c>
      <c r="L810">
        <f>0.5*Z810*K810/J810/$B$7</f>
        <v>30.771431859443535</v>
      </c>
      <c r="M810">
        <f t="shared" si="132"/>
        <v>0.48597258572356822</v>
      </c>
      <c r="N810" s="21">
        <f t="shared" si="136"/>
        <v>5.5524585306457382E-2</v>
      </c>
      <c r="O810" s="21">
        <f t="shared" si="137"/>
        <v>16.109922748008401</v>
      </c>
      <c r="P810">
        <f t="shared" si="133"/>
        <v>0.57053292429077118</v>
      </c>
      <c r="Q810">
        <f t="shared" si="130"/>
        <v>0.61509866956735471</v>
      </c>
      <c r="R810">
        <f t="shared" si="131"/>
        <v>2.9710089566918372</v>
      </c>
      <c r="T810" s="21">
        <f>(M810-M809)/(H810-H809)</f>
        <v>9.5435793130282942E-4</v>
      </c>
      <c r="W810">
        <v>695</v>
      </c>
      <c r="X810">
        <v>16.099954</v>
      </c>
      <c r="Y810">
        <v>1.5</v>
      </c>
      <c r="Z810">
        <f t="shared" si="128"/>
        <v>1.5</v>
      </c>
      <c r="AA810" s="21">
        <f>IF(X810&gt;$B$8+$B$9,0,ABS(X810-O810)/X810)</f>
        <v>6.1917866401362085E-4</v>
      </c>
      <c r="AB810">
        <f>IF(OR(Z807&lt;&gt;Z813,X810&gt;$B$8+$B$9),0,((X813-X807)/(W813-W807)-(O813-O807)/(W813-W807))^2)</f>
        <v>2.2856114905896994E-6</v>
      </c>
    </row>
    <row r="811" spans="7:28" x14ac:dyDescent="0.2">
      <c r="G811" s="21"/>
      <c r="H811" s="21">
        <v>696</v>
      </c>
      <c r="I811">
        <f t="shared" si="134"/>
        <v>1.7196120545781447E-2</v>
      </c>
      <c r="J811">
        <f t="shared" si="135"/>
        <v>0.61451141314854429</v>
      </c>
      <c r="K811">
        <f t="shared" si="129"/>
        <v>25.223701034891949</v>
      </c>
      <c r="L811">
        <f>0.5*Z811*K811/J811/$B$7</f>
        <v>30.78506822068741</v>
      </c>
      <c r="M811">
        <f t="shared" si="132"/>
        <v>0.4869277770833591</v>
      </c>
      <c r="N811" s="21">
        <f t="shared" si="136"/>
        <v>5.5569232022847109E-2</v>
      </c>
      <c r="O811" s="21">
        <f t="shared" si="137"/>
        <v>16.127118868554181</v>
      </c>
      <c r="P811">
        <f t="shared" si="133"/>
        <v>0.57140340484108731</v>
      </c>
      <c r="Q811">
        <f t="shared" si="130"/>
        <v>0.61451141314854429</v>
      </c>
      <c r="R811">
        <f t="shared" si="131"/>
        <v>2.9228370350402013</v>
      </c>
      <c r="T811" s="21">
        <f>(M811-M810)/(H811-H810)</f>
        <v>9.5519135979088565E-4</v>
      </c>
      <c r="W811">
        <v>696</v>
      </c>
      <c r="X811">
        <v>16.153494999999999</v>
      </c>
      <c r="Y811">
        <v>1.5</v>
      </c>
      <c r="Z811">
        <f t="shared" si="128"/>
        <v>1.5</v>
      </c>
      <c r="AA811" s="21">
        <f>IF(X811&gt;$B$8+$B$9,0,ABS(X811-O811)/X811)</f>
        <v>1.6328436320324877E-3</v>
      </c>
      <c r="AB811">
        <f>IF(OR(Z808&lt;&gt;Z814,X811&gt;$B$8+$B$9),0,((X814-X808)/(W814-W808)-(O814-O808)/(W814-W808))^2)</f>
        <v>2.1363150122706042E-6</v>
      </c>
    </row>
    <row r="812" spans="7:28" x14ac:dyDescent="0.2">
      <c r="G812" s="21"/>
      <c r="H812" s="21">
        <v>697</v>
      </c>
      <c r="I812">
        <f t="shared" si="134"/>
        <v>1.7197397392372988E-2</v>
      </c>
      <c r="J812">
        <f t="shared" si="135"/>
        <v>0.61392420255097035</v>
      </c>
      <c r="K812">
        <f t="shared" si="129"/>
        <v>25.210824561714578</v>
      </c>
      <c r="L812">
        <f>0.5*Z812*K812/J812/$B$7</f>
        <v>30.798783209261259</v>
      </c>
      <c r="M812">
        <f t="shared" si="132"/>
        <v>0.48788380706945672</v>
      </c>
      <c r="N812" s="21">
        <f t="shared" si="136"/>
        <v>5.5613866440742211E-2</v>
      </c>
      <c r="O812" s="21">
        <f t="shared" si="137"/>
        <v>16.144316265946554</v>
      </c>
      <c r="P812">
        <f t="shared" si="133"/>
        <v>0.57227381747133677</v>
      </c>
      <c r="Q812">
        <f t="shared" si="130"/>
        <v>0.61392420255097035</v>
      </c>
      <c r="R812">
        <f t="shared" si="131"/>
        <v>2.8762058884986765</v>
      </c>
      <c r="T812" s="21">
        <f>(M812-M811)/(H812-H811)</f>
        <v>9.5602998609761736E-4</v>
      </c>
      <c r="W812">
        <v>697</v>
      </c>
      <c r="X812">
        <v>16.15025</v>
      </c>
      <c r="Y812">
        <v>1.5</v>
      </c>
      <c r="Z812">
        <f t="shared" si="128"/>
        <v>1.5</v>
      </c>
      <c r="AA812" s="21">
        <f>IF(X812&gt;$B$8+$B$9,0,ABS(X812-O812)/X812)</f>
        <v>3.6740818584518603E-4</v>
      </c>
      <c r="AB812">
        <f>IF(OR(Z809&lt;&gt;Z815,X812&gt;$B$8+$B$9),0,((X815-X809)/(W815-W809)-(O815-O809)/(W815-W809))^2)</f>
        <v>1.8709416220768991E-7</v>
      </c>
    </row>
    <row r="813" spans="7:28" x14ac:dyDescent="0.2">
      <c r="G813" s="21"/>
      <c r="H813" s="21">
        <v>698</v>
      </c>
      <c r="I813">
        <f t="shared" si="134"/>
        <v>1.7198769564811114E-2</v>
      </c>
      <c r="J813">
        <f t="shared" si="135"/>
        <v>0.61333703552036867</v>
      </c>
      <c r="K813">
        <f t="shared" si="129"/>
        <v>25.197992769872176</v>
      </c>
      <c r="L813">
        <f>0.5*Z813*K813/J813/$B$7</f>
        <v>30.812576907850076</v>
      </c>
      <c r="M813">
        <f t="shared" si="132"/>
        <v>0.48884068089091892</v>
      </c>
      <c r="N813" s="21">
        <f t="shared" si="136"/>
        <v>5.5658488910365608E-2</v>
      </c>
      <c r="O813" s="21">
        <f t="shared" si="137"/>
        <v>16.161515035511364</v>
      </c>
      <c r="P813">
        <f t="shared" si="133"/>
        <v>0.57314416552297831</v>
      </c>
      <c r="Q813">
        <f t="shared" si="130"/>
        <v>0.61333703552036867</v>
      </c>
      <c r="R813">
        <f t="shared" si="131"/>
        <v>2.8310425880403312</v>
      </c>
      <c r="T813" s="21">
        <f>(M813-M812)/(H813-H812)</f>
        <v>9.5687382146220079E-4</v>
      </c>
      <c r="W813">
        <v>698</v>
      </c>
      <c r="X813">
        <v>16.156739999999999</v>
      </c>
      <c r="Y813">
        <v>1.5</v>
      </c>
      <c r="Z813">
        <f t="shared" si="128"/>
        <v>1.5</v>
      </c>
      <c r="AA813" s="21">
        <f>IF(X813&gt;$B$8+$B$9,0,ABS(X813-O813)/X813)</f>
        <v>2.9554449173316733E-4</v>
      </c>
      <c r="AB813">
        <f>IF(OR(Z810&lt;&gt;Z816,X813&gt;$B$8+$B$9),0,((X816-X810)/(W816-W810)-(O816-O810)/(W816-W810))^2)</f>
        <v>6.4534792742116364E-6</v>
      </c>
    </row>
    <row r="814" spans="7:28" x14ac:dyDescent="0.2">
      <c r="G814" s="21"/>
      <c r="H814" s="21">
        <v>699</v>
      </c>
      <c r="I814">
        <f t="shared" si="134"/>
        <v>1.7200236931887016E-2</v>
      </c>
      <c r="J814">
        <f t="shared" si="135"/>
        <v>0.61274990980668975</v>
      </c>
      <c r="K814">
        <f t="shared" si="129"/>
        <v>25.18520545386486</v>
      </c>
      <c r="L814">
        <f>0.5*Z814*K814/J814/$B$7</f>
        <v>30.826449401449469</v>
      </c>
      <c r="M814">
        <f t="shared" si="132"/>
        <v>0.48979840376823069</v>
      </c>
      <c r="N814" s="21">
        <f t="shared" si="136"/>
        <v>5.5703099781502875E-2</v>
      </c>
      <c r="O814" s="21">
        <f t="shared" si="137"/>
        <v>16.178715272443252</v>
      </c>
      <c r="P814">
        <f t="shared" si="133"/>
        <v>0.5740144523312235</v>
      </c>
      <c r="Q814">
        <f t="shared" si="130"/>
        <v>0.61274990980668975</v>
      </c>
      <c r="R814">
        <f t="shared" si="131"/>
        <v>2.7872787359518787</v>
      </c>
      <c r="T814" s="21">
        <f>(M814-M813)/(H814-H813)</f>
        <v>9.5772287731177297E-4</v>
      </c>
      <c r="W814">
        <v>699</v>
      </c>
      <c r="X814">
        <v>16.179455000000001</v>
      </c>
      <c r="Y814">
        <v>1.5</v>
      </c>
      <c r="Z814">
        <f t="shared" si="128"/>
        <v>1.5</v>
      </c>
      <c r="AA814" s="21">
        <f>IF(X814&gt;$B$8+$B$9,0,ABS(X814-O814)/X814)</f>
        <v>4.5720177641858047E-5</v>
      </c>
      <c r="AB814">
        <f>IF(OR(Z811&lt;&gt;Z817,X814&gt;$B$8+$B$9),0,((X817-X811)/(W817-W811)-(O817-O811)/(W817-W811))^2)</f>
        <v>2.8121577346894038E-5</v>
      </c>
    </row>
    <row r="815" spans="7:28" x14ac:dyDescent="0.2">
      <c r="G815" s="21"/>
      <c r="H815" s="21">
        <v>700</v>
      </c>
      <c r="I815">
        <f t="shared" si="134"/>
        <v>1.7201799366402409E-2</v>
      </c>
      <c r="J815">
        <f t="shared" si="135"/>
        <v>0.61216282316401238</v>
      </c>
      <c r="K815">
        <f t="shared" si="129"/>
        <v>25.172462409841497</v>
      </c>
      <c r="L815">
        <f>0.5*Z815*K815/J815/$B$7</f>
        <v>30.840400777364611</v>
      </c>
      <c r="M815">
        <f t="shared" si="132"/>
        <v>0.49075698093349251</v>
      </c>
      <c r="N815" s="21">
        <f t="shared" si="136"/>
        <v>5.5747699403519278E-2</v>
      </c>
      <c r="O815" s="21">
        <f t="shared" si="137"/>
        <v>16.195917071809653</v>
      </c>
      <c r="P815">
        <f t="shared" si="133"/>
        <v>0.57488468122516434</v>
      </c>
      <c r="Q815">
        <f t="shared" si="130"/>
        <v>0.61216282316401238</v>
      </c>
      <c r="R815">
        <f t="shared" si="131"/>
        <v>2.7448501192815669</v>
      </c>
      <c r="T815" s="21">
        <f>(M815-M814)/(H815-H814)</f>
        <v>9.5857716526182024E-4</v>
      </c>
      <c r="W815">
        <v>700</v>
      </c>
      <c r="X815">
        <v>16.18919</v>
      </c>
      <c r="Y815">
        <v>1.5</v>
      </c>
      <c r="Z815">
        <f t="shared" si="128"/>
        <v>1.5</v>
      </c>
      <c r="AA815" s="21">
        <f>IF(X815&gt;$B$8+$B$9,0,ABS(X815-O815)/X815)</f>
        <v>4.1552862185526517E-4</v>
      </c>
      <c r="AB815">
        <f>IF(OR(Z812&lt;&gt;Z818,X815&gt;$B$8+$B$9),0,((X818-X812)/(W818-W812)-(O818-O812)/(W818-W812))^2)</f>
        <v>6.7621906076454609E-6</v>
      </c>
    </row>
    <row r="816" spans="7:28" x14ac:dyDescent="0.2">
      <c r="G816" s="21"/>
      <c r="H816" s="21">
        <v>701</v>
      </c>
      <c r="I816">
        <f t="shared" si="134"/>
        <v>1.7203456745148855E-2</v>
      </c>
      <c r="J816">
        <f t="shared" si="135"/>
        <v>0.61157577335045887</v>
      </c>
      <c r="K816">
        <f t="shared" si="129"/>
        <v>25.159763435584537</v>
      </c>
      <c r="L816">
        <f>0.5*Z816*K816/J816/$B$7</f>
        <v>30.854431125209391</v>
      </c>
      <c r="M816">
        <f t="shared" si="132"/>
        <v>0.49171641763060758</v>
      </c>
      <c r="N816" s="21">
        <f t="shared" si="136"/>
        <v>5.5792288125376496E-2</v>
      </c>
      <c r="O816" s="21">
        <f t="shared" si="137"/>
        <v>16.213120528554803</v>
      </c>
      <c r="P816">
        <f t="shared" si="133"/>
        <v>0.57575485552789951</v>
      </c>
      <c r="Q816">
        <f t="shared" si="130"/>
        <v>0.61157577335045887</v>
      </c>
      <c r="R816">
        <f t="shared" si="131"/>
        <v>2.703696394612876</v>
      </c>
      <c r="T816" s="21">
        <f>(M816-M815)/(H816-H815)</f>
        <v>9.5943669711506807E-4</v>
      </c>
      <c r="W816">
        <v>701</v>
      </c>
      <c r="X816">
        <v>16.218394</v>
      </c>
      <c r="Y816">
        <v>1.5</v>
      </c>
      <c r="Z816">
        <f t="shared" si="128"/>
        <v>1.5</v>
      </c>
      <c r="AA816" s="21">
        <f>IF(X816&gt;$B$8+$B$9,0,ABS(X816-O816)/X816)</f>
        <v>3.2515373872385396E-4</v>
      </c>
      <c r="AB816">
        <f>IF(OR(Z813&lt;&gt;Z819,X816&gt;$B$8+$B$9),0,((X819-X813)/(W819-W813)-(O819-O813)/(W819-W813))^2)</f>
        <v>2.8378503680321447E-8</v>
      </c>
    </row>
    <row r="817" spans="7:28" x14ac:dyDescent="0.2">
      <c r="G817" s="21"/>
      <c r="H817" s="21">
        <v>702</v>
      </c>
      <c r="I817">
        <f t="shared" si="134"/>
        <v>1.7205208948887447E-2</v>
      </c>
      <c r="J817">
        <f t="shared" si="135"/>
        <v>0.61098875812810904</v>
      </c>
      <c r="K817">
        <f t="shared" si="129"/>
        <v>25.147108330494991</v>
      </c>
      <c r="L817">
        <f>0.5*Z817*K817/J817/$B$7</f>
        <v>30.868540536905762</v>
      </c>
      <c r="M817">
        <f t="shared" si="132"/>
        <v>0.49267671911547234</v>
      </c>
      <c r="N817" s="21">
        <f t="shared" si="136"/>
        <v>5.5836866295649851E-2</v>
      </c>
      <c r="O817" s="21">
        <f t="shared" si="137"/>
        <v>16.230325737503691</v>
      </c>
      <c r="P817">
        <f t="shared" si="133"/>
        <v>0.57662497855666106</v>
      </c>
      <c r="Q817">
        <f t="shared" si="130"/>
        <v>0.61098875812810904</v>
      </c>
      <c r="R817">
        <f t="shared" si="131"/>
        <v>2.6637608009094103</v>
      </c>
      <c r="T817" s="21">
        <f>(M817-M816)/(H817-H816)</f>
        <v>9.6030148486475619E-4</v>
      </c>
      <c r="W817">
        <v>702</v>
      </c>
      <c r="X817">
        <v>16.224883999999999</v>
      </c>
      <c r="Y817">
        <v>1.5</v>
      </c>
      <c r="Z817">
        <f t="shared" si="128"/>
        <v>1.5</v>
      </c>
      <c r="AA817" s="21">
        <f>IF(X817&gt;$B$8+$B$9,0,ABS(X817-O817)/X817)</f>
        <v>3.3539453987413762E-4</v>
      </c>
      <c r="AB817">
        <f>IF(OR(Z814&lt;&gt;Z820,X817&gt;$B$8+$B$9),0,((X820-X814)/(W820-W814)-(O820-O814)/(W820-W814))^2)</f>
        <v>1.9426815429940768E-7</v>
      </c>
    </row>
    <row r="818" spans="7:28" x14ac:dyDescent="0.2">
      <c r="G818" s="21"/>
      <c r="H818" s="21">
        <v>703</v>
      </c>
      <c r="I818">
        <f t="shared" si="134"/>
        <v>1.7207055862329138E-2</v>
      </c>
      <c r="J818">
        <f t="shared" si="135"/>
        <v>0.61040177526291695</v>
      </c>
      <c r="K818">
        <f t="shared" si="129"/>
        <v>25.134496895577634</v>
      </c>
      <c r="L818">
        <f>0.5*Z818*K818/J818/$B$7</f>
        <v>30.882729106683271</v>
      </c>
      <c r="M818">
        <f t="shared" si="132"/>
        <v>0.49363789065616337</v>
      </c>
      <c r="N818" s="21">
        <f t="shared" si="136"/>
        <v>5.5881434262544737E-2</v>
      </c>
      <c r="O818" s="21">
        <f t="shared" si="137"/>
        <v>16.24753279336602</v>
      </c>
      <c r="P818">
        <f t="shared" si="133"/>
        <v>0.57749505362293907</v>
      </c>
      <c r="Q818">
        <f t="shared" si="130"/>
        <v>0.61040177526291695</v>
      </c>
      <c r="R818">
        <f t="shared" si="131"/>
        <v>2.6249898975573491</v>
      </c>
      <c r="T818" s="21">
        <f>(M818-M817)/(H818-H817)</f>
        <v>9.6117154069103039E-4</v>
      </c>
      <c r="W818">
        <v>703</v>
      </c>
      <c r="X818">
        <v>16.237863999999998</v>
      </c>
      <c r="Y818">
        <v>1.5</v>
      </c>
      <c r="Z818">
        <f t="shared" si="128"/>
        <v>1.5</v>
      </c>
      <c r="AA818" s="21">
        <f>IF(X818&gt;$B$8+$B$9,0,ABS(X818-O818)/X818)</f>
        <v>5.954473670934388E-4</v>
      </c>
      <c r="AB818">
        <f>IF(OR(Z815&lt;&gt;Z821,X818&gt;$B$8+$B$9),0,((X821-X815)/(W821-W815)-(O821-O815)/(W821-W815))^2)</f>
        <v>1.3920397008266813E-6</v>
      </c>
    </row>
    <row r="819" spans="7:28" x14ac:dyDescent="0.2">
      <c r="G819" s="21"/>
      <c r="H819" s="21">
        <v>704</v>
      </c>
      <c r="I819">
        <f t="shared" si="134"/>
        <v>1.7208997374115399E-2</v>
      </c>
      <c r="J819">
        <f t="shared" si="135"/>
        <v>0.6098148225246256</v>
      </c>
      <c r="K819">
        <f t="shared" si="129"/>
        <v>25.121928933426386</v>
      </c>
      <c r="L819">
        <f>0.5*Z819*K819/J819/$B$7</f>
        <v>30.896996931078913</v>
      </c>
      <c r="M819">
        <f t="shared" si="132"/>
        <v>0.49459993753312931</v>
      </c>
      <c r="N819" s="21">
        <f t="shared" si="136"/>
        <v>5.5925992373913658E-2</v>
      </c>
      <c r="O819" s="21">
        <f t="shared" si="137"/>
        <v>16.264741790740135</v>
      </c>
      <c r="P819">
        <f t="shared" si="133"/>
        <v>0.57836508403260634</v>
      </c>
      <c r="Q819">
        <f t="shared" si="130"/>
        <v>0.6098148225246256</v>
      </c>
      <c r="R819">
        <f t="shared" si="131"/>
        <v>2.5873333250629833</v>
      </c>
      <c r="T819" s="21">
        <f>(M819-M818)/(H819-H818)</f>
        <v>9.6204687696593849E-4</v>
      </c>
      <c r="W819">
        <v>704</v>
      </c>
      <c r="X819">
        <v>16.258955999999998</v>
      </c>
      <c r="Y819">
        <v>1.5</v>
      </c>
      <c r="Z819">
        <f t="shared" si="128"/>
        <v>1.5</v>
      </c>
      <c r="AA819" s="21">
        <f>IF(X819&gt;$B$8+$B$9,0,ABS(X819-O819)/X819)</f>
        <v>3.5585253691182526E-4</v>
      </c>
      <c r="AB819">
        <f>IF(OR(Z816&lt;&gt;Z822,X819&gt;$B$8+$B$9),0,((X822-X816)/(W822-W816)-(O822-O816)/(W822-W816))^2)</f>
        <v>5.1118871999099607E-7</v>
      </c>
    </row>
    <row r="820" spans="7:28" x14ac:dyDescent="0.2">
      <c r="G820" s="21"/>
      <c r="H820" s="21">
        <v>705</v>
      </c>
      <c r="I820">
        <f t="shared" si="134"/>
        <v>1.7211033376799422E-2</v>
      </c>
      <c r="J820">
        <f t="shared" si="135"/>
        <v>0.60922789768668462</v>
      </c>
      <c r="K820">
        <f t="shared" si="129"/>
        <v>25.109404248209835</v>
      </c>
      <c r="L820">
        <f>0.5*Z820*K820/J820/$B$7</f>
        <v>30.911344108937005</v>
      </c>
      <c r="M820">
        <f t="shared" si="132"/>
        <v>0.49556286503937852</v>
      </c>
      <c r="N820" s="21">
        <f t="shared" si="136"/>
        <v>5.5970540977272762E-2</v>
      </c>
      <c r="O820" s="21">
        <f t="shared" si="137"/>
        <v>16.281952824116935</v>
      </c>
      <c r="P820">
        <f t="shared" si="133"/>
        <v>0.57923507308604238</v>
      </c>
      <c r="Q820">
        <f t="shared" si="130"/>
        <v>0.60922789768668462</v>
      </c>
      <c r="R820">
        <f t="shared" si="131"/>
        <v>2.5507435861519987</v>
      </c>
      <c r="T820" s="21">
        <f>(M820-M819)/(H820-H819)</f>
        <v>9.6292750624921153E-4</v>
      </c>
      <c r="W820">
        <v>705</v>
      </c>
      <c r="X820">
        <v>16.280048000000001</v>
      </c>
      <c r="Y820">
        <v>1.5</v>
      </c>
      <c r="Z820">
        <f t="shared" si="128"/>
        <v>1.5</v>
      </c>
      <c r="AA820" s="21">
        <f>IF(X820&gt;$B$8+$B$9,0,ABS(X820-O820)/X820)</f>
        <v>1.1700359341289278E-4</v>
      </c>
      <c r="AB820">
        <f>IF(OR(Z817&lt;&gt;Z823,X820&gt;$B$8+$B$9),0,((X823-X817)/(W823-W817)-(O823-O817)/(W823-W817))^2)</f>
        <v>1.9941377029861469E-7</v>
      </c>
    </row>
    <row r="821" spans="7:28" x14ac:dyDescent="0.2">
      <c r="G821" s="21"/>
      <c r="H821" s="21">
        <v>706</v>
      </c>
      <c r="I821">
        <f t="shared" si="134"/>
        <v>1.7213163766827751E-2</v>
      </c>
      <c r="J821">
        <f t="shared" si="135"/>
        <v>0.60864099852616593</v>
      </c>
      <c r="K821">
        <f t="shared" si="129"/>
        <v>25.096922645656985</v>
      </c>
      <c r="L821">
        <f>0.5*Z821*K821/J821/$B$7</f>
        <v>30.925770741409455</v>
      </c>
      <c r="M821">
        <f t="shared" si="132"/>
        <v>0.49652667848067156</v>
      </c>
      <c r="N821" s="21">
        <f t="shared" si="136"/>
        <v>5.6015080419818584E-2</v>
      </c>
      <c r="O821" s="21">
        <f t="shared" si="137"/>
        <v>16.299165987883764</v>
      </c>
      <c r="P821">
        <f t="shared" si="133"/>
        <v>0.58010502407825681</v>
      </c>
      <c r="Q821">
        <f t="shared" si="130"/>
        <v>0.60864099852616593</v>
      </c>
      <c r="R821">
        <f t="shared" si="131"/>
        <v>2.5151758452696913</v>
      </c>
      <c r="T821" s="21">
        <f>(M821-M820)/(H821-H820)</f>
        <v>9.638134412930377E-4</v>
      </c>
      <c r="W821">
        <v>706</v>
      </c>
      <c r="X821">
        <v>16.299517999999999</v>
      </c>
      <c r="Y821">
        <v>1.5</v>
      </c>
      <c r="Z821">
        <f t="shared" si="128"/>
        <v>1.5</v>
      </c>
      <c r="AA821" s="21">
        <f>IF(X821&gt;$B$8+$B$9,0,ABS(X821-O821)/X821)</f>
        <v>2.159647397147512E-5</v>
      </c>
      <c r="AB821">
        <f>IF(OR(Z818&lt;&gt;Z824,X821&gt;$B$8+$B$9),0,((X824-X818)/(W824-W818)-(O824-O818)/(W824-W818))^2)</f>
        <v>6.3794883639147167E-6</v>
      </c>
    </row>
    <row r="822" spans="7:28" x14ac:dyDescent="0.2">
      <c r="G822" s="21"/>
      <c r="H822" s="21">
        <v>707</v>
      </c>
      <c r="I822">
        <f t="shared" si="134"/>
        <v>1.7215388444522431E-2</v>
      </c>
      <c r="J822">
        <f t="shared" si="135"/>
        <v>0.60805412282368199</v>
      </c>
      <c r="K822">
        <f t="shared" si="129"/>
        <v>25.084483933043153</v>
      </c>
      <c r="L822">
        <f>0.5*Z822*K822/J822/$B$7</f>
        <v>30.940276931956095</v>
      </c>
      <c r="M822">
        <f t="shared" si="132"/>
        <v>0.49749138317571096</v>
      </c>
      <c r="N822" s="21">
        <f t="shared" si="136"/>
        <v>5.6059611048444591E-2</v>
      </c>
      <c r="O822" s="21">
        <f t="shared" si="137"/>
        <v>16.316381376328287</v>
      </c>
      <c r="P822">
        <f t="shared" si="133"/>
        <v>0.58097494029901131</v>
      </c>
      <c r="Q822">
        <f t="shared" si="130"/>
        <v>0.60805412282368199</v>
      </c>
      <c r="R822">
        <f t="shared" si="131"/>
        <v>2.4805877447024809</v>
      </c>
      <c r="T822" s="21">
        <f>(M822-M821)/(H822-H821)</f>
        <v>9.6470469503939782E-4</v>
      </c>
      <c r="W822">
        <v>707</v>
      </c>
      <c r="X822">
        <v>16.317364999999999</v>
      </c>
      <c r="Y822">
        <v>1.5</v>
      </c>
      <c r="Z822">
        <f t="shared" si="128"/>
        <v>1.5</v>
      </c>
      <c r="AA822" s="21">
        <f>IF(X822&gt;$B$8+$B$9,0,ABS(X822-O822)/X822)</f>
        <v>6.0280791151717346E-5</v>
      </c>
      <c r="AB822">
        <f>IF(OR(Z819&lt;&gt;Z825,X822&gt;$B$8+$B$9),0,((X825-X819)/(W825-W819)-(O825-O819)/(W825-W819))^2)</f>
        <v>8.0688165620215031E-9</v>
      </c>
    </row>
    <row r="823" spans="7:28" x14ac:dyDescent="0.2">
      <c r="G823" s="21"/>
      <c r="H823" s="21">
        <v>708</v>
      </c>
      <c r="I823">
        <f t="shared" si="134"/>
        <v>1.7217707314063455E-2</v>
      </c>
      <c r="J823">
        <f t="shared" si="135"/>
        <v>0.60746726836330311</v>
      </c>
      <c r="K823">
        <f t="shared" si="129"/>
        <v>25.072087919176031</v>
      </c>
      <c r="L823">
        <f>0.5*Z823*K823/J823/$B$7</f>
        <v>30.954862786345267</v>
      </c>
      <c r="M823">
        <f t="shared" si="132"/>
        <v>0.49845698445633291</v>
      </c>
      <c r="N823" s="21">
        <f t="shared" si="136"/>
        <v>5.6104133209757726E-2</v>
      </c>
      <c r="O823" s="21">
        <f t="shared" si="137"/>
        <v>16.333599083642351</v>
      </c>
      <c r="P823">
        <f t="shared" si="133"/>
        <v>0.58184482503294233</v>
      </c>
      <c r="Q823">
        <f t="shared" si="130"/>
        <v>0.60746726836330311</v>
      </c>
      <c r="R823">
        <f t="shared" si="131"/>
        <v>2.4469392357350146</v>
      </c>
      <c r="T823" s="21">
        <f>(M823-M822)/(H823-H822)</f>
        <v>9.6560128062195272E-4</v>
      </c>
      <c r="W823">
        <v>708</v>
      </c>
      <c r="X823">
        <v>16.325478</v>
      </c>
      <c r="Y823">
        <v>1.5</v>
      </c>
      <c r="Z823">
        <f t="shared" si="128"/>
        <v>1.5</v>
      </c>
      <c r="AA823" s="21">
        <f>IF(X823&gt;$B$8+$B$9,0,ABS(X823-O823)/X823)</f>
        <v>4.9744844483885049E-4</v>
      </c>
      <c r="AB823">
        <f>IF(OR(Z820&lt;&gt;Z826,X823&gt;$B$8+$B$9),0,((X826-X820)/(W826-W820)-(O826-O820)/(W826-W820))^2)</f>
        <v>3.3503351577776627E-8</v>
      </c>
    </row>
    <row r="824" spans="7:28" x14ac:dyDescent="0.2">
      <c r="G824" s="21"/>
      <c r="H824" s="21">
        <v>709</v>
      </c>
      <c r="I824">
        <f t="shared" si="134"/>
        <v>1.7220120283471894E-2</v>
      </c>
      <c r="J824">
        <f t="shared" si="135"/>
        <v>0.6068804329324754</v>
      </c>
      <c r="K824">
        <f t="shared" si="129"/>
        <v>25.059734414381953</v>
      </c>
      <c r="L824">
        <f>0.5*Z824*K824/J824/$B$7</f>
        <v>30.969528412654675</v>
      </c>
      <c r="M824">
        <f t="shared" si="132"/>
        <v>0.49942348766770006</v>
      </c>
      <c r="N824" s="21">
        <f t="shared" si="136"/>
        <v>5.6148647250094948E-2</v>
      </c>
      <c r="O824" s="21">
        <f t="shared" si="137"/>
        <v>16.350819203925823</v>
      </c>
      <c r="P824">
        <f t="shared" si="133"/>
        <v>0.58271468155968176</v>
      </c>
      <c r="Q824">
        <f t="shared" si="130"/>
        <v>0.6068804329324754</v>
      </c>
      <c r="R824">
        <f t="shared" si="131"/>
        <v>2.4141924234278838</v>
      </c>
      <c r="T824" s="21">
        <f>(M824-M823)/(H824-H823)</f>
        <v>9.6650321136715345E-4</v>
      </c>
      <c r="W824">
        <v>709</v>
      </c>
      <c r="X824">
        <v>16.356304999999999</v>
      </c>
      <c r="Y824">
        <v>1.5</v>
      </c>
      <c r="Z824">
        <f t="shared" si="128"/>
        <v>1.5</v>
      </c>
      <c r="AA824" s="21">
        <f>IF(X824&gt;$B$8+$B$9,0,ABS(X824-O824)/X824)</f>
        <v>3.3539335896314314E-4</v>
      </c>
      <c r="AB824">
        <f>IF(OR(Z821&lt;&gt;Z827,X824&gt;$B$8+$B$9),0,((X827-X821)/(W827-W821)-(O827-O821)/(W827-W821))^2)</f>
        <v>1.2626244010601489E-7</v>
      </c>
    </row>
    <row r="825" spans="7:28" x14ac:dyDescent="0.2">
      <c r="G825" s="21"/>
      <c r="H825" s="21">
        <v>710</v>
      </c>
      <c r="I825">
        <f t="shared" si="134"/>
        <v>1.7222627264593272E-2</v>
      </c>
      <c r="J825">
        <f t="shared" si="135"/>
        <v>0.60629361432193996</v>
      </c>
      <c r="K825">
        <f t="shared" si="129"/>
        <v>25.047423230492289</v>
      </c>
      <c r="L825">
        <f>0.5*Z825*K825/J825/$B$7</f>
        <v>30.984273921272312</v>
      </c>
      <c r="M825">
        <f t="shared" si="132"/>
        <v>0.5003908981684928</v>
      </c>
      <c r="N825" s="21">
        <f t="shared" si="136"/>
        <v>5.6193153515539634E-2</v>
      </c>
      <c r="O825" s="21">
        <f t="shared" si="137"/>
        <v>16.368041831190418</v>
      </c>
      <c r="P825">
        <f t="shared" si="133"/>
        <v>0.58358451315397808</v>
      </c>
      <c r="Q825">
        <f t="shared" si="130"/>
        <v>0.60629361432193996</v>
      </c>
      <c r="R825">
        <f t="shared" si="131"/>
        <v>2.3823114237509668</v>
      </c>
      <c r="T825" s="21">
        <f>(M825-M824)/(H825-H824)</f>
        <v>9.6741050079274249E-4</v>
      </c>
      <c r="W825">
        <v>710</v>
      </c>
      <c r="X825">
        <v>16.362794999999998</v>
      </c>
      <c r="Y825">
        <v>1.5</v>
      </c>
      <c r="Z825">
        <f t="shared" si="128"/>
        <v>1.5</v>
      </c>
      <c r="AA825" s="21">
        <f>IF(X825&gt;$B$8+$B$9,0,ABS(X825-O825)/X825)</f>
        <v>3.2065617093040915E-4</v>
      </c>
      <c r="AB825">
        <f>IF(OR(Z822&lt;&gt;Z828,X825&gt;$B$8+$B$9),0,((X828-X822)/(W828-W822)-(O828-O822)/(W828-W822))^2)</f>
        <v>2.1011794155536194E-7</v>
      </c>
    </row>
    <row r="826" spans="7:28" x14ac:dyDescent="0.2">
      <c r="G826" s="21"/>
      <c r="H826" s="21">
        <v>711</v>
      </c>
      <c r="I826">
        <f t="shared" si="134"/>
        <v>1.7225228173081461E-2</v>
      </c>
      <c r="J826">
        <f t="shared" si="135"/>
        <v>0.60570681032565166</v>
      </c>
      <c r="K826">
        <f t="shared" si="129"/>
        <v>25.035154180830034</v>
      </c>
      <c r="L826">
        <f>0.5*Z826*K826/J826/$B$7</f>
        <v>30.999099424897693</v>
      </c>
      <c r="M826">
        <f t="shared" si="132"/>
        <v>0.50135922133110278</v>
      </c>
      <c r="N826" s="21">
        <f t="shared" si="136"/>
        <v>5.6237652351938033E-2</v>
      </c>
      <c r="O826" s="21">
        <f t="shared" si="137"/>
        <v>16.3852670593635</v>
      </c>
      <c r="P826">
        <f t="shared" si="133"/>
        <v>0.58445432308581591</v>
      </c>
      <c r="Q826">
        <f t="shared" si="130"/>
        <v>0.60570681032565166</v>
      </c>
      <c r="R826">
        <f t="shared" si="131"/>
        <v>2.3512622319400727</v>
      </c>
      <c r="T826" s="21">
        <f>(M826-M825)/(H826-H825)</f>
        <v>9.683231626099742E-4</v>
      </c>
      <c r="W826">
        <v>711</v>
      </c>
      <c r="X826">
        <v>16.382263999999999</v>
      </c>
      <c r="Y826">
        <v>1.5</v>
      </c>
      <c r="Z826">
        <f t="shared" si="128"/>
        <v>1.5</v>
      </c>
      <c r="AA826" s="21">
        <f>IF(X826&gt;$B$8+$B$9,0,ABS(X826-O826)/X826)</f>
        <v>1.8331162063439015E-4</v>
      </c>
      <c r="AB826">
        <f>IF(OR(Z823&lt;&gt;Z829,X826&gt;$B$8+$B$9),0,((X829-X823)/(W829-W823)-(O829-O823)/(W829-W823))^2)</f>
        <v>1.2259291002049177E-7</v>
      </c>
    </row>
    <row r="827" spans="7:28" x14ac:dyDescent="0.2">
      <c r="G827" s="21"/>
      <c r="H827" s="21">
        <v>712</v>
      </c>
      <c r="I827">
        <f t="shared" si="134"/>
        <v>1.7227922928383016E-2</v>
      </c>
      <c r="J827">
        <f t="shared" si="135"/>
        <v>0.6051200187406981</v>
      </c>
      <c r="K827">
        <f t="shared" si="129"/>
        <v>25.022927080196549</v>
      </c>
      <c r="L827">
        <f>0.5*Z827*K827/J827/$B$7</f>
        <v>31.014005038543274</v>
      </c>
      <c r="M827">
        <f t="shared" si="132"/>
        <v>0.50232846254182717</v>
      </c>
      <c r="N827" s="21">
        <f t="shared" si="136"/>
        <v>5.6282144104915562E-2</v>
      </c>
      <c r="O827" s="21">
        <f t="shared" si="137"/>
        <v>16.402494982291884</v>
      </c>
      <c r="P827">
        <f t="shared" si="133"/>
        <v>0.58532411462053591</v>
      </c>
      <c r="Q827">
        <f t="shared" si="130"/>
        <v>0.6051200187406981</v>
      </c>
      <c r="R827">
        <f t="shared" si="131"/>
        <v>2.3210126010614842</v>
      </c>
      <c r="T827" s="21">
        <f>(M827-M826)/(H827-H826)</f>
        <v>9.6924121072439196E-4</v>
      </c>
      <c r="W827">
        <v>712</v>
      </c>
      <c r="X827">
        <v>16.404979000000001</v>
      </c>
      <c r="Y827">
        <v>1.5</v>
      </c>
      <c r="Z827">
        <f t="shared" si="128"/>
        <v>1.5</v>
      </c>
      <c r="AA827" s="21">
        <f>IF(X827&gt;$B$8+$B$9,0,ABS(X827-O827)/X827)</f>
        <v>1.514185241027545E-4</v>
      </c>
      <c r="AB827">
        <f>IF(OR(Z824&lt;&gt;Z830,X827&gt;$B$8+$B$9),0,((X830-X824)/(W830-W824)-(O830-O824)/(W830-W824))^2)</f>
        <v>5.5543907747421147E-6</v>
      </c>
    </row>
    <row r="828" spans="7:28" x14ac:dyDescent="0.2">
      <c r="G828" s="21"/>
      <c r="H828" s="21">
        <v>713</v>
      </c>
      <c r="I828">
        <f t="shared" si="134"/>
        <v>1.7230711453721993E-2</v>
      </c>
      <c r="J828">
        <f t="shared" si="135"/>
        <v>0.60453323736721987</v>
      </c>
      <c r="K828">
        <f t="shared" si="129"/>
        <v>25.010741744858443</v>
      </c>
      <c r="L828">
        <f>0.5*Z828*K828/J828/$B$7</f>
        <v>31.028990879535989</v>
      </c>
      <c r="M828">
        <f t="shared" si="132"/>
        <v>0.50329862720106255</v>
      </c>
      <c r="N828" s="21">
        <f t="shared" si="136"/>
        <v>5.6326629119893258E-2</v>
      </c>
      <c r="O828" s="21">
        <f t="shared" si="137"/>
        <v>16.419725693745605</v>
      </c>
      <c r="P828">
        <f t="shared" si="133"/>
        <v>0.58619389101895358</v>
      </c>
      <c r="Q828">
        <f t="shared" si="130"/>
        <v>0.60453323736721987</v>
      </c>
      <c r="R828">
        <f t="shared" si="131"/>
        <v>2.2915319298727748</v>
      </c>
      <c r="T828" s="21">
        <f>(M828-M827)/(H828-H827)</f>
        <v>9.7016465923538409E-4</v>
      </c>
      <c r="W828">
        <v>713</v>
      </c>
      <c r="X828">
        <v>16.417959</v>
      </c>
      <c r="Y828">
        <v>1.5</v>
      </c>
      <c r="Z828">
        <f t="shared" si="128"/>
        <v>1.5</v>
      </c>
      <c r="AA828" s="21">
        <f>IF(X828&gt;$B$8+$B$9,0,ABS(X828-O828)/X828)</f>
        <v>1.0760739173516617E-4</v>
      </c>
      <c r="AB828">
        <f>IF(OR(Z825&lt;&gt;Z831,X828&gt;$B$8+$B$9),0,((X831-X825)/(W831-W825)-(O831-O825)/(W831-W825))^2)</f>
        <v>2.0341107640137925E-6</v>
      </c>
    </row>
    <row r="829" spans="7:28" x14ac:dyDescent="0.2">
      <c r="G829" s="21"/>
      <c r="H829" s="21">
        <v>714</v>
      </c>
      <c r="I829">
        <f t="shared" si="134"/>
        <v>1.7233593676084992E-2</v>
      </c>
      <c r="J829">
        <f t="shared" si="135"/>
        <v>0.60394646400833052</v>
      </c>
      <c r="K829">
        <f t="shared" si="129"/>
        <v>24.998597992534673</v>
      </c>
      <c r="L829">
        <f>0.5*Z829*K829/J829/$B$7</f>
        <v>31.044057067519137</v>
      </c>
      <c r="M829">
        <f t="shared" si="132"/>
        <v>0.50426972072349929</v>
      </c>
      <c r="N829" s="21">
        <f t="shared" si="136"/>
        <v>5.6371107742103937E-2</v>
      </c>
      <c r="O829" s="21">
        <f t="shared" si="137"/>
        <v>16.43695928742169</v>
      </c>
      <c r="P829">
        <f t="shared" si="133"/>
        <v>0.58706365553747775</v>
      </c>
      <c r="Q829">
        <f t="shared" si="130"/>
        <v>0.60394646400833052</v>
      </c>
      <c r="R829">
        <f t="shared" si="131"/>
        <v>2.2627911591600554</v>
      </c>
      <c r="T829" s="21">
        <f>(M829-M828)/(H829-H828)</f>
        <v>9.7109352243673897E-4</v>
      </c>
      <c r="W829">
        <v>714</v>
      </c>
      <c r="X829">
        <v>16.430938999999999</v>
      </c>
      <c r="Y829">
        <v>1.5</v>
      </c>
      <c r="Z829">
        <f t="shared" si="128"/>
        <v>1.5</v>
      </c>
      <c r="AA829" s="21">
        <f>IF(X829&gt;$B$8+$B$9,0,ABS(X829-O829)/X829)</f>
        <v>3.6639947489861967E-4</v>
      </c>
      <c r="AB829">
        <f>IF(OR(Z826&lt;&gt;Z832,X829&gt;$B$8+$B$9),0,((X832-X826)/(W832-W826)-(O832-O826)/(W832-W826))^2)</f>
        <v>3.7469938776052361E-7</v>
      </c>
    </row>
    <row r="830" spans="7:28" x14ac:dyDescent="0.2">
      <c r="G830" s="21"/>
      <c r="H830" s="21">
        <v>715</v>
      </c>
      <c r="I830">
        <f t="shared" si="134"/>
        <v>1.7236569526206932E-2</v>
      </c>
      <c r="J830">
        <f t="shared" si="135"/>
        <v>0.60335969647003729</v>
      </c>
      <c r="K830">
        <f t="shared" si="129"/>
        <v>24.986495642383726</v>
      </c>
      <c r="L830">
        <f>0.5*Z830*K830/J830/$B$7</f>
        <v>31.059203724454292</v>
      </c>
      <c r="M830">
        <f t="shared" si="132"/>
        <v>0.5052417485383176</v>
      </c>
      <c r="N830" s="21">
        <f t="shared" si="136"/>
        <v>5.6415580316608538E-2</v>
      </c>
      <c r="O830" s="21">
        <f t="shared" si="137"/>
        <v>16.454195856947898</v>
      </c>
      <c r="P830">
        <f t="shared" si="133"/>
        <v>0.58793341142822786</v>
      </c>
      <c r="Q830">
        <f t="shared" si="130"/>
        <v>0.60335969647003729</v>
      </c>
      <c r="R830">
        <f t="shared" si="131"/>
        <v>2.2347626758134731</v>
      </c>
      <c r="T830" s="21">
        <f>(M830-M829)/(H830-H829)</f>
        <v>9.7202781481831035E-4</v>
      </c>
      <c r="W830">
        <v>715</v>
      </c>
      <c r="X830">
        <v>16.445540999999999</v>
      </c>
      <c r="Y830">
        <v>1.5</v>
      </c>
      <c r="Z830">
        <f t="shared" ref="Z830:Z893" si="138">Y830</f>
        <v>1.5</v>
      </c>
      <c r="AA830" s="21">
        <f>IF(X830&gt;$B$8+$B$9,0,ABS(X830-O830)/X830)</f>
        <v>5.2627377523787439E-4</v>
      </c>
      <c r="AB830">
        <f>IF(OR(Z827&lt;&gt;Z833,X830&gt;$B$8+$B$9),0,((X833-X827)/(W833-W827)-(O833-O827)/(W833-W827))^2)</f>
        <v>2.4156276043071405E-6</v>
      </c>
    </row>
    <row r="831" spans="7:28" x14ac:dyDescent="0.2">
      <c r="G831" s="21"/>
      <c r="H831" s="21">
        <v>716</v>
      </c>
      <c r="I831">
        <f t="shared" si="134"/>
        <v>1.7239638938556946E-2</v>
      </c>
      <c r="J831">
        <f t="shared" si="135"/>
        <v>0.60277293256116149</v>
      </c>
      <c r="K831">
        <f t="shared" si="129"/>
        <v>24.97443451499101</v>
      </c>
      <c r="L831">
        <f>0.5*Z831*K831/J831/$B$7</f>
        <v>31.074430974623599</v>
      </c>
      <c r="M831">
        <f t="shared" si="132"/>
        <v>0.50621471608938406</v>
      </c>
      <c r="N831" s="21">
        <f t="shared" si="136"/>
        <v>5.6460047188312316E-2</v>
      </c>
      <c r="O831" s="21">
        <f t="shared" si="137"/>
        <v>16.471435495886453</v>
      </c>
      <c r="P831">
        <f t="shared" si="133"/>
        <v>0.58880316193915194</v>
      </c>
      <c r="Q831">
        <f t="shared" si="130"/>
        <v>0.60277293256116149</v>
      </c>
      <c r="R831">
        <f t="shared" si="131"/>
        <v>2.2074202239752734</v>
      </c>
      <c r="T831" s="21">
        <f>(M831-M830)/(H831-H830)</f>
        <v>9.7296755106646149E-4</v>
      </c>
      <c r="W831">
        <v>716</v>
      </c>
      <c r="X831">
        <v>16.474746</v>
      </c>
      <c r="Y831">
        <v>1.5</v>
      </c>
      <c r="Z831">
        <f t="shared" si="138"/>
        <v>1.5</v>
      </c>
      <c r="AA831" s="21">
        <f>IF(X831&gt;$B$8+$B$9,0,ABS(X831-O831)/X831)</f>
        <v>2.0094416712381402E-4</v>
      </c>
      <c r="AB831">
        <f>IF(OR(Z828&lt;&gt;Z834,X831&gt;$B$8+$B$9),0,((X834-X828)/(W834-W828)-(O834-O828)/(W834-W828))^2)</f>
        <v>7.679396202428015E-7</v>
      </c>
    </row>
    <row r="832" spans="7:28" x14ac:dyDescent="0.2">
      <c r="G832" s="21"/>
      <c r="H832" s="21">
        <v>717</v>
      </c>
      <c r="I832">
        <f t="shared" si="134"/>
        <v>1.7242801851324943E-2</v>
      </c>
      <c r="J832">
        <f t="shared" si="135"/>
        <v>0.6021861700932607</v>
      </c>
      <c r="K832">
        <f t="shared" si="129"/>
        <v>24.962414432356386</v>
      </c>
      <c r="L832">
        <f>0.5*Z832*K832/J832/$B$7</f>
        <v>31.089738944632089</v>
      </c>
      <c r="M832">
        <f t="shared" si="132"/>
        <v>0.50718862883544691</v>
      </c>
      <c r="N832" s="21">
        <f t="shared" si="136"/>
        <v>5.6504508701980968E-2</v>
      </c>
      <c r="O832" s="21">
        <f t="shared" si="137"/>
        <v>16.488678297737778</v>
      </c>
      <c r="P832">
        <f t="shared" si="133"/>
        <v>0.58967291031414271</v>
      </c>
      <c r="Q832">
        <f t="shared" si="130"/>
        <v>0.6021861700932607</v>
      </c>
      <c r="R832">
        <f t="shared" si="131"/>
        <v>2.1807388226594981</v>
      </c>
      <c r="T832" s="21">
        <f>(M832-M831)/(H832-H831)</f>
        <v>9.7391274606284384E-4</v>
      </c>
      <c r="W832">
        <v>717</v>
      </c>
      <c r="X832">
        <v>16.489348</v>
      </c>
      <c r="Y832">
        <v>1.5</v>
      </c>
      <c r="Z832">
        <f t="shared" si="138"/>
        <v>1.5</v>
      </c>
      <c r="AA832" s="21">
        <f>IF(X832&gt;$B$8+$B$9,0,ABS(X832-O832)/X832)</f>
        <v>4.0614235458064241E-5</v>
      </c>
      <c r="AB832">
        <f>IF(OR(Z829&lt;&gt;Z835,X832&gt;$B$8+$B$9),0,((X835-X829)/(W835-W829)-(O835-O829)/(W835-W829))^2)</f>
        <v>7.6232470963538233E-7</v>
      </c>
    </row>
    <row r="833" spans="7:28" x14ac:dyDescent="0.2">
      <c r="G833" s="21"/>
      <c r="H833" s="21">
        <v>718</v>
      </c>
      <c r="I833">
        <f t="shared" si="134"/>
        <v>1.7246058206408441E-2</v>
      </c>
      <c r="J833">
        <f t="shared" si="135"/>
        <v>0.60159940688054903</v>
      </c>
      <c r="K833">
        <f t="shared" si="129"/>
        <v>24.950435217881825</v>
      </c>
      <c r="L833">
        <f>0.5*Z833*K833/J833/$B$7</f>
        <v>31.105127763410358</v>
      </c>
      <c r="M833">
        <f t="shared" si="132"/>
        <v>0.50816349225033575</v>
      </c>
      <c r="N833" s="21">
        <f t="shared" si="136"/>
        <v>5.6548965202256954E-2</v>
      </c>
      <c r="O833" s="21">
        <f t="shared" si="137"/>
        <v>16.505924355944185</v>
      </c>
      <c r="P833">
        <f t="shared" si="133"/>
        <v>0.59054265979315423</v>
      </c>
      <c r="Q833">
        <f t="shared" si="130"/>
        <v>0.60159940688054903</v>
      </c>
      <c r="R833">
        <f t="shared" si="131"/>
        <v>2.1546946892999235</v>
      </c>
      <c r="T833" s="21">
        <f>(M833-M832)/(H833-H832)</f>
        <v>9.7486341488883799E-4</v>
      </c>
      <c r="W833">
        <v>718</v>
      </c>
      <c r="X833">
        <v>16.499082999999999</v>
      </c>
      <c r="Y833">
        <v>1.5</v>
      </c>
      <c r="Z833">
        <f t="shared" si="138"/>
        <v>1.5</v>
      </c>
      <c r="AA833" s="21">
        <f>IF(X833&gt;$B$8+$B$9,0,ABS(X833-O833)/X833)</f>
        <v>4.1465067750648805E-4</v>
      </c>
      <c r="AB833">
        <f>IF(OR(Z830&lt;&gt;Z836,X833&gt;$B$8+$B$9),0,((X836-X830)/(W836-W830)-(O836-O830)/(W836-W830))^2)</f>
        <v>3.8082576840609765E-6</v>
      </c>
    </row>
    <row r="834" spans="7:28" x14ac:dyDescent="0.2">
      <c r="G834" s="21"/>
      <c r="H834" s="21">
        <v>719</v>
      </c>
      <c r="I834">
        <f t="shared" si="134"/>
        <v>1.7249407949399762E-2</v>
      </c>
      <c r="J834">
        <f t="shared" si="135"/>
        <v>0.60101264073981997</v>
      </c>
      <c r="K834">
        <f t="shared" si="129"/>
        <v>24.938496696359245</v>
      </c>
      <c r="L834">
        <f>0.5*Z834*K834/J834/$B$7</f>
        <v>31.12059756221732</v>
      </c>
      <c r="M834">
        <f t="shared" si="132"/>
        <v>0.5091393118231583</v>
      </c>
      <c r="N834" s="21">
        <f t="shared" si="136"/>
        <v>5.65934170336755E-2</v>
      </c>
      <c r="O834" s="21">
        <f t="shared" si="137"/>
        <v>16.523173763893585</v>
      </c>
      <c r="P834">
        <f t="shared" si="133"/>
        <v>0.59141241361231767</v>
      </c>
      <c r="Q834">
        <f t="shared" si="130"/>
        <v>0.60101264073981997</v>
      </c>
      <c r="R834">
        <f t="shared" si="131"/>
        <v>2.1292651687344697</v>
      </c>
      <c r="T834" s="21">
        <f>(M834-M833)/(H834-H833)</f>
        <v>9.7581957282255605E-4</v>
      </c>
      <c r="W834">
        <v>719</v>
      </c>
      <c r="X834">
        <v>16.526664999999998</v>
      </c>
      <c r="Y834">
        <v>1.5</v>
      </c>
      <c r="Z834">
        <f t="shared" si="138"/>
        <v>1.5</v>
      </c>
      <c r="AA834" s="21">
        <f>IF(X834&gt;$B$8+$B$9,0,ABS(X834-O834)/X834)</f>
        <v>2.1124867639133477E-4</v>
      </c>
      <c r="AB834">
        <f>IF(OR(Z831&lt;&gt;Z837,X834&gt;$B$8+$B$9),0,((X837-X831)/(W837-W831)-(O837-O831)/(W837-W831))^2)</f>
        <v>3.0337429941685219E-9</v>
      </c>
    </row>
    <row r="835" spans="7:28" x14ac:dyDescent="0.2">
      <c r="G835" s="21"/>
      <c r="H835" s="21">
        <v>720</v>
      </c>
      <c r="I835">
        <f t="shared" si="134"/>
        <v>1.7252851029573888E-2</v>
      </c>
      <c r="J835">
        <f t="shared" si="135"/>
        <v>0.60042586949036902</v>
      </c>
      <c r="K835">
        <f t="shared" ref="K835:K898" si="139">IF(O835&lt;$B$8+$B$9,0.5*(($B$8+$B$9)^2+O835^2)/O835-$B$9,$B$8)</f>
        <v>24.926598693958482</v>
      </c>
      <c r="L835">
        <f>0.5*Z835*K835/J835/$B$7</f>
        <v>31.136148474643186</v>
      </c>
      <c r="M835">
        <f t="shared" si="132"/>
        <v>0.51011609305849892</v>
      </c>
      <c r="N835" s="21">
        <f t="shared" si="136"/>
        <v>5.6637864540680663E-2</v>
      </c>
      <c r="O835" s="21">
        <f t="shared" si="137"/>
        <v>16.54042661492316</v>
      </c>
      <c r="P835">
        <f t="shared" si="133"/>
        <v>0.592282175004056</v>
      </c>
      <c r="Q835">
        <f t="shared" ref="Q835:Q898" si="140">1-B$15*P835</f>
        <v>0.60042586949036902</v>
      </c>
      <c r="R835">
        <f t="shared" ref="R835:R898" si="141">$E$15/(P835+$E$16)</f>
        <v>2.1044286671803478</v>
      </c>
      <c r="T835" s="21">
        <f>(M835-M834)/(H835-H834)</f>
        <v>9.76781235340618E-4</v>
      </c>
      <c r="W835">
        <v>720</v>
      </c>
      <c r="X835">
        <v>16.539645</v>
      </c>
      <c r="Y835">
        <v>1.5</v>
      </c>
      <c r="Z835">
        <f t="shared" si="138"/>
        <v>1.5</v>
      </c>
      <c r="AA835" s="21">
        <f>IF(X835&gt;$B$8+$B$9,0,ABS(X835-O835)/X835)</f>
        <v>4.7257055587313017E-5</v>
      </c>
      <c r="AB835">
        <f>IF(OR(Z832&lt;&gt;Z838,X835&gt;$B$8+$B$9),0,((X838-X832)/(W838-W832)-(O838-O832)/(W838-W832))^2)</f>
        <v>7.0352800840033216E-6</v>
      </c>
    </row>
    <row r="836" spans="7:28" x14ac:dyDescent="0.2">
      <c r="G836" s="21"/>
      <c r="H836" s="21">
        <v>721</v>
      </c>
      <c r="I836">
        <f t="shared" si="134"/>
        <v>1.7256387399876363E-2</v>
      </c>
      <c r="J836">
        <f t="shared" si="135"/>
        <v>0.59983909095391508</v>
      </c>
      <c r="K836">
        <f t="shared" si="139"/>
        <v>24.914741038215407</v>
      </c>
      <c r="L836">
        <f>0.5*Z836*K836/J836/$B$7</f>
        <v>31.151780636612731</v>
      </c>
      <c r="M836">
        <f t="shared" ref="M836:M899" si="142">-LN(J836)</f>
        <v>0.51109384147661996</v>
      </c>
      <c r="N836" s="21">
        <f t="shared" si="136"/>
        <v>5.6682308067641587E-2</v>
      </c>
      <c r="O836" s="21">
        <f t="shared" si="137"/>
        <v>16.557683002323035</v>
      </c>
      <c r="P836">
        <f t="shared" ref="P836:P899" si="143">MIN(O836/(K836+$B$9),1)</f>
        <v>0.59315194719719921</v>
      </c>
      <c r="Q836">
        <f t="shared" si="140"/>
        <v>0.59983909095391508</v>
      </c>
      <c r="R836">
        <f t="shared" si="141"/>
        <v>2.0801645907954569</v>
      </c>
      <c r="T836" s="21">
        <f>(M836-M835)/(H836-H835)</f>
        <v>9.777484181210383E-4</v>
      </c>
      <c r="W836">
        <v>721</v>
      </c>
      <c r="X836">
        <v>16.560737</v>
      </c>
      <c r="Y836">
        <v>1.5</v>
      </c>
      <c r="Z836">
        <f t="shared" si="138"/>
        <v>1.5</v>
      </c>
      <c r="AA836" s="21">
        <f>IF(X836&gt;$B$8+$B$9,0,ABS(X836-O836)/X836)</f>
        <v>1.8441194235284159E-4</v>
      </c>
      <c r="AB836">
        <f>IF(OR(Z833&lt;&gt;Z839,X836&gt;$B$8+$B$9),0,((X839-X833)/(W839-W833)-(O839-O833)/(W839-W833))^2)</f>
        <v>7.3846550127192945E-7</v>
      </c>
    </row>
    <row r="837" spans="7:28" x14ac:dyDescent="0.2">
      <c r="G837" s="21"/>
      <c r="H837" s="21">
        <v>722</v>
      </c>
      <c r="I837">
        <f t="shared" ref="I837:I900" si="144">IF(P836&lt;0.999,MAX(0,MIN(10000000,(L836/$E$8/M836^$E$10)^(1/$E$9)/N836)),0.1)</f>
        <v>1.7260017016911915E-2</v>
      </c>
      <c r="J837">
        <f t="shared" ref="J837:J900" si="145">Q837</f>
        <v>0.59925230295452425</v>
      </c>
      <c r="K837">
        <f t="shared" si="139"/>
        <v>24.902923558020195</v>
      </c>
      <c r="L837">
        <f>0.5*Z837*K837/J837/$B$7</f>
        <v>31.167494186388655</v>
      </c>
      <c r="M837">
        <f t="shared" si="142"/>
        <v>0.51207256261366074</v>
      </c>
      <c r="N837" s="21">
        <f t="shared" ref="N837:N900" si="146">-$B$15*(O837-2*(K837+$B$9))/(K837+$B$9)^2/J837</f>
        <v>5.6726747958868409E-2</v>
      </c>
      <c r="O837" s="21">
        <f t="shared" ref="O837:O900" si="147">O836+I837*(H837-H836)</f>
        <v>16.574943019339948</v>
      </c>
      <c r="P837">
        <f t="shared" si="143"/>
        <v>0.59402173341709841</v>
      </c>
      <c r="Q837">
        <f t="shared" si="140"/>
        <v>0.59925230295452425</v>
      </c>
      <c r="R837">
        <f t="shared" si="141"/>
        <v>2.0564532884586568</v>
      </c>
      <c r="T837" s="21">
        <f>(M837-M836)/(H837-H836)</f>
        <v>9.7872113704078334E-4</v>
      </c>
      <c r="W837">
        <v>722</v>
      </c>
      <c r="X837">
        <v>16.578583999999999</v>
      </c>
      <c r="Y837">
        <v>1.5</v>
      </c>
      <c r="Z837">
        <f t="shared" si="138"/>
        <v>1.5</v>
      </c>
      <c r="AA837" s="21">
        <f>IF(X837&gt;$B$8+$B$9,0,ABS(X837-O837)/X837)</f>
        <v>2.1961951998142277E-4</v>
      </c>
      <c r="AB837">
        <f>IF(OR(Z834&lt;&gt;Z840,X837&gt;$B$8+$B$9),0,((X840-X834)/(W840-W834)-(O840-O834)/(W840-W834))^2)</f>
        <v>4.4901723664973266E-6</v>
      </c>
    </row>
    <row r="838" spans="7:28" x14ac:dyDescent="0.2">
      <c r="G838" s="21"/>
      <c r="H838" s="21">
        <v>723</v>
      </c>
      <c r="I838">
        <f t="shared" si="144"/>
        <v>1.726373984093333E-2</v>
      </c>
      <c r="J838">
        <f t="shared" si="145"/>
        <v>0.59866550331853263</v>
      </c>
      <c r="K838">
        <f t="shared" si="139"/>
        <v>24.891146083605697</v>
      </c>
      <c r="L838">
        <f>0.5*Z838*K838/J838/$B$7</f>
        <v>31.183289264575144</v>
      </c>
      <c r="M838">
        <f t="shared" si="142"/>
        <v>0.51305226202183962</v>
      </c>
      <c r="N838" s="21">
        <f t="shared" si="146"/>
        <v>5.6771184558628361E-2</v>
      </c>
      <c r="O838" s="21">
        <f t="shared" si="147"/>
        <v>16.592206759180883</v>
      </c>
      <c r="P838">
        <f t="shared" si="143"/>
        <v>0.59489153688574004</v>
      </c>
      <c r="Q838">
        <f t="shared" si="140"/>
        <v>0.59866550331853263</v>
      </c>
      <c r="R838">
        <f t="shared" si="141"/>
        <v>2.0332759984347253</v>
      </c>
      <c r="T838" s="21">
        <f>(M838-M837)/(H838-H837)</f>
        <v>9.7969940817888013E-4</v>
      </c>
      <c r="W838">
        <v>723</v>
      </c>
      <c r="X838">
        <v>16.576961999999998</v>
      </c>
      <c r="Y838">
        <v>1.5</v>
      </c>
      <c r="Z838">
        <f t="shared" si="138"/>
        <v>1.5</v>
      </c>
      <c r="AA838" s="21">
        <f>IF(X838&gt;$B$8+$B$9,0,ABS(X838-O838)/X838)</f>
        <v>9.1963528545727601E-4</v>
      </c>
      <c r="AB838">
        <f>IF(OR(Z835&lt;&gt;Z841,X838&gt;$B$8+$B$9),0,((X841-X835)/(W841-W835)-(O841-O835)/(W841-W835))^2)</f>
        <v>2.5027211977735119E-7</v>
      </c>
    </row>
    <row r="839" spans="7:28" x14ac:dyDescent="0.2">
      <c r="G839" s="21"/>
      <c r="H839" s="21">
        <v>724</v>
      </c>
      <c r="I839">
        <f t="shared" si="144"/>
        <v>1.7267555835830672E-2</v>
      </c>
      <c r="J839">
        <f t="shared" si="145"/>
        <v>0.59807868987446999</v>
      </c>
      <c r="K839">
        <f t="shared" si="139"/>
        <v>24.879408446536015</v>
      </c>
      <c r="L839">
        <f>0.5*Z839*K839/J839/$B$7</f>
        <v>31.199166014121722</v>
      </c>
      <c r="M839">
        <f t="shared" si="142"/>
        <v>0.51403294526965571</v>
      </c>
      <c r="N839" s="21">
        <f t="shared" si="146"/>
        <v>5.6815618211161822E-2</v>
      </c>
      <c r="O839" s="21">
        <f t="shared" si="147"/>
        <v>16.609474315016712</v>
      </c>
      <c r="P839">
        <f t="shared" si="143"/>
        <v>0.59576136082185849</v>
      </c>
      <c r="Q839">
        <f t="shared" si="140"/>
        <v>0.59807868987446999</v>
      </c>
      <c r="R839">
        <f t="shared" si="141"/>
        <v>2.0106147986197946</v>
      </c>
      <c r="T839" s="21">
        <f>(M839-M838)/(H839-H838)</f>
        <v>9.8068324781608318E-4</v>
      </c>
      <c r="W839">
        <v>724</v>
      </c>
      <c r="X839">
        <v>16.607789</v>
      </c>
      <c r="Y839">
        <v>1.5</v>
      </c>
      <c r="Z839">
        <f t="shared" si="138"/>
        <v>1.5</v>
      </c>
      <c r="AA839" s="21">
        <f>IF(X839&gt;$B$8+$B$9,0,ABS(X839-O839)/X839)</f>
        <v>1.0147738610549192E-4</v>
      </c>
      <c r="AB839">
        <f>IF(OR(Z836&lt;&gt;Z842,X839&gt;$B$8+$B$9),0,((X842-X836)/(W842-W836)-(O842-O836)/(W842-W836))^2)</f>
        <v>1.4054760332425333E-5</v>
      </c>
    </row>
    <row r="840" spans="7:28" x14ac:dyDescent="0.2">
      <c r="G840" s="21"/>
      <c r="H840" s="21">
        <v>725</v>
      </c>
      <c r="I840">
        <f t="shared" si="144"/>
        <v>1.7271464969121013E-2</v>
      </c>
      <c r="J840">
        <f t="shared" si="145"/>
        <v>0.59749186045298364</v>
      </c>
      <c r="K840">
        <f t="shared" si="139"/>
        <v>24.867710479695152</v>
      </c>
      <c r="L840">
        <f>0.5*Z840*K840/J840/$B$7</f>
        <v>31.21512458032721</v>
      </c>
      <c r="M840">
        <f t="shared" si="142"/>
        <v>0.51501461794209147</v>
      </c>
      <c r="N840" s="21">
        <f t="shared" si="146"/>
        <v>5.6860049260698209E-2</v>
      </c>
      <c r="O840" s="21">
        <f t="shared" si="147"/>
        <v>16.626745779985832</v>
      </c>
      <c r="P840">
        <f t="shared" si="143"/>
        <v>0.59663120844105</v>
      </c>
      <c r="Q840">
        <f t="shared" si="140"/>
        <v>0.59749186045298364</v>
      </c>
      <c r="R840">
        <f t="shared" si="141"/>
        <v>1.9884525600898759</v>
      </c>
      <c r="T840" s="21">
        <f>(M840-M839)/(H840-H839)</f>
        <v>9.8167267243576273E-4</v>
      </c>
      <c r="W840">
        <v>725</v>
      </c>
      <c r="X840">
        <v>16.617522999999998</v>
      </c>
      <c r="Y840">
        <v>1.5</v>
      </c>
      <c r="Z840">
        <f t="shared" si="138"/>
        <v>1.5</v>
      </c>
      <c r="AA840" s="21">
        <f>IF(X840&gt;$B$8+$B$9,0,ABS(X840-O840)/X840)</f>
        <v>5.5500329295969924E-4</v>
      </c>
      <c r="AB840">
        <f>IF(OR(Z837&lt;&gt;Z843,X840&gt;$B$8+$B$9),0,((X843-X837)/(W843-W837)-(O843-O837)/(W843-W837))^2)</f>
        <v>1.0721114100132845E-9</v>
      </c>
    </row>
    <row r="841" spans="7:28" x14ac:dyDescent="0.2">
      <c r="G841" s="21"/>
      <c r="H841" s="21">
        <v>726</v>
      </c>
      <c r="I841">
        <f t="shared" si="144"/>
        <v>1.7275467211938535E-2</v>
      </c>
      <c r="J841">
        <f t="shared" si="145"/>
        <v>0.59690501288676212</v>
      </c>
      <c r="K841">
        <f t="shared" si="139"/>
        <v>24.856052017275843</v>
      </c>
      <c r="L841">
        <f>0.5*Z841*K841/J841/$B$7</f>
        <v>31.231165110843914</v>
      </c>
      <c r="M841">
        <f t="shared" si="142"/>
        <v>0.51599728564081715</v>
      </c>
      <c r="N841" s="21">
        <f t="shared" si="146"/>
        <v>5.6904478051472113E-2</v>
      </c>
      <c r="O841" s="21">
        <f t="shared" si="147"/>
        <v>16.64402124719777</v>
      </c>
      <c r="P841">
        <f t="shared" si="143"/>
        <v>0.59750108295588455</v>
      </c>
      <c r="Q841">
        <f t="shared" si="140"/>
        <v>0.59690501288676212</v>
      </c>
      <c r="R841">
        <f t="shared" si="141"/>
        <v>1.9667729036995172</v>
      </c>
      <c r="T841" s="21">
        <f>(M841-M840)/(H841-H840)</f>
        <v>9.8266769872568105E-4</v>
      </c>
      <c r="W841">
        <v>726</v>
      </c>
      <c r="X841">
        <v>16.640238</v>
      </c>
      <c r="Y841">
        <v>1.5</v>
      </c>
      <c r="Z841">
        <f t="shared" si="138"/>
        <v>1.5</v>
      </c>
      <c r="AA841" s="21">
        <f>IF(X841&gt;$B$8+$B$9,0,ABS(X841-O841)/X841)</f>
        <v>2.2735535379783168E-4</v>
      </c>
      <c r="AB841">
        <f>IF(OR(Z838&lt;&gt;Z844,X841&gt;$B$8+$B$9),0,((X844-X838)/(W844-W838)-(O844-O838)/(W844-W838))^2)</f>
        <v>2.7264428103217996E-6</v>
      </c>
    </row>
    <row r="842" spans="7:28" x14ac:dyDescent="0.2">
      <c r="G842" s="21"/>
      <c r="H842" s="21">
        <v>727</v>
      </c>
      <c r="I842">
        <f t="shared" si="144"/>
        <v>1.7279562539024913E-2</v>
      </c>
      <c r="J842">
        <f t="shared" si="145"/>
        <v>0.59631814501045988</v>
      </c>
      <c r="K842">
        <f t="shared" si="139"/>
        <v>24.844432894768484</v>
      </c>
      <c r="L842">
        <f>0.5*Z842*K842/J842/$B$7</f>
        <v>31.247287755682027</v>
      </c>
      <c r="M842">
        <f t="shared" si="142"/>
        <v>0.51698095398439459</v>
      </c>
      <c r="N842" s="21">
        <f t="shared" si="146"/>
        <v>5.6948904927739193E-2</v>
      </c>
      <c r="O842" s="21">
        <f t="shared" si="147"/>
        <v>16.661300809736794</v>
      </c>
      <c r="P842">
        <f t="shared" si="143"/>
        <v>0.59837098757601848</v>
      </c>
      <c r="Q842">
        <f t="shared" si="140"/>
        <v>0.59631814501045988</v>
      </c>
      <c r="R842">
        <f t="shared" si="141"/>
        <v>1.945560159499403</v>
      </c>
      <c r="T842" s="21">
        <f>(M842-M841)/(H842-H841)</f>
        <v>9.8366834357743738E-4</v>
      </c>
      <c r="W842">
        <v>727</v>
      </c>
      <c r="X842">
        <v>16.641860999999999</v>
      </c>
      <c r="Y842">
        <v>1.5</v>
      </c>
      <c r="Z842">
        <f t="shared" si="138"/>
        <v>1.5</v>
      </c>
      <c r="AA842" s="21">
        <f>IF(X842&gt;$B$8+$B$9,0,ABS(X842-O842)/X842)</f>
        <v>1.1681271545769525E-3</v>
      </c>
      <c r="AB842">
        <f>IF(OR(Z839&lt;&gt;Z845,X842&gt;$B$8+$B$9),0,((X845-X839)/(W845-W839)-(O845-O839)/(W845-W839))^2)</f>
        <v>1.7621167940146191E-6</v>
      </c>
    </row>
    <row r="843" spans="7:28" x14ac:dyDescent="0.2">
      <c r="G843" s="21"/>
      <c r="H843" s="21">
        <v>728</v>
      </c>
      <c r="I843">
        <f t="shared" si="144"/>
        <v>1.7283750928720181E-2</v>
      </c>
      <c r="J843">
        <f t="shared" si="145"/>
        <v>0.59573125466062171</v>
      </c>
      <c r="K843">
        <f t="shared" si="139"/>
        <v>24.832852948950237</v>
      </c>
      <c r="L843">
        <f>0.5*Z843*K843/J843/$B$7</f>
        <v>31.263492667214226</v>
      </c>
      <c r="M843">
        <f t="shared" si="142"/>
        <v>0.51796562860848328</v>
      </c>
      <c r="N843" s="21">
        <f t="shared" si="146"/>
        <v>5.6993330233792147E-2</v>
      </c>
      <c r="O843" s="21">
        <f t="shared" si="147"/>
        <v>16.678584560665513</v>
      </c>
      <c r="P843">
        <f t="shared" si="143"/>
        <v>0.59924092550830566</v>
      </c>
      <c r="Q843">
        <f t="shared" si="140"/>
        <v>0.59573125466062171</v>
      </c>
      <c r="R843">
        <f t="shared" si="141"/>
        <v>1.9247993287616214</v>
      </c>
      <c r="T843" s="21">
        <f>(M843-M842)/(H843-H842)</f>
        <v>9.8467462408868833E-4</v>
      </c>
      <c r="W843">
        <v>728</v>
      </c>
      <c r="X843">
        <v>16.682421999999999</v>
      </c>
      <c r="Y843">
        <v>1.5</v>
      </c>
      <c r="Z843">
        <f t="shared" si="138"/>
        <v>1.5</v>
      </c>
      <c r="AA843" s="21">
        <f>IF(X843&gt;$B$8+$B$9,0,ABS(X843-O843)/X843)</f>
        <v>2.300289091407706E-4</v>
      </c>
      <c r="AB843">
        <f>IF(OR(Z840&lt;&gt;Z846,X843&gt;$B$8+$B$9),0,((X846-X840)/(W846-W840)-(O846-O840)/(W846-W840))^2)</f>
        <v>1.2147367604784312E-6</v>
      </c>
    </row>
    <row r="844" spans="7:28" x14ac:dyDescent="0.2">
      <c r="G844" s="21"/>
      <c r="H844" s="21">
        <v>729</v>
      </c>
      <c r="I844">
        <f t="shared" si="144"/>
        <v>1.7288032362954012E-2</v>
      </c>
      <c r="J844">
        <f t="shared" si="145"/>
        <v>0.59514433967560798</v>
      </c>
      <c r="K844">
        <f t="shared" si="139"/>
        <v>24.821312017874209</v>
      </c>
      <c r="L844">
        <f>0.5*Z844*K844/J844/$B$7</f>
        <v>31.279780000180409</v>
      </c>
      <c r="M844">
        <f t="shared" si="142"/>
        <v>0.51895131516604576</v>
      </c>
      <c r="N844" s="21">
        <f t="shared" si="146"/>
        <v>5.7037754313976674E-2</v>
      </c>
      <c r="O844" s="21">
        <f t="shared" si="147"/>
        <v>16.695872593028469</v>
      </c>
      <c r="P844">
        <f t="shared" si="143"/>
        <v>0.60011089995690936</v>
      </c>
      <c r="Q844">
        <f t="shared" si="140"/>
        <v>0.59514433967560798</v>
      </c>
      <c r="R844">
        <f t="shared" si="141"/>
        <v>1.9044760484191419</v>
      </c>
      <c r="T844" s="21">
        <f>(M844-M843)/(H844-H843)</f>
        <v>9.856865575624818E-4</v>
      </c>
      <c r="W844">
        <v>729</v>
      </c>
      <c r="X844">
        <v>16.690535000000001</v>
      </c>
      <c r="Y844">
        <v>1.5</v>
      </c>
      <c r="Z844">
        <f t="shared" si="138"/>
        <v>1.5</v>
      </c>
      <c r="AA844" s="21">
        <f>IF(X844&gt;$B$8+$B$9,0,ABS(X844-O844)/X844)</f>
        <v>3.1979759956574398E-4</v>
      </c>
      <c r="AB844">
        <f>IF(OR(Z841&lt;&gt;Z847,X844&gt;$B$8+$B$9),0,((X847-X841)/(W847-W841)-(O847-O841)/(W847-W841))^2)</f>
        <v>7.3992506822879261E-6</v>
      </c>
    </row>
    <row r="845" spans="7:28" x14ac:dyDescent="0.2">
      <c r="G845" s="21"/>
      <c r="H845" s="21">
        <v>730</v>
      </c>
      <c r="I845">
        <f t="shared" si="144"/>
        <v>1.7292406827237244E-2</v>
      </c>
      <c r="J845">
        <f t="shared" si="145"/>
        <v>0.59455739789551931</v>
      </c>
      <c r="K845">
        <f t="shared" si="139"/>
        <v>24.80980994085882</v>
      </c>
      <c r="L845">
        <f>0.5*Z845*K845/J845/$B$7</f>
        <v>31.296149911692726</v>
      </c>
      <c r="M845">
        <f t="shared" si="142"/>
        <v>0.51993801932755557</v>
      </c>
      <c r="N845" s="21">
        <f t="shared" si="146"/>
        <v>5.7082177512707444E-2</v>
      </c>
      <c r="O845" s="21">
        <f t="shared" si="147"/>
        <v>16.713164999855707</v>
      </c>
      <c r="P845">
        <f t="shared" si="143"/>
        <v>0.60098091412341281</v>
      </c>
      <c r="Q845">
        <f t="shared" si="140"/>
        <v>0.59455739789551931</v>
      </c>
      <c r="R845">
        <f t="shared" si="141"/>
        <v>1.8845765577423605</v>
      </c>
      <c r="T845" s="21">
        <f>(M845-M844)/(H845-H844)</f>
        <v>9.8670416150981044E-4</v>
      </c>
      <c r="W845">
        <v>730</v>
      </c>
      <c r="X845">
        <v>16.703514999999999</v>
      </c>
      <c r="Y845">
        <v>1.5</v>
      </c>
      <c r="Z845">
        <f t="shared" si="138"/>
        <v>1.5</v>
      </c>
      <c r="AA845" s="21">
        <f>IF(X845&gt;$B$8+$B$9,0,ABS(X845-O845)/X845)</f>
        <v>5.7772270421567776E-4</v>
      </c>
      <c r="AB845">
        <f>IF(OR(Z842&lt;&gt;Z848,X845&gt;$B$8+$B$9),0,((X848-X842)/(W848-W842)-(O848-O842)/(W848-W842))^2)</f>
        <v>1.8593197157662283E-6</v>
      </c>
    </row>
    <row r="846" spans="7:28" x14ac:dyDescent="0.2">
      <c r="G846" s="21"/>
      <c r="H846" s="21">
        <v>731</v>
      </c>
      <c r="I846">
        <f t="shared" si="144"/>
        <v>1.7296874310653899E-2</v>
      </c>
      <c r="J846">
        <f t="shared" si="145"/>
        <v>0.59397042716212201</v>
      </c>
      <c r="K846">
        <f t="shared" si="139"/>
        <v>24.798346558477238</v>
      </c>
      <c r="L846">
        <f>0.5*Z846*K846/J846/$B$7</f>
        <v>31.312602561240759</v>
      </c>
      <c r="M846">
        <f t="shared" si="142"/>
        <v>0.52092574678120585</v>
      </c>
      <c r="N846" s="21">
        <f t="shared" si="146"/>
        <v>5.7126600174484024E-2</v>
      </c>
      <c r="O846" s="21">
        <f t="shared" si="147"/>
        <v>16.730461874166359</v>
      </c>
      <c r="P846">
        <f t="shared" si="143"/>
        <v>0.60185097120693043</v>
      </c>
      <c r="Q846">
        <f t="shared" si="140"/>
        <v>0.59397042716212201</v>
      </c>
      <c r="R846">
        <f t="shared" si="141"/>
        <v>1.8650876670901879</v>
      </c>
      <c r="T846" s="21">
        <f>(M846-M845)/(H846-H845)</f>
        <v>9.8772745365027781E-4</v>
      </c>
      <c r="W846">
        <v>731</v>
      </c>
      <c r="X846">
        <v>16.727851999999999</v>
      </c>
      <c r="Y846">
        <v>1.5</v>
      </c>
      <c r="Z846">
        <f t="shared" si="138"/>
        <v>1.5</v>
      </c>
      <c r="AA846" s="21">
        <f>IF(X846&gt;$B$8+$B$9,0,ABS(X846-O846)/X846)</f>
        <v>1.5601968300295047E-4</v>
      </c>
      <c r="AB846">
        <f>IF(OR(Z843&lt;&gt;Z849,X846&gt;$B$8+$B$9),0,((X849-X843)/(W849-W843)-(O849-O843)/(W849-W843))^2)</f>
        <v>1.8088776966847509E-6</v>
      </c>
    </row>
    <row r="847" spans="7:28" x14ac:dyDescent="0.2">
      <c r="G847" s="21"/>
      <c r="H847" s="21">
        <v>732</v>
      </c>
      <c r="I847">
        <f t="shared" si="144"/>
        <v>1.7301434805853593E-2</v>
      </c>
      <c r="J847">
        <f t="shared" si="145"/>
        <v>0.59338342531877375</v>
      </c>
      <c r="K847">
        <f t="shared" si="139"/>
        <v>24.786921712546999</v>
      </c>
      <c r="L847">
        <f>0.5*Z847*K847/J847/$B$7</f>
        <v>31.329138110696878</v>
      </c>
      <c r="M847">
        <f t="shared" si="142"/>
        <v>0.52191450323311739</v>
      </c>
      <c r="N847" s="21">
        <f t="shared" si="146"/>
        <v>5.7171022643906812E-2</v>
      </c>
      <c r="O847" s="21">
        <f t="shared" si="147"/>
        <v>16.747763308972214</v>
      </c>
      <c r="P847">
        <f t="shared" si="143"/>
        <v>0.60272107440421774</v>
      </c>
      <c r="Q847">
        <f t="shared" si="140"/>
        <v>0.59338342531877375</v>
      </c>
      <c r="R847">
        <f t="shared" si="141"/>
        <v>1.8459967285865952</v>
      </c>
      <c r="T847" s="21">
        <f>(M847-M846)/(H847-H846)</f>
        <v>9.8875645191154327E-4</v>
      </c>
      <c r="W847">
        <v>732</v>
      </c>
      <c r="X847">
        <v>16.760300999999998</v>
      </c>
      <c r="Y847">
        <v>1.5</v>
      </c>
      <c r="Z847">
        <f t="shared" si="138"/>
        <v>1.5</v>
      </c>
      <c r="AA847" s="21">
        <f>IF(X847&gt;$B$8+$B$9,0,ABS(X847-O847)/X847)</f>
        <v>7.4805882231973933E-4</v>
      </c>
      <c r="AB847">
        <f>IF(OR(Z844&lt;&gt;Z850,X847&gt;$B$8+$B$9),0,((X850-X844)/(W850-W844)-(O850-O844)/(W850-W844))^2)</f>
        <v>7.4500481985811563E-8</v>
      </c>
    </row>
    <row r="848" spans="7:28" x14ac:dyDescent="0.2">
      <c r="G848" s="21"/>
      <c r="H848" s="21">
        <v>733</v>
      </c>
      <c r="I848">
        <f t="shared" si="144"/>
        <v>1.7306088309044128E-2</v>
      </c>
      <c r="J848">
        <f t="shared" si="145"/>
        <v>0.59279639021034947</v>
      </c>
      <c r="K848">
        <f t="shared" si="139"/>
        <v>24.775535246119695</v>
      </c>
      <c r="L848">
        <f>0.5*Z848*K848/J848/$B$7</f>
        <v>31.345756724321838</v>
      </c>
      <c r="M848">
        <f t="shared" si="142"/>
        <v>0.52290429440754949</v>
      </c>
      <c r="N848" s="21">
        <f t="shared" si="146"/>
        <v>5.7215445265693006E-2</v>
      </c>
      <c r="O848" s="21">
        <f t="shared" si="147"/>
        <v>16.765069397281259</v>
      </c>
      <c r="P848">
        <f t="shared" si="143"/>
        <v>0.60359122690978118</v>
      </c>
      <c r="Q848">
        <f t="shared" si="140"/>
        <v>0.59279639021034947</v>
      </c>
      <c r="R848">
        <f t="shared" si="141"/>
        <v>1.8272916085855853</v>
      </c>
      <c r="T848" s="21">
        <f>(M848-M847)/(H848-H847)</f>
        <v>9.8979117443209752E-4</v>
      </c>
      <c r="W848">
        <v>733</v>
      </c>
      <c r="X848">
        <v>16.753810999999999</v>
      </c>
      <c r="Y848">
        <v>1.5</v>
      </c>
      <c r="Z848">
        <f t="shared" si="138"/>
        <v>1.5</v>
      </c>
      <c r="AA848" s="21">
        <f>IF(X848&gt;$B$8+$B$9,0,ABS(X848-O848)/X848)</f>
        <v>6.719902284477307E-4</v>
      </c>
      <c r="AB848">
        <f>IF(OR(Z845&lt;&gt;Z851,X848&gt;$B$8+$B$9),0,((X851-X845)/(W851-W845)-(O851-O845)/(W851-W845))^2)</f>
        <v>2.6252027879131268E-6</v>
      </c>
    </row>
    <row r="849" spans="7:28" x14ac:dyDescent="0.2">
      <c r="G849" s="21"/>
      <c r="H849" s="21">
        <v>734</v>
      </c>
      <c r="I849">
        <f t="shared" si="144"/>
        <v>1.7310834819984803E-2</v>
      </c>
      <c r="J849">
        <f t="shared" si="145"/>
        <v>0.59220931968316737</v>
      </c>
      <c r="K849">
        <f t="shared" si="139"/>
        <v>24.764187003470841</v>
      </c>
      <c r="L849">
        <f>0.5*Z849*K849/J849/$B$7</f>
        <v>31.362458568770553</v>
      </c>
      <c r="M849">
        <f t="shared" si="142"/>
        <v>0.52389512604711086</v>
      </c>
      <c r="N849" s="21">
        <f t="shared" si="146"/>
        <v>5.7259868384692533E-2</v>
      </c>
      <c r="O849" s="21">
        <f t="shared" si="147"/>
        <v>16.782380232101243</v>
      </c>
      <c r="P849">
        <f t="shared" si="143"/>
        <v>0.60446143191598778</v>
      </c>
      <c r="Q849">
        <f t="shared" si="140"/>
        <v>0.59220931968316737</v>
      </c>
      <c r="R849">
        <f t="shared" si="141"/>
        <v>1.8089606617986156</v>
      </c>
      <c r="T849" s="21">
        <f>(M849-M848)/(H849-H848)</f>
        <v>9.9083163956137366E-4</v>
      </c>
      <c r="W849">
        <v>734</v>
      </c>
      <c r="X849">
        <v>16.778147999999998</v>
      </c>
      <c r="Y849">
        <v>1.5</v>
      </c>
      <c r="Z849">
        <f t="shared" si="138"/>
        <v>1.5</v>
      </c>
      <c r="AA849" s="21">
        <f>IF(X849&gt;$B$8+$B$9,0,ABS(X849-O849)/X849)</f>
        <v>2.5224667831305961E-4</v>
      </c>
      <c r="AB849">
        <f>IF(OR(Z846&lt;&gt;Z852,X849&gt;$B$8+$B$9),0,((X852-X846)/(W852-W846)-(O852-O846)/(W852-W846))^2)</f>
        <v>7.6938888548587746E-8</v>
      </c>
    </row>
    <row r="850" spans="7:28" x14ac:dyDescent="0.2">
      <c r="G850" s="21"/>
      <c r="H850" s="21">
        <v>735</v>
      </c>
      <c r="I850">
        <f t="shared" si="144"/>
        <v>1.7315674341979635E-2</v>
      </c>
      <c r="J850">
        <f t="shared" si="145"/>
        <v>0.59162221158491524</v>
      </c>
      <c r="K850">
        <f t="shared" si="139"/>
        <v>24.7528768300898</v>
      </c>
      <c r="L850">
        <f>0.5*Z850*K850/J850/$B$7</f>
        <v>31.379243813098071</v>
      </c>
      <c r="M850">
        <f t="shared" si="142"/>
        <v>0.52488700391297138</v>
      </c>
      <c r="N850" s="21">
        <f t="shared" si="146"/>
        <v>5.7304292345903916E-2</v>
      </c>
      <c r="O850" s="21">
        <f t="shared" si="147"/>
        <v>16.799695906443223</v>
      </c>
      <c r="P850">
        <f t="shared" si="143"/>
        <v>0.60533169261317488</v>
      </c>
      <c r="Q850">
        <f t="shared" si="140"/>
        <v>0.59162221158491524</v>
      </c>
      <c r="R850">
        <f t="shared" si="141"/>
        <v>1.7909927069685376</v>
      </c>
      <c r="T850" s="21">
        <f>(M850-M849)/(H850-H849)</f>
        <v>9.9187786586052429E-4</v>
      </c>
      <c r="W850">
        <v>735</v>
      </c>
      <c r="X850">
        <v>16.795995999999999</v>
      </c>
      <c r="Y850">
        <v>1.5</v>
      </c>
      <c r="Z850">
        <f t="shared" si="138"/>
        <v>1.5</v>
      </c>
      <c r="AA850" s="21">
        <f>IF(X850&gt;$B$8+$B$9,0,ABS(X850-O850)/X850)</f>
        <v>2.2028502764728634E-4</v>
      </c>
      <c r="AB850">
        <f>IF(OR(Z847&lt;&gt;Z853,X850&gt;$B$8+$B$9),0,((X853-X847)/(W853-W847)-(O853-O847)/(W853-W847))^2)</f>
        <v>1.2441595867979866E-5</v>
      </c>
    </row>
    <row r="851" spans="7:28" x14ac:dyDescent="0.2">
      <c r="G851" s="21"/>
      <c r="H851" s="21">
        <v>736</v>
      </c>
      <c r="I851">
        <f t="shared" si="144"/>
        <v>1.7320606881871429E-2</v>
      </c>
      <c r="J851">
        <f t="shared" si="145"/>
        <v>0.59103506376457693</v>
      </c>
      <c r="K851">
        <f t="shared" si="139"/>
        <v>24.741604572669889</v>
      </c>
      <c r="L851">
        <f>0.5*Z851*K851/J851/$B$7</f>
        <v>31.396112628765774</v>
      </c>
      <c r="M851">
        <f t="shared" si="142"/>
        <v>0.52587993378507547</v>
      </c>
      <c r="N851" s="21">
        <f t="shared" si="146"/>
        <v>5.7348717494490352E-2</v>
      </c>
      <c r="O851" s="21">
        <f t="shared" si="147"/>
        <v>16.817016513325093</v>
      </c>
      <c r="P851">
        <f t="shared" si="143"/>
        <v>0.60620201218975855</v>
      </c>
      <c r="Q851">
        <f t="shared" si="140"/>
        <v>0.59103506376457693</v>
      </c>
      <c r="R851">
        <f t="shared" si="141"/>
        <v>1.773377003983289</v>
      </c>
      <c r="T851" s="21">
        <f>(M851-M850)/(H851-H850)</f>
        <v>9.929298721040869E-4</v>
      </c>
      <c r="W851">
        <v>736</v>
      </c>
      <c r="X851">
        <v>16.817087999999998</v>
      </c>
      <c r="Y851">
        <v>1.5</v>
      </c>
      <c r="Z851">
        <f t="shared" si="138"/>
        <v>1.5</v>
      </c>
      <c r="AA851" s="21">
        <f>IF(X851&gt;$B$8+$B$9,0,ABS(X851-O851)/X851)</f>
        <v>4.2508355135547096E-6</v>
      </c>
      <c r="AB851">
        <f>IF(OR(Z848&lt;&gt;Z854,X851&gt;$B$8+$B$9),0,((X854-X848)/(W854-W848)-(O854-O848)/(W854-W848))^2)</f>
        <v>6.4307694986030297E-8</v>
      </c>
    </row>
    <row r="852" spans="7:28" x14ac:dyDescent="0.2">
      <c r="G852" s="21"/>
      <c r="H852" s="21">
        <v>737</v>
      </c>
      <c r="I852">
        <f t="shared" si="144"/>
        <v>1.7325632450035856E-2</v>
      </c>
      <c r="J852">
        <f t="shared" si="145"/>
        <v>0.59044787407235844</v>
      </c>
      <c r="K852">
        <f t="shared" si="139"/>
        <v>24.730370079098556</v>
      </c>
      <c r="L852">
        <f>0.5*Z852*K852/J852/$B$7</f>
        <v>31.413065189647746</v>
      </c>
      <c r="M852">
        <f t="shared" si="142"/>
        <v>0.52687392146235734</v>
      </c>
      <c r="N852" s="21">
        <f t="shared" si="146"/>
        <v>5.7393144175795566E-2</v>
      </c>
      <c r="O852" s="21">
        <f t="shared" si="147"/>
        <v>16.834342145775128</v>
      </c>
      <c r="P852">
        <f t="shared" si="143"/>
        <v>0.60707239383234257</v>
      </c>
      <c r="Q852">
        <f t="shared" si="140"/>
        <v>0.59044787407235844</v>
      </c>
      <c r="R852">
        <f t="shared" si="141"/>
        <v>1.756103232330865</v>
      </c>
      <c r="T852" s="21">
        <f>(M852-M851)/(H852-H851)</f>
        <v>9.9398767728187121E-4</v>
      </c>
      <c r="W852">
        <v>737</v>
      </c>
      <c r="X852">
        <v>16.830068000000001</v>
      </c>
      <c r="Y852">
        <v>1.5</v>
      </c>
      <c r="Z852">
        <f t="shared" si="138"/>
        <v>1.5</v>
      </c>
      <c r="AA852" s="21">
        <f>IF(X852&gt;$B$8+$B$9,0,ABS(X852-O852)/X852)</f>
        <v>2.5395891300781647E-4</v>
      </c>
      <c r="AB852">
        <f>IF(OR(Z849&lt;&gt;Z855,X852&gt;$B$8+$B$9),0,((X855-X849)/(W855-W849)-(O855-O849)/(W855-W849))^2)</f>
        <v>1.8878278852907222E-6</v>
      </c>
    </row>
    <row r="853" spans="7:28" x14ac:dyDescent="0.2">
      <c r="G853" s="21"/>
      <c r="H853" s="21">
        <v>738</v>
      </c>
      <c r="I853">
        <f t="shared" si="144"/>
        <v>1.7330751060376078E-2</v>
      </c>
      <c r="J853">
        <f t="shared" si="145"/>
        <v>0.58986064035961583</v>
      </c>
      <c r="K853">
        <f t="shared" si="139"/>
        <v>24.719173198447692</v>
      </c>
      <c r="L853">
        <f>0.5*Z853*K853/J853/$B$7</f>
        <v>31.430101672037324</v>
      </c>
      <c r="M853">
        <f t="shared" si="142"/>
        <v>0.5278689727629543</v>
      </c>
      <c r="N853" s="21">
        <f t="shared" si="146"/>
        <v>5.74375727353598E-2</v>
      </c>
      <c r="O853" s="21">
        <f t="shared" si="147"/>
        <v>16.851672896835506</v>
      </c>
      <c r="P853">
        <f t="shared" si="143"/>
        <v>0.60794284072582727</v>
      </c>
      <c r="Q853">
        <f t="shared" si="140"/>
        <v>0.58986064035961583</v>
      </c>
      <c r="R853">
        <f t="shared" si="141"/>
        <v>1.7391614708047558</v>
      </c>
      <c r="T853" s="21">
        <f>(M853-M852)/(H853-H852)</f>
        <v>9.9505130059696079E-4</v>
      </c>
      <c r="W853">
        <v>738</v>
      </c>
      <c r="X853">
        <v>16.843046999999999</v>
      </c>
      <c r="Y853">
        <v>1.5</v>
      </c>
      <c r="Z853">
        <f t="shared" si="138"/>
        <v>1.5</v>
      </c>
      <c r="AA853" s="21">
        <f>IF(X853&gt;$B$8+$B$9,0,ABS(X853-O853)/X853)</f>
        <v>5.1213398831621848E-4</v>
      </c>
      <c r="AB853">
        <f>IF(OR(Z850&lt;&gt;Z856,X853&gt;$B$8+$B$9),0,((X856-X850)/(W856-W850)-(O856-O850)/(W856-W850))^2)</f>
        <v>2.7213373909773727E-6</v>
      </c>
    </row>
    <row r="854" spans="7:28" x14ac:dyDescent="0.2">
      <c r="G854" s="21"/>
      <c r="H854" s="21">
        <v>739</v>
      </c>
      <c r="I854">
        <f t="shared" si="144"/>
        <v>1.7335962730317612E-2</v>
      </c>
      <c r="J854">
        <f t="shared" si="145"/>
        <v>0.58927336047878154</v>
      </c>
      <c r="K854">
        <f t="shared" si="139"/>
        <v>24.708013780964087</v>
      </c>
      <c r="L854">
        <f>0.5*Z854*K854/J854/$B$7</f>
        <v>31.447222254653965</v>
      </c>
      <c r="M854">
        <f t="shared" si="142"/>
        <v>0.52886509352442457</v>
      </c>
      <c r="N854" s="21">
        <f t="shared" si="146"/>
        <v>5.7482003518935766E-2</v>
      </c>
      <c r="O854" s="21">
        <f t="shared" si="147"/>
        <v>16.869008859565824</v>
      </c>
      <c r="P854">
        <f t="shared" si="143"/>
        <v>0.60881335605351627</v>
      </c>
      <c r="Q854">
        <f t="shared" si="140"/>
        <v>0.58927336047878154</v>
      </c>
      <c r="R854">
        <f t="shared" si="141"/>
        <v>1.7225421783760309</v>
      </c>
      <c r="T854" s="21">
        <f>(M854-M853)/(H854-H853)</f>
        <v>9.9612076147026496E-4</v>
      </c>
      <c r="W854">
        <v>739</v>
      </c>
      <c r="X854">
        <v>16.859272000000001</v>
      </c>
      <c r="Y854">
        <v>1.5</v>
      </c>
      <c r="Z854">
        <f t="shared" si="138"/>
        <v>1.5</v>
      </c>
      <c r="AA854" s="21">
        <f>IF(X854&gt;$B$8+$B$9,0,ABS(X854-O854)/X854)</f>
        <v>5.7753736732067391E-4</v>
      </c>
      <c r="AB854">
        <f>IF(OR(Z851&lt;&gt;Z857,X854&gt;$B$8+$B$9),0,((X857-X851)/(W857-W851)-(O857-O851)/(W857-W851))^2)</f>
        <v>2.6731373699853968E-5</v>
      </c>
    </row>
    <row r="855" spans="7:28" x14ac:dyDescent="0.2">
      <c r="G855" s="21"/>
      <c r="H855" s="21">
        <v>740</v>
      </c>
      <c r="I855">
        <f t="shared" si="144"/>
        <v>1.734126748080371E-2</v>
      </c>
      <c r="J855">
        <f t="shared" si="145"/>
        <v>0.58868603228329186</v>
      </c>
      <c r="K855">
        <f t="shared" si="139"/>
        <v>24.69689167805992</v>
      </c>
      <c r="L855">
        <f>0.5*Z855*K855/J855/$B$7</f>
        <v>31.464427118650104</v>
      </c>
      <c r="M855">
        <f t="shared" si="142"/>
        <v>0.5298622896039642</v>
      </c>
      <c r="N855" s="21">
        <f t="shared" si="146"/>
        <v>5.752643687250461E-2</v>
      </c>
      <c r="O855" s="21">
        <f t="shared" si="147"/>
        <v>16.886350127046626</v>
      </c>
      <c r="P855">
        <f t="shared" si="143"/>
        <v>0.60968394299722595</v>
      </c>
      <c r="Q855">
        <f t="shared" si="140"/>
        <v>0.58868603228329186</v>
      </c>
      <c r="R855">
        <f t="shared" si="141"/>
        <v>1.7062361761544738</v>
      </c>
      <c r="T855" s="21">
        <f>(M855-M854)/(H855-H854)</f>
        <v>9.9719607953963063E-4</v>
      </c>
      <c r="W855">
        <v>740</v>
      </c>
      <c r="X855">
        <v>16.873874000000001</v>
      </c>
      <c r="Y855">
        <v>1.5</v>
      </c>
      <c r="Z855">
        <f t="shared" si="138"/>
        <v>1.5</v>
      </c>
      <c r="AA855" s="21">
        <f>IF(X855&gt;$B$8+$B$9,0,ABS(X855-O855)/X855)</f>
        <v>7.3937538271443481E-4</v>
      </c>
      <c r="AB855">
        <f>IF(OR(Z852&lt;&gt;Z858,X855&gt;$B$8+$B$9),0,((X858-X852)/(W858-W852)-(O858-O852)/(W858-W852))^2)</f>
        <v>7.5181466826897574E-6</v>
      </c>
    </row>
    <row r="856" spans="7:28" x14ac:dyDescent="0.2">
      <c r="G856" s="21"/>
      <c r="H856" s="21">
        <v>741</v>
      </c>
      <c r="I856">
        <f t="shared" si="144"/>
        <v>1.7346665336290926E-2</v>
      </c>
      <c r="J856">
        <f t="shared" si="145"/>
        <v>0.58809865362751412</v>
      </c>
      <c r="K856">
        <f t="shared" si="139"/>
        <v>24.685806742303456</v>
      </c>
      <c r="L856">
        <f>0.5*Z856*K856/J856/$B$7</f>
        <v>31.481716447618474</v>
      </c>
      <c r="M856">
        <f t="shared" si="142"/>
        <v>0.53086056687862604</v>
      </c>
      <c r="N856" s="21">
        <f t="shared" si="146"/>
        <v>5.7570873142291951E-2</v>
      </c>
      <c r="O856" s="21">
        <f t="shared" si="147"/>
        <v>16.903696792382917</v>
      </c>
      <c r="P856">
        <f t="shared" si="143"/>
        <v>0.61055460473739231</v>
      </c>
      <c r="Q856">
        <f t="shared" si="140"/>
        <v>0.58809865362751412</v>
      </c>
      <c r="R856">
        <f t="shared" si="141"/>
        <v>1.6902346303672109</v>
      </c>
      <c r="T856" s="21">
        <f>(M856-M855)/(H856-H855)</f>
        <v>9.9827727466184069E-4</v>
      </c>
      <c r="W856">
        <v>741</v>
      </c>
      <c r="X856">
        <v>16.890098999999999</v>
      </c>
      <c r="Y856">
        <v>1.5</v>
      </c>
      <c r="Z856">
        <f t="shared" si="138"/>
        <v>1.5</v>
      </c>
      <c r="AA856" s="21">
        <f>IF(X856&gt;$B$8+$B$9,0,ABS(X856-O856)/X856)</f>
        <v>8.0507475905957466E-4</v>
      </c>
      <c r="AB856">
        <f>IF(OR(Z853&lt;&gt;Z859,X856&gt;$B$8+$B$9),0,((X859-X853)/(W859-W853)-(O859-O853)/(W859-W853))^2)</f>
        <v>1.2649539063861734E-6</v>
      </c>
    </row>
    <row r="857" spans="7:28" x14ac:dyDescent="0.2">
      <c r="G857" s="21"/>
      <c r="H857" s="21">
        <v>742</v>
      </c>
      <c r="I857">
        <f t="shared" si="144"/>
        <v>1.7352156324745235E-2</v>
      </c>
      <c r="J857">
        <f t="shared" si="145"/>
        <v>0.58751122236667475</v>
      </c>
      <c r="K857">
        <f t="shared" si="139"/>
        <v>24.674758827409782</v>
      </c>
      <c r="L857">
        <f>0.5*Z857*K857/J857/$B$7</f>
        <v>31.499090427599381</v>
      </c>
      <c r="M857">
        <f t="shared" si="142"/>
        <v>0.53185993124553899</v>
      </c>
      <c r="N857" s="21">
        <f t="shared" si="146"/>
        <v>5.7615312674783814E-2</v>
      </c>
      <c r="O857" s="21">
        <f t="shared" si="147"/>
        <v>16.921048948707661</v>
      </c>
      <c r="P857">
        <f t="shared" si="143"/>
        <v>0.6114253444531782</v>
      </c>
      <c r="Q857">
        <f t="shared" si="140"/>
        <v>0.58751122236667475</v>
      </c>
      <c r="R857">
        <f t="shared" si="141"/>
        <v>1.6745290362884453</v>
      </c>
      <c r="T857" s="21">
        <f>(M857-M856)/(H857-H856)</f>
        <v>9.9936436691294706E-4</v>
      </c>
      <c r="W857">
        <v>742</v>
      </c>
      <c r="X857">
        <v>16.890098999999999</v>
      </c>
      <c r="Y857">
        <v>1.5</v>
      </c>
      <c r="Z857">
        <f t="shared" si="138"/>
        <v>1.5</v>
      </c>
      <c r="AA857" s="21">
        <f>IF(X857&gt;$B$8+$B$9,0,ABS(X857-O857)/X857)</f>
        <v>1.8324314563023837E-3</v>
      </c>
      <c r="AB857">
        <f>IF(OR(Z854&lt;&gt;Z860,X857&gt;$B$8+$B$9),0,((X860-X854)/(W860-W854)-(O860-O854)/(W860-W854))^2)</f>
        <v>1.6989228699537945E-6</v>
      </c>
    </row>
    <row r="858" spans="7:28" x14ac:dyDescent="0.2">
      <c r="G858" s="21"/>
      <c r="H858" s="21">
        <v>743</v>
      </c>
      <c r="I858">
        <f t="shared" si="144"/>
        <v>1.7357740477638241E-2</v>
      </c>
      <c r="J858">
        <f t="shared" si="145"/>
        <v>0.58692373635678607</v>
      </c>
      <c r="K858">
        <f t="shared" si="139"/>
        <v>24.663747788231689</v>
      </c>
      <c r="L858">
        <f>0.5*Z858*K858/J858/$B$7</f>
        <v>31.516549247088381</v>
      </c>
      <c r="M858">
        <f t="shared" si="142"/>
        <v>0.53286038862213003</v>
      </c>
      <c r="N858" s="21">
        <f t="shared" si="146"/>
        <v>5.765975581674275E-2</v>
      </c>
      <c r="O858" s="21">
        <f t="shared" si="147"/>
        <v>16.9384066891853</v>
      </c>
      <c r="P858">
        <f t="shared" si="143"/>
        <v>0.61229616532258113</v>
      </c>
      <c r="Q858">
        <f t="shared" si="140"/>
        <v>0.58692373635678607</v>
      </c>
      <c r="R858">
        <f t="shared" si="141"/>
        <v>1.6591112030588577</v>
      </c>
      <c r="T858" s="21">
        <f>(M858-M857)/(H858-H857)</f>
        <v>1.0004573765910463E-3</v>
      </c>
      <c r="W858">
        <v>743</v>
      </c>
      <c r="X858">
        <v>16.917680999999998</v>
      </c>
      <c r="Y858">
        <v>1.5</v>
      </c>
      <c r="Z858">
        <f t="shared" si="138"/>
        <v>1.5</v>
      </c>
      <c r="AA858" s="21">
        <f>IF(X858&gt;$B$8+$B$9,0,ABS(X858-O858)/X858)</f>
        <v>1.2250904355804663E-3</v>
      </c>
      <c r="AB858">
        <f>IF(OR(Z855&lt;&gt;Z861,X858&gt;$B$8+$B$9),0,((X861-X855)/(W861-W855)-(O861-O855)/(W861-W855))^2)</f>
        <v>7.4915391722701338E-7</v>
      </c>
    </row>
    <row r="859" spans="7:28" x14ac:dyDescent="0.2">
      <c r="G859" s="21"/>
      <c r="H859" s="21">
        <v>744</v>
      </c>
      <c r="I859">
        <f t="shared" si="144"/>
        <v>1.7363417829944074E-2</v>
      </c>
      <c r="J859">
        <f t="shared" si="145"/>
        <v>0.58633619345457522</v>
      </c>
      <c r="K859">
        <f t="shared" si="139"/>
        <v>24.652773480750657</v>
      </c>
      <c r="L859">
        <f>0.5*Z859*K859/J859/$B$7</f>
        <v>31.534093097044032</v>
      </c>
      <c r="M859">
        <f t="shared" si="142"/>
        <v>0.53386194494634498</v>
      </c>
      <c r="N859" s="21">
        <f t="shared" si="146"/>
        <v>5.7704202915223747E-2</v>
      </c>
      <c r="O859" s="21">
        <f t="shared" si="147"/>
        <v>16.955770107015244</v>
      </c>
      <c r="P859">
        <f t="shared" si="143"/>
        <v>0.61316707052253938</v>
      </c>
      <c r="Q859">
        <f t="shared" si="140"/>
        <v>0.58633619345457522</v>
      </c>
      <c r="R859">
        <f t="shared" si="141"/>
        <v>1.6439732393377851</v>
      </c>
      <c r="T859" s="21">
        <f>(M859-M858)/(H859-H858)</f>
        <v>1.0015563242149472E-3</v>
      </c>
      <c r="W859">
        <v>744</v>
      </c>
      <c r="X859">
        <v>16.940396</v>
      </c>
      <c r="Y859">
        <v>1.5</v>
      </c>
      <c r="Z859">
        <f t="shared" si="138"/>
        <v>1.5</v>
      </c>
      <c r="AA859" s="21">
        <f>IF(X859&gt;$B$8+$B$9,0,ABS(X859-O859)/X859)</f>
        <v>9.0754118234569138E-4</v>
      </c>
      <c r="AB859">
        <f>IF(OR(Z856&lt;&gt;Z862,X859&gt;$B$8+$B$9),0,((X862-X856)/(W862-W856)-(O862-O856)/(W862-W856))^2)</f>
        <v>3.5913018245044199E-9</v>
      </c>
    </row>
    <row r="860" spans="7:28" x14ac:dyDescent="0.2">
      <c r="G860" s="21"/>
      <c r="H860" s="21">
        <v>745</v>
      </c>
      <c r="I860">
        <f t="shared" si="144"/>
        <v>1.7369188420136305E-2</v>
      </c>
      <c r="J860">
        <f t="shared" si="145"/>
        <v>0.58574859151741177</v>
      </c>
      <c r="K860">
        <f t="shared" si="139"/>
        <v>24.641835762067938</v>
      </c>
      <c r="L860">
        <f>0.5*Z860*K860/J860/$B$7</f>
        <v>31.551722170895875</v>
      </c>
      <c r="M860">
        <f t="shared" si="142"/>
        <v>0.53486460617687248</v>
      </c>
      <c r="N860" s="21">
        <f t="shared" si="146"/>
        <v>5.7748654317590409E-2</v>
      </c>
      <c r="O860" s="21">
        <f t="shared" si="147"/>
        <v>16.973139295435381</v>
      </c>
      <c r="P860">
        <f t="shared" si="143"/>
        <v>0.61403806322903887</v>
      </c>
      <c r="Q860">
        <f t="shared" si="140"/>
        <v>0.58574859151741177</v>
      </c>
      <c r="R860">
        <f t="shared" si="141"/>
        <v>1.6291075397353114</v>
      </c>
      <c r="T860" s="21">
        <f>(M860-M859)/(H860-H859)</f>
        <v>1.0026612305275018E-3</v>
      </c>
      <c r="W860">
        <v>745</v>
      </c>
      <c r="X860">
        <v>16.971222999999998</v>
      </c>
      <c r="Y860">
        <v>1.5</v>
      </c>
      <c r="Z860">
        <f t="shared" si="138"/>
        <v>1.5</v>
      </c>
      <c r="AA860" s="21">
        <f>IF(X860&gt;$B$8+$B$9,0,ABS(X860-O860)/X860)</f>
        <v>1.1291439841326752E-4</v>
      </c>
      <c r="AB860">
        <f>IF(OR(Z857&lt;&gt;Z863,X860&gt;$B$8+$B$9),0,((X863-X857)/(W863-W857)-(O863-O857)/(W863-W857))^2)</f>
        <v>4.3991786554929117E-6</v>
      </c>
    </row>
    <row r="861" spans="7:28" x14ac:dyDescent="0.2">
      <c r="G861" s="21"/>
      <c r="H861" s="21">
        <v>746</v>
      </c>
      <c r="I861">
        <f t="shared" si="144"/>
        <v>1.7375052290185475E-2</v>
      </c>
      <c r="J861">
        <f t="shared" si="145"/>
        <v>0.58516092840323553</v>
      </c>
      <c r="K861">
        <f t="shared" si="139"/>
        <v>24.630934490395749</v>
      </c>
      <c r="L861">
        <f>0.5*Z861*K861/J861/$B$7</f>
        <v>31.569436664552718</v>
      </c>
      <c r="M861">
        <f t="shared" si="142"/>
        <v>0.53586837829336897</v>
      </c>
      <c r="N861" s="21">
        <f t="shared" si="146"/>
        <v>5.7793110371530919E-2</v>
      </c>
      <c r="O861" s="21">
        <f t="shared" si="147"/>
        <v>16.990514347725565</v>
      </c>
      <c r="P861">
        <f t="shared" si="143"/>
        <v>0.61490914661722018</v>
      </c>
      <c r="Q861">
        <f t="shared" si="140"/>
        <v>0.58516092840323553</v>
      </c>
      <c r="R861">
        <f t="shared" si="141"/>
        <v>1.6145067719752724</v>
      </c>
      <c r="T861" s="21">
        <f>(M861-M860)/(H861-H860)</f>
        <v>1.003772116496493E-3</v>
      </c>
      <c r="W861">
        <v>746</v>
      </c>
      <c r="X861">
        <v>16.972845</v>
      </c>
      <c r="Y861">
        <v>1.5</v>
      </c>
      <c r="Z861">
        <f t="shared" si="138"/>
        <v>1.5</v>
      </c>
      <c r="AA861" s="21">
        <f>IF(X861&gt;$B$8+$B$9,0,ABS(X861-O861)/X861)</f>
        <v>1.0410362980139976E-3</v>
      </c>
      <c r="AB861">
        <f>IF(OR(Z858&lt;&gt;Z864,X861&gt;$B$8+$B$9),0,((X864-X858)/(W864-W858)-(O864-O858)/(W864-W858))^2)</f>
        <v>1.0201228488116154E-6</v>
      </c>
    </row>
    <row r="862" spans="7:28" x14ac:dyDescent="0.2">
      <c r="G862" s="21"/>
      <c r="H862" s="21">
        <v>747</v>
      </c>
      <c r="I862">
        <f t="shared" si="144"/>
        <v>1.7381009485556854E-2</v>
      </c>
      <c r="J862">
        <f t="shared" si="145"/>
        <v>0.58457320197048535</v>
      </c>
      <c r="K862">
        <f t="shared" si="139"/>
        <v>24.62006952504856</v>
      </c>
      <c r="L862">
        <f>0.5*Z862*K862/J862/$B$7</f>
        <v>31.587236776410947</v>
      </c>
      <c r="M862">
        <f t="shared" si="142"/>
        <v>0.53687326729668405</v>
      </c>
      <c r="N862" s="21">
        <f t="shared" si="146"/>
        <v>5.7837571425074216E-2</v>
      </c>
      <c r="O862" s="21">
        <f t="shared" si="147"/>
        <v>17.007895357211122</v>
      </c>
      <c r="P862">
        <f t="shared" si="143"/>
        <v>0.61578032386148451</v>
      </c>
      <c r="Q862">
        <f t="shared" si="140"/>
        <v>0.58457320197048535</v>
      </c>
      <c r="R862">
        <f t="shared" si="141"/>
        <v>1.6001638647436587</v>
      </c>
      <c r="T862" s="21">
        <f>(M862-M861)/(H862-H861)</f>
        <v>1.0048890033150792E-3</v>
      </c>
      <c r="W862">
        <v>747</v>
      </c>
      <c r="X862">
        <v>16.993938</v>
      </c>
      <c r="Y862">
        <v>1.5</v>
      </c>
      <c r="Z862">
        <f t="shared" si="138"/>
        <v>1.5</v>
      </c>
      <c r="AA862" s="21">
        <f>IF(X862&gt;$B$8+$B$9,0,ABS(X862-O862)/X862)</f>
        <v>8.2131388328723193E-4</v>
      </c>
      <c r="AB862">
        <f>IF(OR(Z859&lt;&gt;Z865,X862&gt;$B$8+$B$9),0,((X865-X859)/(W865-W859)-(O865-O859)/(W865-W859))^2)</f>
        <v>5.3803304880760113E-7</v>
      </c>
    </row>
    <row r="863" spans="7:28" x14ac:dyDescent="0.2">
      <c r="G863" s="21"/>
      <c r="H863" s="21">
        <v>748</v>
      </c>
      <c r="I863">
        <f t="shared" si="144"/>
        <v>1.7387060055208483E-2</v>
      </c>
      <c r="J863">
        <f t="shared" si="145"/>
        <v>0.58398541007802685</v>
      </c>
      <c r="K863">
        <f t="shared" si="139"/>
        <v>24.609240726434514</v>
      </c>
      <c r="L863">
        <f>0.5*Z863*K863/J863/$B$7</f>
        <v>31.605122707363254</v>
      </c>
      <c r="M863">
        <f t="shared" si="142"/>
        <v>0.53787927920908862</v>
      </c>
      <c r="N863" s="21">
        <f t="shared" si="146"/>
        <v>5.7882037826606149E-2</v>
      </c>
      <c r="O863" s="21">
        <f t="shared" si="147"/>
        <v>17.025282417266332</v>
      </c>
      <c r="P863">
        <f t="shared" si="143"/>
        <v>0.61665159813559989</v>
      </c>
      <c r="Q863">
        <f t="shared" si="140"/>
        <v>0.58398541007802685</v>
      </c>
      <c r="R863">
        <f t="shared" si="141"/>
        <v>1.586071996180086</v>
      </c>
      <c r="T863" s="21">
        <f>(M863-M862)/(H863-H862)</f>
        <v>1.0060119124045697E-3</v>
      </c>
      <c r="W863">
        <v>748</v>
      </c>
      <c r="X863">
        <v>17.006916999999998</v>
      </c>
      <c r="Y863">
        <v>1.5</v>
      </c>
      <c r="Z863">
        <f t="shared" si="138"/>
        <v>1.5</v>
      </c>
      <c r="AA863" s="21">
        <f>IF(X863&gt;$B$8+$B$9,0,ABS(X863-O863)/X863)</f>
        <v>1.0798792789036699E-3</v>
      </c>
      <c r="AB863">
        <f>IF(OR(Z860&lt;&gt;Z866,X863&gt;$B$8+$B$9),0,((X866-X860)/(W866-W860)-(O866-O860)/(W866-W860))^2)</f>
        <v>2.9118805726190081E-6</v>
      </c>
    </row>
    <row r="864" spans="7:28" x14ac:dyDescent="0.2">
      <c r="G864" s="21"/>
      <c r="H864" s="21">
        <v>749</v>
      </c>
      <c r="I864">
        <f t="shared" si="144"/>
        <v>1.7393204051589829E-2</v>
      </c>
      <c r="J864">
        <f t="shared" si="145"/>
        <v>0.58339755058508203</v>
      </c>
      <c r="K864">
        <f t="shared" si="139"/>
        <v>24.598447956046911</v>
      </c>
      <c r="L864">
        <f>0.5*Z864*K864/J864/$B$7</f>
        <v>31.623094660807332</v>
      </c>
      <c r="M864">
        <f t="shared" si="142"/>
        <v>0.53888642007450149</v>
      </c>
      <c r="N864" s="21">
        <f t="shared" si="146"/>
        <v>5.7926509924885523E-2</v>
      </c>
      <c r="O864" s="21">
        <f t="shared" si="147"/>
        <v>17.042675621317922</v>
      </c>
      <c r="P864">
        <f t="shared" si="143"/>
        <v>0.61752297261280653</v>
      </c>
      <c r="Q864">
        <f t="shared" si="140"/>
        <v>0.58339755058508203</v>
      </c>
      <c r="R864">
        <f t="shared" si="141"/>
        <v>1.5722245829729853</v>
      </c>
      <c r="T864" s="21">
        <f>(M864-M863)/(H864-H863)</f>
        <v>1.00714086541287E-3</v>
      </c>
      <c r="W864">
        <v>749</v>
      </c>
      <c r="X864">
        <v>17.028009999999998</v>
      </c>
      <c r="Y864">
        <v>1.5</v>
      </c>
      <c r="Z864">
        <f t="shared" si="138"/>
        <v>1.5</v>
      </c>
      <c r="AA864" s="21">
        <f>IF(X864&gt;$B$8+$B$9,0,ABS(X864-O864)/X864)</f>
        <v>8.6126454693908163E-4</v>
      </c>
      <c r="AB864">
        <f>IF(OR(Z861&lt;&gt;Z867,X864&gt;$B$8+$B$9),0,((X867-X861)/(W867-W861)-(O867-O861)/(W867-W861))^2)</f>
        <v>3.2539057721773503E-8</v>
      </c>
    </row>
    <row r="865" spans="7:28" x14ac:dyDescent="0.2">
      <c r="G865" s="21"/>
      <c r="H865" s="21">
        <v>750</v>
      </c>
      <c r="I865">
        <f t="shared" si="144"/>
        <v>1.7399441530640398E-2</v>
      </c>
      <c r="J865">
        <f t="shared" si="145"/>
        <v>0.58280962135115688</v>
      </c>
      <c r="K865">
        <f t="shared" si="139"/>
        <v>24.587691076455815</v>
      </c>
      <c r="L865">
        <f>0.5*Z865*K865/J865/$B$7</f>
        <v>31.641152842655035</v>
      </c>
      <c r="M865">
        <f t="shared" si="142"/>
        <v>0.53989469595872097</v>
      </c>
      <c r="N865" s="21">
        <f t="shared" si="146"/>
        <v>5.797098806906046E-2</v>
      </c>
      <c r="O865" s="21">
        <f t="shared" si="147"/>
        <v>17.060075062848561</v>
      </c>
      <c r="P865">
        <f t="shared" si="143"/>
        <v>0.61839445046592367</v>
      </c>
      <c r="Q865">
        <f t="shared" si="140"/>
        <v>0.58280962135115688</v>
      </c>
      <c r="R865">
        <f t="shared" si="141"/>
        <v>1.5586152700218574</v>
      </c>
      <c r="T865" s="21">
        <f>(M865-M864)/(H865-H864)</f>
        <v>1.0082758842194783E-3</v>
      </c>
      <c r="W865">
        <v>750</v>
      </c>
      <c r="X865">
        <v>17.049101999999998</v>
      </c>
      <c r="Y865">
        <v>1.5</v>
      </c>
      <c r="Z865">
        <f t="shared" si="138"/>
        <v>1.5</v>
      </c>
      <c r="AA865" s="21">
        <f>IF(X865&gt;$B$8+$B$9,0,ABS(X865-O865)/X865)</f>
        <v>6.4361529707333484E-4</v>
      </c>
      <c r="AB865">
        <f>IF(OR(Z862&lt;&gt;Z868,X865&gt;$B$8+$B$9),0,((X868-X862)/(W868-W862)-(O868-O862)/(W868-W862))^2)</f>
        <v>1.9752234437984003E-7</v>
      </c>
    </row>
    <row r="866" spans="7:28" x14ac:dyDescent="0.2">
      <c r="G866" s="21"/>
      <c r="H866" s="21">
        <v>751</v>
      </c>
      <c r="I866">
        <f t="shared" si="144"/>
        <v>1.7405772551789048E-2</v>
      </c>
      <c r="J866">
        <f t="shared" si="145"/>
        <v>0.58222162023597035</v>
      </c>
      <c r="K866">
        <f t="shared" si="139"/>
        <v>24.57696995129977</v>
      </c>
      <c r="L866">
        <f>0.5*Z866*K866/J866/$B$7</f>
        <v>31.659297461341559</v>
      </c>
      <c r="M866">
        <f t="shared" si="142"/>
        <v>0.54090411294965557</v>
      </c>
      <c r="N866" s="21">
        <f t="shared" si="146"/>
        <v>5.8015472608684344E-2</v>
      </c>
      <c r="O866" s="21">
        <f t="shared" si="147"/>
        <v>17.077480835400351</v>
      </c>
      <c r="P866">
        <f t="shared" si="143"/>
        <v>0.61926603486745457</v>
      </c>
      <c r="Q866">
        <f t="shared" si="140"/>
        <v>0.58222162023597035</v>
      </c>
      <c r="R866">
        <f t="shared" si="141"/>
        <v>1.5452379206325277</v>
      </c>
      <c r="T866" s="21">
        <f>(M866-M865)/(H866-H865)</f>
        <v>1.0094169909345974E-3</v>
      </c>
      <c r="W866">
        <v>751</v>
      </c>
      <c r="X866">
        <v>17.065325999999999</v>
      </c>
      <c r="Y866">
        <v>1.5</v>
      </c>
      <c r="Z866">
        <f t="shared" si="138"/>
        <v>1.5</v>
      </c>
      <c r="AA866" s="21">
        <f>IF(X866&gt;$B$8+$B$9,0,ABS(X866-O866)/X866)</f>
        <v>7.122533375777426E-4</v>
      </c>
      <c r="AB866">
        <f>IF(OR(Z863&lt;&gt;Z869,X866&gt;$B$8+$B$9),0,((X869-X863)/(W869-W863)-(O869-O863)/(W869-W863))^2)</f>
        <v>1.9203993791854048E-7</v>
      </c>
    </row>
    <row r="867" spans="7:28" x14ac:dyDescent="0.2">
      <c r="G867" s="21"/>
      <c r="H867" s="21">
        <v>752</v>
      </c>
      <c r="I867">
        <f t="shared" si="144"/>
        <v>1.7412197177953462E-2</v>
      </c>
      <c r="J867">
        <f t="shared" si="145"/>
        <v>0.58163354509938348</v>
      </c>
      <c r="K867">
        <f t="shared" si="139"/>
        <v>24.566284445277564</v>
      </c>
      <c r="L867">
        <f>0.5*Z867*K867/J867/$B$7</f>
        <v>31.677528727834897</v>
      </c>
      <c r="M867">
        <f t="shared" si="142"/>
        <v>0.54191467715755604</v>
      </c>
      <c r="N867" s="21">
        <f t="shared" si="146"/>
        <v>5.8059963893732379E-2</v>
      </c>
      <c r="O867" s="21">
        <f t="shared" si="147"/>
        <v>17.094893032578305</v>
      </c>
      <c r="P867">
        <f t="shared" si="143"/>
        <v>0.62013772898969222</v>
      </c>
      <c r="Q867">
        <f t="shared" si="140"/>
        <v>0.58163354509938348</v>
      </c>
      <c r="R867">
        <f t="shared" si="141"/>
        <v>1.532086607213581</v>
      </c>
      <c r="T867" s="21">
        <f>(M867-M866)/(H867-H866)</f>
        <v>1.0105642079004662E-3</v>
      </c>
      <c r="W867">
        <v>752</v>
      </c>
      <c r="X867">
        <v>17.078305999999998</v>
      </c>
      <c r="Y867">
        <v>1.5</v>
      </c>
      <c r="Z867">
        <f t="shared" si="138"/>
        <v>1.5</v>
      </c>
      <c r="AA867" s="21">
        <f>IF(X867&gt;$B$8+$B$9,0,ABS(X867-O867)/X867)</f>
        <v>9.7123406608989893E-4</v>
      </c>
      <c r="AB867">
        <f>IF(OR(Z864&lt;&gt;Z870,X867&gt;$B$8+$B$9),0,((X870-X864)/(W870-W864)-(O870-O864)/(W870-W864))^2)</f>
        <v>4.9268990389542782E-7</v>
      </c>
    </row>
    <row r="868" spans="7:28" x14ac:dyDescent="0.2">
      <c r="G868" s="21"/>
      <c r="H868" s="21">
        <v>753</v>
      </c>
      <c r="I868">
        <f t="shared" si="144"/>
        <v>1.741871547554006E-2</v>
      </c>
      <c r="J868">
        <f t="shared" si="145"/>
        <v>0.58104539380132847</v>
      </c>
      <c r="K868">
        <f t="shared" si="139"/>
        <v>24.555634424140173</v>
      </c>
      <c r="L868">
        <f>0.5*Z868*K868/J868/$B$7</f>
        <v>31.695846855645481</v>
      </c>
      <c r="M868">
        <f t="shared" si="142"/>
        <v>0.54292639471524928</v>
      </c>
      <c r="N868" s="21">
        <f t="shared" si="146"/>
        <v>5.810446227461763E-2</v>
      </c>
      <c r="O868" s="21">
        <f t="shared" si="147"/>
        <v>17.112311748053845</v>
      </c>
      <c r="P868">
        <f t="shared" si="143"/>
        <v>0.621009536004824</v>
      </c>
      <c r="Q868">
        <f t="shared" si="140"/>
        <v>0.58104539380132847</v>
      </c>
      <c r="R868">
        <f t="shared" si="141"/>
        <v>1.5191556024443622</v>
      </c>
      <c r="T868" s="21">
        <f>(M868-M867)/(H868-H867)</f>
        <v>1.011717557693248E-3</v>
      </c>
      <c r="W868">
        <v>753</v>
      </c>
      <c r="X868">
        <v>17.101020999999999</v>
      </c>
      <c r="Y868">
        <v>1.5</v>
      </c>
      <c r="Z868">
        <f t="shared" si="138"/>
        <v>1.5</v>
      </c>
      <c r="AA868" s="21">
        <f>IF(X868&gt;$B$8+$B$9,0,ABS(X868-O868)/X868)</f>
        <v>6.6023824272511762E-4</v>
      </c>
      <c r="AB868">
        <f>IF(OR(Z865&lt;&gt;Z871,X868&gt;$B$8+$B$9),0,((X871-X865)/(W871-W865)-(O871-O865)/(W871-W865))^2)</f>
        <v>2.1544755905869219E-6</v>
      </c>
    </row>
    <row r="869" spans="7:28" x14ac:dyDescent="0.2">
      <c r="G869" s="21"/>
      <c r="H869" s="21">
        <v>754</v>
      </c>
      <c r="I869">
        <f t="shared" si="144"/>
        <v>1.7425327514444033E-2</v>
      </c>
      <c r="J869">
        <f t="shared" si="145"/>
        <v>0.58045716420173687</v>
      </c>
      <c r="K869">
        <f t="shared" si="139"/>
        <v>24.545019754682713</v>
      </c>
      <c r="L869">
        <f>0.5*Z869*K869/J869/$B$7</f>
        <v>31.714252060836138</v>
      </c>
      <c r="M869">
        <f t="shared" si="142"/>
        <v>0.54393927177837453</v>
      </c>
      <c r="N869" s="21">
        <f t="shared" si="146"/>
        <v>5.814896810220746E-2</v>
      </c>
      <c r="O869" s="21">
        <f t="shared" si="147"/>
        <v>17.12973707556829</v>
      </c>
      <c r="P869">
        <f t="shared" si="143"/>
        <v>0.62188145908503834</v>
      </c>
      <c r="Q869">
        <f t="shared" si="140"/>
        <v>0.58045716420173687</v>
      </c>
      <c r="R869">
        <f t="shared" si="141"/>
        <v>1.5064393708868509</v>
      </c>
      <c r="T869" s="21">
        <f>(M869-M868)/(H869-H868)</f>
        <v>1.0128770631252504E-3</v>
      </c>
      <c r="W869">
        <v>754</v>
      </c>
      <c r="X869">
        <v>17.114000999999998</v>
      </c>
      <c r="Y869">
        <v>1.5</v>
      </c>
      <c r="Z869">
        <f t="shared" si="138"/>
        <v>1.5</v>
      </c>
      <c r="AA869" s="21">
        <f>IF(X869&gt;$B$8+$B$9,0,ABS(X869-O869)/X869)</f>
        <v>9.1948548841919533E-4</v>
      </c>
      <c r="AB869">
        <f>IF(OR(Z866&lt;&gt;Z872,X869&gt;$B$8+$B$9),0,((X872-X866)/(W872-W866)-(O872-O866)/(W872-W866))^2)</f>
        <v>1.5429622362382969E-7</v>
      </c>
    </row>
    <row r="870" spans="7:28" x14ac:dyDescent="0.2">
      <c r="G870" s="21"/>
      <c r="H870" s="21">
        <v>755</v>
      </c>
      <c r="I870">
        <f t="shared" si="144"/>
        <v>1.7432033368050218E-2</v>
      </c>
      <c r="J870">
        <f t="shared" si="145"/>
        <v>0.57986885416046952</v>
      </c>
      <c r="K870">
        <f t="shared" si="139"/>
        <v>24.534440304736556</v>
      </c>
      <c r="L870">
        <f>0.5*Z870*K870/J870/$B$7</f>
        <v>31.732744562032085</v>
      </c>
      <c r="M870">
        <f t="shared" si="142"/>
        <v>0.54495331452561924</v>
      </c>
      <c r="N870" s="21">
        <f t="shared" si="146"/>
        <v>5.8193481727839842E-2</v>
      </c>
      <c r="O870" s="21">
        <f t="shared" si="147"/>
        <v>17.147169108936339</v>
      </c>
      <c r="P870">
        <f t="shared" si="143"/>
        <v>0.6227535014026282</v>
      </c>
      <c r="Q870">
        <f t="shared" si="140"/>
        <v>0.57986885416046952</v>
      </c>
      <c r="R870">
        <f t="shared" si="141"/>
        <v>1.4939325610156695</v>
      </c>
      <c r="T870" s="21">
        <f>(M870-M869)/(H870-H869)</f>
        <v>1.0140427472447033E-3</v>
      </c>
      <c r="W870">
        <v>755</v>
      </c>
      <c r="X870">
        <v>17.136714999999999</v>
      </c>
      <c r="Y870">
        <v>1.5</v>
      </c>
      <c r="Z870">
        <f t="shared" si="138"/>
        <v>1.5</v>
      </c>
      <c r="AA870" s="21">
        <f>IF(X870&gt;$B$8+$B$9,0,ABS(X870-O870)/X870)</f>
        <v>6.1004159410599614E-4</v>
      </c>
      <c r="AB870">
        <f>IF(OR(Z867&lt;&gt;Z873,X870&gt;$B$8+$B$9),0,((X873-X867)/(W873-W867)-(O873-O867)/(W873-W867))^2)</f>
        <v>2.1940279474186015E-6</v>
      </c>
    </row>
    <row r="871" spans="7:28" x14ac:dyDescent="0.2">
      <c r="G871" s="21"/>
      <c r="H871" s="21">
        <v>756</v>
      </c>
      <c r="I871">
        <f t="shared" si="144"/>
        <v>1.7438833113233618E-2</v>
      </c>
      <c r="J871">
        <f t="shared" si="145"/>
        <v>0.57928046153724488</v>
      </c>
      <c r="K871">
        <f t="shared" si="139"/>
        <v>24.523895943161484</v>
      </c>
      <c r="L871">
        <f>0.5*Z871*K871/J871/$B$7</f>
        <v>31.751324580431305</v>
      </c>
      <c r="M871">
        <f t="shared" si="142"/>
        <v>0.54596852915895844</v>
      </c>
      <c r="N871" s="21">
        <f t="shared" si="146"/>
        <v>5.8238003503339797E-2</v>
      </c>
      <c r="O871" s="21">
        <f t="shared" si="147"/>
        <v>17.164607942049571</v>
      </c>
      <c r="P871">
        <f t="shared" si="143"/>
        <v>0.62362566613009762</v>
      </c>
      <c r="Q871">
        <f t="shared" si="140"/>
        <v>0.57928046153724488</v>
      </c>
      <c r="R871">
        <f t="shared" si="141"/>
        <v>1.481629997642026</v>
      </c>
      <c r="T871" s="21">
        <f>(M871-M870)/(H871-H870)</f>
        <v>1.0152146333392009E-3</v>
      </c>
      <c r="W871">
        <v>756</v>
      </c>
      <c r="X871">
        <v>17.144828</v>
      </c>
      <c r="Y871">
        <v>1.5</v>
      </c>
      <c r="Z871">
        <f t="shared" si="138"/>
        <v>1.5</v>
      </c>
      <c r="AA871" s="21">
        <f>IF(X871&gt;$B$8+$B$9,0,ABS(X871-O871)/X871)</f>
        <v>1.1536973161568355E-3</v>
      </c>
      <c r="AB871">
        <f>IF(OR(Z868&lt;&gt;Z874,X871&gt;$B$8+$B$9),0,((X874-X868)/(W874-W868)-(O874-O868)/(W874-W868))^2)</f>
        <v>1.4828874394958235E-6</v>
      </c>
    </row>
    <row r="872" spans="7:28" x14ac:dyDescent="0.2">
      <c r="G872" s="21"/>
      <c r="H872" s="21">
        <v>757</v>
      </c>
      <c r="I872">
        <f t="shared" si="144"/>
        <v>1.7445726830360969E-2</v>
      </c>
      <c r="J872">
        <f t="shared" si="145"/>
        <v>0.57869198419156953</v>
      </c>
      <c r="K872">
        <f t="shared" si="139"/>
        <v>24.513386539837995</v>
      </c>
      <c r="L872">
        <f>0.5*Z872*K872/J872/$B$7</f>
        <v>31.769992339814983</v>
      </c>
      <c r="M872">
        <f t="shared" si="142"/>
        <v>0.54698492190389236</v>
      </c>
      <c r="N872" s="21">
        <f t="shared" si="146"/>
        <v>5.8282533781035761E-2</v>
      </c>
      <c r="O872" s="21">
        <f t="shared" si="147"/>
        <v>17.182053668879931</v>
      </c>
      <c r="P872">
        <f t="shared" si="143"/>
        <v>0.62449795644026529</v>
      </c>
      <c r="Q872">
        <f t="shared" si="140"/>
        <v>0.57869198419156953</v>
      </c>
      <c r="R872">
        <f t="shared" si="141"/>
        <v>1.4695266747091378</v>
      </c>
      <c r="T872" s="21">
        <f>(M872-M871)/(H872-H871)</f>
        <v>1.016392744933925E-3</v>
      </c>
      <c r="W872">
        <v>757</v>
      </c>
      <c r="X872">
        <v>17.167542000000001</v>
      </c>
      <c r="Y872">
        <v>1.5</v>
      </c>
      <c r="Z872">
        <f t="shared" si="138"/>
        <v>1.5</v>
      </c>
      <c r="AA872" s="21">
        <f>IF(X872&gt;$B$8+$B$9,0,ABS(X872-O872)/X872)</f>
        <v>8.4529683282148532E-4</v>
      </c>
      <c r="AB872">
        <f>IF(OR(Z869&lt;&gt;Z875,X872&gt;$B$8+$B$9),0,((X875-X869)/(W875-W869)-(O875-O869)/(W875-W869))^2)</f>
        <v>1.5826113645612053E-7</v>
      </c>
    </row>
    <row r="873" spans="7:28" x14ac:dyDescent="0.2">
      <c r="G873" s="21"/>
      <c r="H873" s="21">
        <v>758</v>
      </c>
      <c r="I873">
        <f t="shared" si="144"/>
        <v>1.7452714603292084E-2</v>
      </c>
      <c r="J873">
        <f t="shared" si="145"/>
        <v>0.57810341998266579</v>
      </c>
      <c r="K873">
        <f t="shared" si="139"/>
        <v>24.502911965659639</v>
      </c>
      <c r="L873">
        <f>0.5*Z873*K873/J873/$B$7</f>
        <v>31.788748066558338</v>
      </c>
      <c r="M873">
        <f t="shared" si="142"/>
        <v>0.54800249900969056</v>
      </c>
      <c r="N873" s="21">
        <f t="shared" si="146"/>
        <v>5.8327072913776146E-2</v>
      </c>
      <c r="O873" s="21">
        <f t="shared" si="147"/>
        <v>17.199506383483222</v>
      </c>
      <c r="P873">
        <f t="shared" si="143"/>
        <v>0.62537037550637065</v>
      </c>
      <c r="Q873">
        <f t="shared" si="140"/>
        <v>0.57810341998266579</v>
      </c>
      <c r="R873">
        <f t="shared" si="141"/>
        <v>1.4576177484379891</v>
      </c>
      <c r="T873" s="21">
        <f>(M873-M872)/(H873-H872)</f>
        <v>1.0175771057981953E-3</v>
      </c>
      <c r="W873">
        <v>758</v>
      </c>
      <c r="X873">
        <v>17.174032</v>
      </c>
      <c r="Y873">
        <v>1.5</v>
      </c>
      <c r="Z873">
        <f t="shared" si="138"/>
        <v>1.5</v>
      </c>
      <c r="AA873" s="21">
        <f>IF(X873&gt;$B$8+$B$9,0,ABS(X873-O873)/X873)</f>
        <v>1.4833082576777062E-3</v>
      </c>
      <c r="AB873">
        <f>IF(OR(Z870&lt;&gt;Z876,X873&gt;$B$8+$B$9),0,((X876-X870)/(W876-W870)-(O876-O870)/(W876-W870))^2)</f>
        <v>9.2393327774588723E-7</v>
      </c>
    </row>
    <row r="874" spans="7:28" x14ac:dyDescent="0.2">
      <c r="G874" s="21"/>
      <c r="H874" s="21">
        <v>759</v>
      </c>
      <c r="I874">
        <f t="shared" si="144"/>
        <v>1.7459796519381961E-2</v>
      </c>
      <c r="J874">
        <f t="shared" si="145"/>
        <v>0.57751476676940228</v>
      </c>
      <c r="K874">
        <f t="shared" si="139"/>
        <v>24.492472092525489</v>
      </c>
      <c r="L874">
        <f>0.5*Z874*K874/J874/$B$7</f>
        <v>31.807591989641494</v>
      </c>
      <c r="M874">
        <f t="shared" si="142"/>
        <v>0.54902126674963236</v>
      </c>
      <c r="N874" s="21">
        <f t="shared" si="146"/>
        <v>5.8371621254945806E-2</v>
      </c>
      <c r="O874" s="21">
        <f t="shared" si="147"/>
        <v>17.216966180002604</v>
      </c>
      <c r="P874">
        <f t="shared" si="143"/>
        <v>0.62624292650217739</v>
      </c>
      <c r="Q874">
        <f t="shared" si="140"/>
        <v>0.57751476676940228</v>
      </c>
      <c r="R874">
        <f t="shared" si="141"/>
        <v>1.4458985308037713</v>
      </c>
      <c r="T874" s="21">
        <f>(M874-M873)/(H874-H873)</f>
        <v>1.018767739941806E-3</v>
      </c>
      <c r="W874">
        <v>759</v>
      </c>
      <c r="X874">
        <v>17.198369</v>
      </c>
      <c r="Y874">
        <v>1.5</v>
      </c>
      <c r="Z874">
        <f t="shared" si="138"/>
        <v>1.5</v>
      </c>
      <c r="AA874" s="21">
        <f>IF(X874&gt;$B$8+$B$9,0,ABS(X874-O874)/X874)</f>
        <v>1.0813339336192039E-3</v>
      </c>
      <c r="AB874">
        <f>IF(OR(Z871&lt;&gt;Z877,X874&gt;$B$8+$B$9),0,((X877-X871)/(W877-W871)-(O877-O871)/(W877-W871))^2)</f>
        <v>1.4276020717864753E-6</v>
      </c>
    </row>
    <row r="875" spans="7:28" x14ac:dyDescent="0.2">
      <c r="G875" s="21"/>
      <c r="H875" s="21">
        <v>760</v>
      </c>
      <c r="I875">
        <f t="shared" si="144"/>
        <v>1.7466972669482928E-2</v>
      </c>
      <c r="J875">
        <f t="shared" si="145"/>
        <v>0.57692602241022284</v>
      </c>
      <c r="K875">
        <f t="shared" si="139"/>
        <v>24.482066793332677</v>
      </c>
      <c r="L875">
        <f>0.5*Z875*K875/J875/$B$7</f>
        <v>31.826524340660683</v>
      </c>
      <c r="M875">
        <f t="shared" si="142"/>
        <v>0.55004123142125216</v>
      </c>
      <c r="N875" s="21">
        <f t="shared" si="146"/>
        <v>5.8416179158482656E-2</v>
      </c>
      <c r="O875" s="21">
        <f t="shared" si="147"/>
        <v>17.234433152672086</v>
      </c>
      <c r="P875">
        <f t="shared" si="143"/>
        <v>0.62711561260207938</v>
      </c>
      <c r="Q875">
        <f t="shared" si="140"/>
        <v>0.57692602241022284</v>
      </c>
      <c r="R875">
        <f t="shared" si="141"/>
        <v>1.4343644833244793</v>
      </c>
      <c r="T875" s="21">
        <f>(M875-M874)/(H875-H874)</f>
        <v>1.0199646716197996E-3</v>
      </c>
      <c r="W875">
        <v>760</v>
      </c>
      <c r="X875">
        <v>17.221083999999998</v>
      </c>
      <c r="Y875">
        <v>1.5</v>
      </c>
      <c r="Z875">
        <f t="shared" si="138"/>
        <v>1.5</v>
      </c>
      <c r="AA875" s="21">
        <f>IF(X875&gt;$B$8+$B$9,0,ABS(X875-O875)/X875)</f>
        <v>7.7516332143134198E-4</v>
      </c>
      <c r="AB875">
        <f>IF(OR(Z872&lt;&gt;Z878,X875&gt;$B$8+$B$9),0,((X878-X872)/(W878-W872)-(O878-O872)/(W878-W872))^2)</f>
        <v>2.9880565323889636E-6</v>
      </c>
    </row>
    <row r="876" spans="7:28" x14ac:dyDescent="0.2">
      <c r="G876" s="21"/>
      <c r="H876" s="21">
        <v>761</v>
      </c>
      <c r="I876">
        <f t="shared" si="144"/>
        <v>1.7474243147947315E-2</v>
      </c>
      <c r="J876">
        <f t="shared" si="145"/>
        <v>0.57633718476307605</v>
      </c>
      <c r="K876">
        <f t="shared" si="139"/>
        <v>24.471695941969049</v>
      </c>
      <c r="L876">
        <f>0.5*Z876*K876/J876/$B$7</f>
        <v>31.845545353839629</v>
      </c>
      <c r="M876">
        <f t="shared" si="142"/>
        <v>0.55106239934658507</v>
      </c>
      <c r="N876" s="21">
        <f t="shared" si="146"/>
        <v>5.846074697889423E-2</v>
      </c>
      <c r="O876" s="21">
        <f t="shared" si="147"/>
        <v>17.251907395820034</v>
      </c>
      <c r="P876">
        <f t="shared" si="143"/>
        <v>0.62798843698120421</v>
      </c>
      <c r="Q876">
        <f t="shared" si="140"/>
        <v>0.57633718476307605</v>
      </c>
      <c r="R876">
        <f t="shared" si="141"/>
        <v>1.4230112111444346</v>
      </c>
      <c r="T876" s="21">
        <f>(M876-M875)/(H876-H875)</f>
        <v>1.0211679253329109E-3</v>
      </c>
      <c r="W876">
        <v>761</v>
      </c>
      <c r="X876">
        <v>17.235685999999998</v>
      </c>
      <c r="Y876">
        <v>1.5</v>
      </c>
      <c r="Z876">
        <f t="shared" si="138"/>
        <v>1.5</v>
      </c>
      <c r="AA876" s="21">
        <f>IF(X876&gt;$B$8+$B$9,0,ABS(X876-O876)/X876)</f>
        <v>9.4115173715952612E-4</v>
      </c>
      <c r="AB876">
        <f>IF(OR(Z873&lt;&gt;Z879,X876&gt;$B$8+$B$9),0,((X879-X873)/(W879-W873)-(O879-O873)/(W879-W873))^2)</f>
        <v>2.9628109065185025E-6</v>
      </c>
    </row>
    <row r="877" spans="7:28" x14ac:dyDescent="0.2">
      <c r="G877" s="21"/>
      <c r="H877" s="21">
        <v>762</v>
      </c>
      <c r="I877">
        <f t="shared" si="144"/>
        <v>1.7481608052630385E-2</v>
      </c>
      <c r="J877">
        <f t="shared" si="145"/>
        <v>0.57574825168534427</v>
      </c>
      <c r="K877">
        <f t="shared" si="139"/>
        <v>24.461359413305846</v>
      </c>
      <c r="L877">
        <f>0.5*Z877*K877/J877/$B$7</f>
        <v>31.86465526604114</v>
      </c>
      <c r="M877">
        <f t="shared" si="142"/>
        <v>0.55208477687241531</v>
      </c>
      <c r="N877" s="21">
        <f t="shared" si="146"/>
        <v>5.8505325071274462E-2</v>
      </c>
      <c r="O877" s="21">
        <f t="shared" si="147"/>
        <v>17.269389003872664</v>
      </c>
      <c r="P877">
        <f t="shared" si="143"/>
        <v>0.62886140281551872</v>
      </c>
      <c r="Q877">
        <f t="shared" si="140"/>
        <v>0.57574825168534427</v>
      </c>
      <c r="R877">
        <f t="shared" si="141"/>
        <v>1.4118344573964727</v>
      </c>
      <c r="T877" s="21">
        <f>(M877-M876)/(H877-H876)</f>
        <v>1.0223775258302314E-3</v>
      </c>
      <c r="W877">
        <v>762</v>
      </c>
      <c r="X877">
        <v>17.256778000000001</v>
      </c>
      <c r="Y877">
        <v>1.5</v>
      </c>
      <c r="Z877">
        <f t="shared" si="138"/>
        <v>1.5</v>
      </c>
      <c r="AA877" s="21">
        <f>IF(X877&gt;$B$8+$B$9,0,ABS(X877-O877)/X877)</f>
        <v>7.3078554250762646E-4</v>
      </c>
      <c r="AB877">
        <f>IF(OR(Z874&lt;&gt;Z880,X877&gt;$B$8+$B$9),0,((X880-X874)/(W880-W874)-(O880-O874)/(W880-W874))^2)</f>
        <v>1.5891893666685251E-6</v>
      </c>
    </row>
    <row r="878" spans="7:28" x14ac:dyDescent="0.2">
      <c r="G878" s="21"/>
      <c r="H878" s="21">
        <v>763</v>
      </c>
      <c r="I878">
        <f t="shared" si="144"/>
        <v>1.7489067484893643E-2</v>
      </c>
      <c r="J878">
        <f t="shared" si="145"/>
        <v>0.57515922103377359</v>
      </c>
      <c r="K878">
        <f t="shared" si="139"/>
        <v>24.451057083190555</v>
      </c>
      <c r="L878">
        <f>0.5*Z878*K878/J878/$B$7</f>
        <v>31.883854316778976</v>
      </c>
      <c r="M878">
        <f t="shared" si="142"/>
        <v>0.55310837037052418</v>
      </c>
      <c r="N878" s="21">
        <f t="shared" si="146"/>
        <v>5.8549913791320324E-2</v>
      </c>
      <c r="O878" s="21">
        <f t="shared" si="147"/>
        <v>17.28687807135756</v>
      </c>
      <c r="P878">
        <f t="shared" si="143"/>
        <v>0.62973451328193286</v>
      </c>
      <c r="Q878">
        <f t="shared" si="140"/>
        <v>0.57515922103377359</v>
      </c>
      <c r="R878">
        <f t="shared" si="141"/>
        <v>1.4008300978276462</v>
      </c>
      <c r="T878" s="21">
        <f>(M878-M877)/(H878-H877)</f>
        <v>1.0235934981088768E-3</v>
      </c>
      <c r="W878">
        <v>763</v>
      </c>
      <c r="X878">
        <v>17.282737999999998</v>
      </c>
      <c r="Y878">
        <v>1.5</v>
      </c>
      <c r="Z878">
        <f t="shared" si="138"/>
        <v>1.5</v>
      </c>
      <c r="AA878" s="21">
        <f>IF(X878&gt;$B$8+$B$9,0,ABS(X878-O878)/X878)</f>
        <v>2.3954950642434238E-4</v>
      </c>
      <c r="AB878">
        <f>IF(OR(Z875&lt;&gt;Z881,X878&gt;$B$8+$B$9),0,((X881-X875)/(W881-W875)-(O881-O875)/(W881-W875))^2)</f>
        <v>1.6081725513824044E-6</v>
      </c>
    </row>
    <row r="879" spans="7:28" x14ac:dyDescent="0.2">
      <c r="G879" s="21"/>
      <c r="H879" s="21">
        <v>764</v>
      </c>
      <c r="I879">
        <f t="shared" si="144"/>
        <v>1.7496621549608481E-2</v>
      </c>
      <c r="J879">
        <f t="shared" si="145"/>
        <v>0.57457009066440357</v>
      </c>
      <c r="K879">
        <f t="shared" si="139"/>
        <v>24.440788828439779</v>
      </c>
      <c r="L879">
        <f>0.5*Z879*K879/J879/$B$7</f>
        <v>31.90314274822985</v>
      </c>
      <c r="M879">
        <f t="shared" si="142"/>
        <v>0.55413318623794072</v>
      </c>
      <c r="N879" s="21">
        <f t="shared" si="146"/>
        <v>5.8594513495348596E-2</v>
      </c>
      <c r="O879" s="21">
        <f t="shared" si="147"/>
        <v>17.304374692907167</v>
      </c>
      <c r="P879">
        <f t="shared" si="143"/>
        <v>0.63060777155840442</v>
      </c>
      <c r="Q879">
        <f t="shared" si="140"/>
        <v>0.57457009066440357</v>
      </c>
      <c r="R879">
        <f t="shared" si="141"/>
        <v>1.3899941356741539</v>
      </c>
      <c r="T879" s="21">
        <f>(M879-M878)/(H879-H878)</f>
        <v>1.0248158674165397E-3</v>
      </c>
      <c r="W879">
        <v>764</v>
      </c>
      <c r="X879">
        <v>17.289227999999998</v>
      </c>
      <c r="Y879">
        <v>1.5</v>
      </c>
      <c r="Z879">
        <f t="shared" si="138"/>
        <v>1.5</v>
      </c>
      <c r="AA879" s="21">
        <f>IF(X879&gt;$B$8+$B$9,0,ABS(X879-O879)/X879)</f>
        <v>8.7607687903528862E-4</v>
      </c>
      <c r="AB879">
        <f>IF(OR(Z876&lt;&gt;Z882,X879&gt;$B$8+$B$9),0,((X882-X876)/(W882-W876)-(O882-O876)/(W882-W876))^2)</f>
        <v>1.0108405866227373E-6</v>
      </c>
    </row>
    <row r="880" spans="7:28" x14ac:dyDescent="0.2">
      <c r="G880" s="21"/>
      <c r="H880" s="21">
        <v>765</v>
      </c>
      <c r="I880">
        <f t="shared" si="144"/>
        <v>1.750427035516014E-2</v>
      </c>
      <c r="J880">
        <f t="shared" si="145"/>
        <v>0.57398085843249536</v>
      </c>
      <c r="K880">
        <f t="shared" si="139"/>
        <v>24.430554526832204</v>
      </c>
      <c r="L880">
        <f>0.5*Z880*K880/J880/$B$7</f>
        <v>31.92252080524576</v>
      </c>
      <c r="M880">
        <f t="shared" si="142"/>
        <v>0.55515923089719632</v>
      </c>
      <c r="N880" s="21">
        <f t="shared" si="146"/>
        <v>5.8639124540312795E-2</v>
      </c>
      <c r="O880" s="21">
        <f t="shared" si="147"/>
        <v>17.321878963262328</v>
      </c>
      <c r="P880">
        <f t="shared" si="143"/>
        <v>0.63148118082404414</v>
      </c>
      <c r="Q880">
        <f t="shared" si="140"/>
        <v>0.57398085843249536</v>
      </c>
      <c r="R880">
        <f t="shared" si="141"/>
        <v>1.3793226967721213</v>
      </c>
      <c r="T880" s="21">
        <f>(M880-M879)/(H880-H879)</f>
        <v>1.0260446592555983E-3</v>
      </c>
      <c r="W880">
        <v>765</v>
      </c>
      <c r="X880">
        <v>17.295718000000001</v>
      </c>
      <c r="Y880">
        <v>1.5</v>
      </c>
      <c r="Z880">
        <f t="shared" si="138"/>
        <v>1.5</v>
      </c>
      <c r="AA880" s="21">
        <f>IF(X880&gt;$B$8+$B$9,0,ABS(X880-O880)/X880)</f>
        <v>1.5125687908606998E-3</v>
      </c>
      <c r="AB880">
        <f>IF(OR(Z877&lt;&gt;Z883,X880&gt;$B$8+$B$9),0,((X883-X877)/(W883-W877)-(O883-O877)/(W883-W877))^2)</f>
        <v>1.1496480336688361E-7</v>
      </c>
    </row>
    <row r="881" spans="7:28" x14ac:dyDescent="0.2">
      <c r="G881" s="21"/>
      <c r="H881" s="21">
        <v>766</v>
      </c>
      <c r="I881">
        <f t="shared" si="144"/>
        <v>1.7512014013452069E-2</v>
      </c>
      <c r="J881">
        <f t="shared" si="145"/>
        <v>0.57339152219246303</v>
      </c>
      <c r="K881">
        <f t="shared" si="139"/>
        <v>24.42035405710169</v>
      </c>
      <c r="L881">
        <f>0.5*Z881*K881/J881/$B$7</f>
        <v>31.941988735366436</v>
      </c>
      <c r="M881">
        <f t="shared" si="142"/>
        <v>0.55618651079657611</v>
      </c>
      <c r="N881" s="21">
        <f t="shared" si="146"/>
        <v>5.8683747283819976E-2</v>
      </c>
      <c r="O881" s="21">
        <f t="shared" si="147"/>
        <v>17.33939097727578</v>
      </c>
      <c r="P881">
        <f t="shared" si="143"/>
        <v>0.63235474425921911</v>
      </c>
      <c r="Q881">
        <f t="shared" si="140"/>
        <v>0.57339152219246303</v>
      </c>
      <c r="R881">
        <f t="shared" si="141"/>
        <v>1.3688120248916931</v>
      </c>
      <c r="T881" s="21">
        <f>(M881-M880)/(H881-H880)</f>
        <v>1.0272798993797849E-3</v>
      </c>
      <c r="W881">
        <v>766</v>
      </c>
      <c r="X881">
        <v>17.318432999999999</v>
      </c>
      <c r="Y881">
        <v>1.5</v>
      </c>
      <c r="Z881">
        <f t="shared" si="138"/>
        <v>1.5</v>
      </c>
      <c r="AA881" s="21">
        <f>IF(X881&gt;$B$8+$B$9,0,ABS(X881-O881)/X881)</f>
        <v>1.2101543641841791E-3</v>
      </c>
      <c r="AB881">
        <f>IF(OR(Z878&lt;&gt;Z884,X881&gt;$B$8+$B$9),0,((X884-X878)/(W884-W878)-(O884-O878)/(W884-W878))^2)</f>
        <v>8.489803270925756E-6</v>
      </c>
    </row>
    <row r="882" spans="7:28" x14ac:dyDescent="0.2">
      <c r="G882" s="21"/>
      <c r="H882" s="21">
        <v>767</v>
      </c>
      <c r="I882">
        <f t="shared" si="144"/>
        <v>1.751985263991054E-2</v>
      </c>
      <c r="J882">
        <f t="shared" si="145"/>
        <v>0.57280207979780162</v>
      </c>
      <c r="K882">
        <f t="shared" si="139"/>
        <v>24.410187298930385</v>
      </c>
      <c r="L882">
        <f>0.5*Z882*K882/J882/$B$7</f>
        <v>31.961546788832127</v>
      </c>
      <c r="M882">
        <f t="shared" si="142"/>
        <v>0.55721503241037673</v>
      </c>
      <c r="N882" s="21">
        <f t="shared" si="146"/>
        <v>5.8728382084147809E-2</v>
      </c>
      <c r="O882" s="21">
        <f t="shared" si="147"/>
        <v>17.356910829915691</v>
      </c>
      <c r="P882">
        <f t="shared" si="143"/>
        <v>0.63322846504565844</v>
      </c>
      <c r="Q882">
        <f t="shared" si="140"/>
        <v>0.57280207979780162</v>
      </c>
      <c r="R882">
        <f t="shared" si="141"/>
        <v>1.3584584772825778</v>
      </c>
      <c r="T882" s="21">
        <f>(M882-M881)/(H882-H881)</f>
        <v>1.0285216138006259E-3</v>
      </c>
      <c r="W882">
        <v>767</v>
      </c>
      <c r="X882">
        <v>17.334657</v>
      </c>
      <c r="Y882">
        <v>1.5</v>
      </c>
      <c r="Z882">
        <f t="shared" si="138"/>
        <v>1.5</v>
      </c>
      <c r="AA882" s="21">
        <f>IF(X882&gt;$B$8+$B$9,0,ABS(X882-O882)/X882)</f>
        <v>1.2837767667217711E-3</v>
      </c>
      <c r="AB882">
        <f>IF(OR(Z879&lt;&gt;Z885,X882&gt;$B$8+$B$9),0,((X885-X879)/(W885-W879)-(O885-O879)/(W885-W879))^2)</f>
        <v>1.6881277276541052E-6</v>
      </c>
    </row>
    <row r="883" spans="7:28" x14ac:dyDescent="0.2">
      <c r="G883" s="21"/>
      <c r="H883" s="21">
        <v>768</v>
      </c>
      <c r="I883">
        <f t="shared" si="144"/>
        <v>1.7527786353489682E-2</v>
      </c>
      <c r="J883">
        <f t="shared" si="145"/>
        <v>0.57221252910101705</v>
      </c>
      <c r="K883">
        <f t="shared" si="139"/>
        <v>24.400054132941964</v>
      </c>
      <c r="L883">
        <f>0.5*Z883*K883/J883/$B$7</f>
        <v>31.981195218596529</v>
      </c>
      <c r="M883">
        <f t="shared" si="142"/>
        <v>0.55824480223916428</v>
      </c>
      <c r="N883" s="21">
        <f t="shared" si="146"/>
        <v>5.8773029300261466E-2</v>
      </c>
      <c r="O883" s="21">
        <f t="shared" si="147"/>
        <v>17.374438616269181</v>
      </c>
      <c r="P883">
        <f t="shared" si="143"/>
        <v>0.63410234636655716</v>
      </c>
      <c r="Q883">
        <f t="shared" si="140"/>
        <v>0.57221252910101705</v>
      </c>
      <c r="R883">
        <f t="shared" si="141"/>
        <v>1.3482585204199986</v>
      </c>
      <c r="T883" s="21">
        <f>(M883-M882)/(H883-H882)</f>
        <v>1.0297698287875523E-3</v>
      </c>
      <c r="W883">
        <v>768</v>
      </c>
      <c r="X883">
        <v>17.363862000000001</v>
      </c>
      <c r="Y883">
        <v>1.5</v>
      </c>
      <c r="Z883">
        <f t="shared" si="138"/>
        <v>1.5</v>
      </c>
      <c r="AA883" s="21">
        <f>IF(X883&gt;$B$8+$B$9,0,ABS(X883-O883)/X883)</f>
        <v>6.0911658185143665E-4</v>
      </c>
      <c r="AB883">
        <f>IF(OR(Z880&lt;&gt;Z886,X883&gt;$B$8+$B$9),0,((X886-X880)/(W886-W880)-(O886-O880)/(W886-W880))^2)</f>
        <v>0</v>
      </c>
    </row>
    <row r="884" spans="7:28" x14ac:dyDescent="0.2">
      <c r="G884" s="21"/>
      <c r="H884" s="21">
        <v>769</v>
      </c>
      <c r="I884">
        <f t="shared" si="144"/>
        <v>1.7535815276676869E-2</v>
      </c>
      <c r="J884">
        <f t="shared" si="145"/>
        <v>0.57162286795355621</v>
      </c>
      <c r="K884">
        <f t="shared" si="139"/>
        <v>24.389954440694947</v>
      </c>
      <c r="L884">
        <f>0.5*Z884*K884/J884/$B$7</f>
        <v>32.000934280339976</v>
      </c>
      <c r="M884">
        <f t="shared" si="142"/>
        <v>0.55927582681003163</v>
      </c>
      <c r="N884" s="21">
        <f t="shared" si="146"/>
        <v>5.8817689291830802E-2</v>
      </c>
      <c r="O884" s="21">
        <f>O883+I884*(H884-H883)</f>
        <v>17.391974431545858</v>
      </c>
      <c r="P884">
        <f t="shared" si="143"/>
        <v>0.63497639140668038</v>
      </c>
      <c r="Q884">
        <f t="shared" si="140"/>
        <v>0.57162286795355621</v>
      </c>
      <c r="R884">
        <f t="shared" si="141"/>
        <v>1.3382087259405842</v>
      </c>
      <c r="T884" s="21">
        <f>(M884-M883)/(H884-H883)</f>
        <v>1.0310245708673449E-3</v>
      </c>
      <c r="W884">
        <v>769</v>
      </c>
      <c r="X884">
        <v>17.370352</v>
      </c>
      <c r="Y884">
        <v>1.5</v>
      </c>
      <c r="Z884">
        <f t="shared" si="138"/>
        <v>1.5</v>
      </c>
      <c r="AA884" s="21">
        <f>IF(X884&gt;$B$8+$B$9,0,ABS(X884-O884)/X884)</f>
        <v>1.2447894864685255E-3</v>
      </c>
      <c r="AB884">
        <f>IF(OR(Z881&lt;&gt;Z887,X884&gt;$B$8+$B$9),0,((X887-X881)/(W887-W881)-(O887-O881)/(W887-W881))^2)</f>
        <v>0</v>
      </c>
    </row>
    <row r="885" spans="7:28" x14ac:dyDescent="0.2">
      <c r="G885" s="21"/>
      <c r="H885" s="21">
        <v>770</v>
      </c>
      <c r="I885">
        <f t="shared" si="144"/>
        <v>1.7543939535498345E-2</v>
      </c>
      <c r="J885">
        <f t="shared" si="145"/>
        <v>0.57103309420573534</v>
      </c>
      <c r="K885">
        <f t="shared" si="139"/>
        <v>24.379888104676052</v>
      </c>
      <c r="L885">
        <f>0.5*Z885*K885/J885/$B$7</f>
        <v>32.020764232482883</v>
      </c>
      <c r="M885">
        <f t="shared" si="142"/>
        <v>0.56030811267686242</v>
      </c>
      <c r="N885" s="21">
        <f t="shared" si="146"/>
        <v>5.8862362419247444E-2</v>
      </c>
      <c r="O885" s="21">
        <f t="shared" si="147"/>
        <v>17.409518371081358</v>
      </c>
      <c r="P885">
        <f t="shared" si="143"/>
        <v>0.63585060335246901</v>
      </c>
      <c r="Q885">
        <f t="shared" si="140"/>
        <v>0.57103309420573534</v>
      </c>
      <c r="R885">
        <f t="shared" si="141"/>
        <v>1.3283057667583666</v>
      </c>
      <c r="T885" s="21">
        <f>(M885-M884)/(H885-H884)</f>
        <v>1.0322858668307955E-3</v>
      </c>
      <c r="W885">
        <v>770</v>
      </c>
      <c r="X885">
        <v>17.386575999999998</v>
      </c>
      <c r="Y885">
        <v>1.5</v>
      </c>
      <c r="Z885">
        <f t="shared" si="138"/>
        <v>1.5</v>
      </c>
      <c r="AA885" s="21">
        <f>IF(X885&gt;$B$8+$B$9,0,ABS(X885-O885)/X885)</f>
        <v>1.3195450950986487E-3</v>
      </c>
      <c r="AB885">
        <f>IF(OR(Z882&lt;&gt;Z888,X885&gt;$B$8+$B$9),0,((X888-X882)/(W888-W882)-(O888-O882)/(W888-W882))^2)</f>
        <v>0</v>
      </c>
    </row>
    <row r="886" spans="7:28" x14ac:dyDescent="0.2">
      <c r="G886" s="21"/>
      <c r="H886" s="21">
        <v>771</v>
      </c>
      <c r="I886">
        <f t="shared" si="144"/>
        <v>1.7552159259525364E-2</v>
      </c>
      <c r="J886">
        <f t="shared" si="145"/>
        <v>0.57044320570667018</v>
      </c>
      <c r="K886">
        <f t="shared" si="139"/>
        <v>24.36985500829369</v>
      </c>
      <c r="L886">
        <f>0.5*Z886*K886/J886/$B$7</f>
        <v>21.360456890799579</v>
      </c>
      <c r="M886">
        <f t="shared" si="142"/>
        <v>0.56134166642059236</v>
      </c>
      <c r="N886" s="21">
        <f t="shared" si="146"/>
        <v>5.8907049043642107E-2</v>
      </c>
      <c r="O886" s="21">
        <f t="shared" si="147"/>
        <v>17.427070530340885</v>
      </c>
      <c r="P886">
        <f t="shared" si="143"/>
        <v>0.63672498539214351</v>
      </c>
      <c r="Q886">
        <f t="shared" si="140"/>
        <v>0.57044320570667018</v>
      </c>
      <c r="R886">
        <f t="shared" si="141"/>
        <v>1.3185464133516787</v>
      </c>
      <c r="T886" s="21">
        <f>(M886-M885)/(H886-H885)</f>
        <v>1.0335537437299314E-3</v>
      </c>
      <c r="W886">
        <v>771</v>
      </c>
      <c r="X886">
        <v>17.404423999999999</v>
      </c>
      <c r="Y886">
        <v>1</v>
      </c>
      <c r="Z886">
        <f t="shared" si="138"/>
        <v>1</v>
      </c>
      <c r="AA886" s="21">
        <f>IF(X886&gt;$B$8+$B$9,0,ABS(X886-O886)/X886)</f>
        <v>1.3011938999466929E-3</v>
      </c>
      <c r="AB886">
        <f>IF(OR(Z883&lt;&gt;Z889,X886&gt;$B$8+$B$9),0,((X889-X883)/(W889-W883)-(O889-O883)/(W889-W883))^2)</f>
        <v>0</v>
      </c>
    </row>
    <row r="887" spans="7:28" x14ac:dyDescent="0.2">
      <c r="G887" s="21"/>
      <c r="H887" s="21">
        <v>772</v>
      </c>
      <c r="I887">
        <f t="shared" si="144"/>
        <v>7.8626418454630642E-3</v>
      </c>
      <c r="J887">
        <f t="shared" si="145"/>
        <v>0.57017901267352356</v>
      </c>
      <c r="K887">
        <f t="shared" si="139"/>
        <v>24.365372877966227</v>
      </c>
      <c r="L887">
        <f>0.5*Z887*K887/J887/$B$7</f>
        <v>21.366423821633624</v>
      </c>
      <c r="M887">
        <f t="shared" si="142"/>
        <v>0.56180491013724787</v>
      </c>
      <c r="N887" s="21">
        <f t="shared" si="146"/>
        <v>5.8927064427087728E-2</v>
      </c>
      <c r="O887" s="21">
        <f t="shared" si="147"/>
        <v>17.434933172186348</v>
      </c>
      <c r="P887">
        <f t="shared" si="143"/>
        <v>0.63711659438868562</v>
      </c>
      <c r="Q887">
        <f t="shared" si="140"/>
        <v>0.57017901267352356</v>
      </c>
      <c r="R887">
        <f t="shared" si="141"/>
        <v>1.3142218416752767</v>
      </c>
      <c r="T887" s="21">
        <f>(M887-M886)/(H887-H886)</f>
        <v>4.6324371665551478E-4</v>
      </c>
      <c r="W887">
        <v>772</v>
      </c>
      <c r="X887">
        <v>17.397933999999999</v>
      </c>
      <c r="Y887">
        <v>1</v>
      </c>
      <c r="Z887">
        <f t="shared" si="138"/>
        <v>1</v>
      </c>
      <c r="AA887" s="21">
        <f>IF(X887&gt;$B$8+$B$9,0,ABS(X887-O887)/X887)</f>
        <v>2.1266417142603551E-3</v>
      </c>
      <c r="AB887">
        <f>IF(OR(Z884&lt;&gt;Z890,X887&gt;$B$8+$B$9),0,((X890-X884)/(W890-W884)-(O890-O884)/(W890-W884))^2)</f>
        <v>0</v>
      </c>
    </row>
    <row r="888" spans="7:28" x14ac:dyDescent="0.2">
      <c r="G888" s="21"/>
      <c r="H888" s="21">
        <v>773</v>
      </c>
      <c r="I888">
        <f t="shared" si="144"/>
        <v>7.864322987014746E-3</v>
      </c>
      <c r="J888">
        <f t="shared" si="145"/>
        <v>0.56991479583375204</v>
      </c>
      <c r="K888">
        <f t="shared" si="139"/>
        <v>24.360897376746717</v>
      </c>
      <c r="L888">
        <f>0.5*Z888*K888/J888/$B$7</f>
        <v>21.372402993247569</v>
      </c>
      <c r="M888">
        <f t="shared" si="142"/>
        <v>0.5622684103203559</v>
      </c>
      <c r="N888" s="21">
        <f t="shared" si="146"/>
        <v>5.8947082635116645E-2</v>
      </c>
      <c r="O888" s="21">
        <f t="shared" si="147"/>
        <v>17.442797495173362</v>
      </c>
      <c r="P888">
        <f t="shared" si="143"/>
        <v>0.63750823867339679</v>
      </c>
      <c r="Q888">
        <f t="shared" si="140"/>
        <v>0.56991479583375204</v>
      </c>
      <c r="R888">
        <f t="shared" si="141"/>
        <v>1.3099251588676268</v>
      </c>
      <c r="T888" s="21">
        <f>(M888-M887)/(H888-H887)</f>
        <v>4.6350018310803431E-4</v>
      </c>
      <c r="W888">
        <v>773</v>
      </c>
      <c r="X888">
        <v>17.409291</v>
      </c>
      <c r="Y888">
        <v>1</v>
      </c>
      <c r="Z888">
        <f t="shared" si="138"/>
        <v>1</v>
      </c>
      <c r="AA888" s="21">
        <f>IF(X888&gt;$B$8+$B$9,0,ABS(X888-O888)/X888)</f>
        <v>1.924632954516229E-3</v>
      </c>
      <c r="AB888">
        <f>IF(OR(Z885&lt;&gt;Z891,X888&gt;$B$8+$B$9),0,((X891-X885)/(W891-W885)-(O891-O885)/(W891-W885))^2)</f>
        <v>0</v>
      </c>
    </row>
    <row r="889" spans="7:28" x14ac:dyDescent="0.2">
      <c r="G889" s="21"/>
      <c r="H889" s="21">
        <v>774</v>
      </c>
      <c r="I889">
        <f t="shared" si="144"/>
        <v>7.8660127309478148E-3</v>
      </c>
      <c r="J889">
        <f t="shared" si="145"/>
        <v>0.56965055499390327</v>
      </c>
      <c r="K889">
        <f t="shared" si="139"/>
        <v>24.356428494355985</v>
      </c>
      <c r="L889">
        <f>0.5*Z889*K889/J889/$B$7</f>
        <v>21.378394421661419</v>
      </c>
      <c r="M889">
        <f t="shared" si="142"/>
        <v>0.56273216756673539</v>
      </c>
      <c r="N889" s="21">
        <f t="shared" si="146"/>
        <v>5.8967103700312939E-2</v>
      </c>
      <c r="O889" s="21">
        <f t="shared" si="147"/>
        <v>17.450663507904309</v>
      </c>
      <c r="P889">
        <f t="shared" si="143"/>
        <v>0.63789991853302874</v>
      </c>
      <c r="Q889">
        <f t="shared" si="140"/>
        <v>0.56965055499390327</v>
      </c>
      <c r="R889">
        <f t="shared" si="141"/>
        <v>1.3056560929522929</v>
      </c>
      <c r="T889" s="21">
        <f>(M889-M888)/(H889-H888)</f>
        <v>4.6375724637948146E-4</v>
      </c>
      <c r="W889">
        <v>774</v>
      </c>
      <c r="X889">
        <v>17.422270999999999</v>
      </c>
      <c r="Y889">
        <v>1</v>
      </c>
      <c r="Z889">
        <f t="shared" si="138"/>
        <v>1</v>
      </c>
      <c r="AA889" s="21">
        <f>IF(X889&gt;$B$8+$B$9,0,ABS(X889-O889)/X889)</f>
        <v>1.6296674471606375E-3</v>
      </c>
      <c r="AB889">
        <f>IF(OR(Z886&lt;&gt;Z892,X889&gt;$B$8+$B$9),0,((X892-X886)/(W892-W886)-(O892-O886)/(W892-W886))^2)</f>
        <v>6.2700434827215055E-10</v>
      </c>
    </row>
    <row r="890" spans="7:28" x14ac:dyDescent="0.2">
      <c r="G890" s="21"/>
      <c r="H890" s="21">
        <v>775</v>
      </c>
      <c r="I890">
        <f t="shared" si="144"/>
        <v>7.8677110829424614E-3</v>
      </c>
      <c r="J890">
        <f t="shared" si="145"/>
        <v>0.56938628996046603</v>
      </c>
      <c r="K890">
        <f t="shared" si="139"/>
        <v>24.351966220551109</v>
      </c>
      <c r="L890">
        <f>0.5*Z890*K890/J890/$B$7</f>
        <v>21.384398122970197</v>
      </c>
      <c r="M890">
        <f t="shared" si="142"/>
        <v>0.56319618247432934</v>
      </c>
      <c r="N890" s="21">
        <f t="shared" si="146"/>
        <v>5.8987127655292827E-2</v>
      </c>
      <c r="O890" s="21">
        <f t="shared" si="147"/>
        <v>17.45853121898725</v>
      </c>
      <c r="P890">
        <f t="shared" si="143"/>
        <v>0.6382916342544197</v>
      </c>
      <c r="Q890">
        <f t="shared" si="140"/>
        <v>0.56938628996046603</v>
      </c>
      <c r="R890">
        <f t="shared" si="141"/>
        <v>1.3014143754775827</v>
      </c>
      <c r="T890" s="21">
        <f>(M890-M889)/(H890-H889)</f>
        <v>4.6401490759395703E-4</v>
      </c>
      <c r="W890">
        <v>775</v>
      </c>
      <c r="X890">
        <v>17.427137999999999</v>
      </c>
      <c r="Y890">
        <v>1</v>
      </c>
      <c r="Z890">
        <f t="shared" si="138"/>
        <v>1</v>
      </c>
      <c r="AA890" s="21">
        <f>IF(X890&gt;$B$8+$B$9,0,ABS(X890-O890)/X890)</f>
        <v>1.8013984273981766E-3</v>
      </c>
      <c r="AB890">
        <f>IF(OR(Z887&lt;&gt;Z893,X890&gt;$B$8+$B$9),0,((X893-X887)/(W893-W887)-(O893-O887)/(W893-W887))^2)</f>
        <v>1.1128645301337192E-6</v>
      </c>
    </row>
    <row r="891" spans="7:28" x14ac:dyDescent="0.2">
      <c r="G891" s="21"/>
      <c r="H891" s="21">
        <v>776</v>
      </c>
      <c r="I891">
        <f t="shared" si="144"/>
        <v>7.8694180487431705E-3</v>
      </c>
      <c r="J891">
        <f t="shared" si="145"/>
        <v>0.56912200053987028</v>
      </c>
      <c r="K891">
        <f t="shared" si="139"/>
        <v>24.347510545125335</v>
      </c>
      <c r="L891">
        <f>0.5*Z891*K891/J891/$B$7</f>
        <v>21.390414113344097</v>
      </c>
      <c r="M891">
        <f t="shared" si="142"/>
        <v>0.56366045564220746</v>
      </c>
      <c r="N891" s="21">
        <f t="shared" si="146"/>
        <v>5.9007154532704602E-2</v>
      </c>
      <c r="O891" s="21">
        <f t="shared" si="147"/>
        <v>17.466400637035992</v>
      </c>
      <c r="P891">
        <f t="shared" si="143"/>
        <v>0.63868338612449538</v>
      </c>
      <c r="Q891">
        <f t="shared" si="140"/>
        <v>0.56912200053987028</v>
      </c>
      <c r="R891">
        <f t="shared" si="141"/>
        <v>1.2971997414596281</v>
      </c>
      <c r="T891" s="21">
        <f>(M891-M890)/(H891-H890)</f>
        <v>4.6427316787811534E-4</v>
      </c>
      <c r="W891">
        <v>776</v>
      </c>
      <c r="X891">
        <v>17.438496000000001</v>
      </c>
      <c r="Y891">
        <v>1</v>
      </c>
      <c r="Z891">
        <f t="shared" si="138"/>
        <v>1</v>
      </c>
      <c r="AA891" s="21">
        <f>IF(X891&gt;$B$8+$B$9,0,ABS(X891-O891)/X891)</f>
        <v>1.6001745239951565E-3</v>
      </c>
      <c r="AB891">
        <f>IF(OR(Z888&lt;&gt;Z894,X891&gt;$B$8+$B$9),0,((X894-X888)/(W894-W888)-(O894-O888)/(W894-W888))^2)</f>
        <v>2.6270339712007542E-7</v>
      </c>
    </row>
    <row r="892" spans="7:28" x14ac:dyDescent="0.2">
      <c r="G892" s="21"/>
      <c r="H892" s="21">
        <v>777</v>
      </c>
      <c r="I892">
        <f t="shared" si="144"/>
        <v>7.8711336341588754E-3</v>
      </c>
      <c r="J892">
        <f t="shared" si="145"/>
        <v>0.56885768653848534</v>
      </c>
      <c r="K892">
        <f t="shared" si="139"/>
        <v>24.343061457907947</v>
      </c>
      <c r="L892">
        <f>0.5*Z892*K892/J892/$B$7</f>
        <v>21.396442409028648</v>
      </c>
      <c r="M892">
        <f t="shared" si="142"/>
        <v>0.56412498767057173</v>
      </c>
      <c r="N892" s="21">
        <f t="shared" si="146"/>
        <v>5.9027184365229191E-2</v>
      </c>
      <c r="O892" s="21">
        <f t="shared" si="147"/>
        <v>17.47427177067015</v>
      </c>
      <c r="P892">
        <f t="shared" si="143"/>
        <v>0.63907517443027129</v>
      </c>
      <c r="Q892">
        <f t="shared" si="140"/>
        <v>0.56885768653848534</v>
      </c>
      <c r="R892">
        <f t="shared" si="141"/>
        <v>1.293011929326553</v>
      </c>
      <c r="T892" s="21">
        <f>(M892-M891)/(H892-H891)</f>
        <v>4.6453202836427288E-4</v>
      </c>
      <c r="W892">
        <v>777</v>
      </c>
      <c r="X892">
        <v>17.451474999999999</v>
      </c>
      <c r="Y892">
        <v>1</v>
      </c>
      <c r="Z892">
        <f t="shared" si="138"/>
        <v>1</v>
      </c>
      <c r="AA892" s="21">
        <f>IF(X892&gt;$B$8+$B$9,0,ABS(X892-O892)/X892)</f>
        <v>1.3062947785302556E-3</v>
      </c>
      <c r="AB892">
        <f>IF(OR(Z889&lt;&gt;Z895,X892&gt;$B$8+$B$9),0,((X895-X889)/(W895-W889)-(O895-O889)/(W895-W889))^2)</f>
        <v>2.6094329329690928E-7</v>
      </c>
    </row>
    <row r="893" spans="7:28" x14ac:dyDescent="0.2">
      <c r="G893" s="21"/>
      <c r="H893" s="21">
        <v>778</v>
      </c>
      <c r="I893">
        <f t="shared" si="144"/>
        <v>7.8728578450629489E-3</v>
      </c>
      <c r="J893">
        <f t="shared" si="145"/>
        <v>0.56859334776261883</v>
      </c>
      <c r="K893">
        <f t="shared" si="139"/>
        <v>24.338618948764168</v>
      </c>
      <c r="L893">
        <f>0.5*Z893*K893/J893/$B$7</f>
        <v>21.402483026344921</v>
      </c>
      <c r="M893">
        <f t="shared" si="142"/>
        <v>0.56458977916076147</v>
      </c>
      <c r="N893" s="21">
        <f t="shared" si="146"/>
        <v>5.9047217185580321E-2</v>
      </c>
      <c r="O893" s="21">
        <f t="shared" si="147"/>
        <v>17.482144628515211</v>
      </c>
      <c r="P893">
        <f t="shared" si="143"/>
        <v>0.63946699945885466</v>
      </c>
      <c r="Q893">
        <f t="shared" si="140"/>
        <v>0.56859334776261883</v>
      </c>
      <c r="R893">
        <f t="shared" si="141"/>
        <v>1.2888506808637195</v>
      </c>
      <c r="T893" s="21">
        <f>(M893-M892)/(H893-H892)</f>
        <v>4.6479149018974208E-4</v>
      </c>
      <c r="W893">
        <v>778</v>
      </c>
      <c r="X893">
        <v>17.451474999999999</v>
      </c>
      <c r="Y893">
        <v>1</v>
      </c>
      <c r="Z893">
        <f t="shared" si="138"/>
        <v>1</v>
      </c>
      <c r="AA893" s="21">
        <f>IF(X893&gt;$B$8+$B$9,0,ABS(X893-O893)/X893)</f>
        <v>1.757423284576967E-3</v>
      </c>
      <c r="AB893">
        <f>IF(OR(Z890&lt;&gt;Z896,X893&gt;$B$8+$B$9),0,((X896-X890)/(W896-W890)-(O896-O890)/(W896-W890))^2)</f>
        <v>3.4636841074190429E-6</v>
      </c>
    </row>
    <row r="894" spans="7:28" x14ac:dyDescent="0.2">
      <c r="G894" s="21"/>
      <c r="H894" s="21">
        <v>779</v>
      </c>
      <c r="I894">
        <f t="shared" si="144"/>
        <v>7.8745906873932889E-3</v>
      </c>
      <c r="J894">
        <f t="shared" si="145"/>
        <v>0.56832898401851484</v>
      </c>
      <c r="K894">
        <f t="shared" si="139"/>
        <v>24.334183007595026</v>
      </c>
      <c r="L894">
        <f>0.5*Z894*K894/J894/$B$7</f>
        <v>21.408535981689678</v>
      </c>
      <c r="M894">
        <f t="shared" si="142"/>
        <v>0.56505483071525842</v>
      </c>
      <c r="N894" s="21">
        <f t="shared" si="146"/>
        <v>5.9067253026505014E-2</v>
      </c>
      <c r="O894" s="21">
        <f t="shared" si="147"/>
        <v>17.490019219202605</v>
      </c>
      <c r="P894">
        <f t="shared" si="143"/>
        <v>0.63985886149744664</v>
      </c>
      <c r="Q894">
        <f t="shared" si="140"/>
        <v>0.56832898401851484</v>
      </c>
      <c r="R894">
        <f t="shared" si="141"/>
        <v>1.2847157411600219</v>
      </c>
      <c r="T894" s="21">
        <f>(M894-M893)/(H894-H893)</f>
        <v>4.6505155449694247E-4</v>
      </c>
      <c r="W894">
        <v>779</v>
      </c>
      <c r="X894">
        <v>17.459588</v>
      </c>
      <c r="Y894">
        <v>1</v>
      </c>
      <c r="Z894">
        <f t="shared" ref="Z894:Z957" si="148">Y894</f>
        <v>1</v>
      </c>
      <c r="AA894" s="21">
        <f>IF(X894&gt;$B$8+$B$9,0,ABS(X894-O894)/X894)</f>
        <v>1.7429517353218535E-3</v>
      </c>
      <c r="AB894">
        <f>IF(OR(Z891&lt;&gt;Z897,X894&gt;$B$8+$B$9),0,((X897-X891)/(W897-W891)-(O897-O891)/(W897-W891))^2)</f>
        <v>1.738513587090933E-6</v>
      </c>
    </row>
    <row r="895" spans="7:28" x14ac:dyDescent="0.2">
      <c r="G895" s="21"/>
      <c r="H895" s="21">
        <v>780</v>
      </c>
      <c r="I895">
        <f t="shared" si="144"/>
        <v>7.8763321671523751E-3</v>
      </c>
      <c r="J895">
        <f t="shared" si="145"/>
        <v>0.56806459511235352</v>
      </c>
      <c r="K895">
        <f t="shared" si="139"/>
        <v>24.329753624337275</v>
      </c>
      <c r="L895">
        <f>0.5*Z895*K895/J895/$B$7</f>
        <v>21.414601291535572</v>
      </c>
      <c r="M895">
        <f t="shared" si="142"/>
        <v>0.56552014293769082</v>
      </c>
      <c r="N895" s="21">
        <f t="shared" si="146"/>
        <v>5.9087291920783679E-2</v>
      </c>
      <c r="O895" s="21">
        <f t="shared" si="147"/>
        <v>17.497895551369758</v>
      </c>
      <c r="P895">
        <f t="shared" si="143"/>
        <v>0.6402507608333432</v>
      </c>
      <c r="Q895">
        <f t="shared" si="140"/>
        <v>0.56806459511235352</v>
      </c>
      <c r="R895">
        <f t="shared" si="141"/>
        <v>1.2806068585552233</v>
      </c>
      <c r="T895" s="21">
        <f>(M895-M894)/(H895-H894)</f>
        <v>4.6531222243240133E-4</v>
      </c>
      <c r="W895">
        <v>780</v>
      </c>
      <c r="X895">
        <v>17.472567999999999</v>
      </c>
      <c r="Y895">
        <v>1</v>
      </c>
      <c r="Z895">
        <f t="shared" si="148"/>
        <v>1</v>
      </c>
      <c r="AA895" s="21">
        <f>IF(X895&gt;$B$8+$B$9,0,ABS(X895-O895)/X895)</f>
        <v>1.4495608985330322E-3</v>
      </c>
      <c r="AB895">
        <f>IF(OR(Z892&lt;&gt;Z898,X895&gt;$B$8+$B$9),0,((X898-X892)/(W898-W892)-(O898-O892)/(W898-W892))^2)</f>
        <v>3.3183601141101434E-7</v>
      </c>
    </row>
    <row r="896" spans="7:28" x14ac:dyDescent="0.2">
      <c r="G896" s="21"/>
      <c r="H896" s="21">
        <v>781</v>
      </c>
      <c r="I896">
        <f t="shared" si="144"/>
        <v>7.878082290407375E-3</v>
      </c>
      <c r="J896">
        <f t="shared" si="145"/>
        <v>0.56780018085024953</v>
      </c>
      <c r="K896">
        <f t="shared" si="139"/>
        <v>24.325330788963281</v>
      </c>
      <c r="L896">
        <f>0.5*Z896*K896/J896/$B$7</f>
        <v>21.420678972431322</v>
      </c>
      <c r="M896">
        <f t="shared" si="142"/>
        <v>0.56598571643283879</v>
      </c>
      <c r="N896" s="21">
        <f t="shared" si="146"/>
        <v>5.9107333901230602E-2</v>
      </c>
      <c r="O896" s="21">
        <f t="shared" si="147"/>
        <v>17.505773633660166</v>
      </c>
      <c r="P896">
        <f t="shared" si="143"/>
        <v>0.64064269775393745</v>
      </c>
      <c r="Q896">
        <f t="shared" si="140"/>
        <v>0.56780018085024953</v>
      </c>
      <c r="R896">
        <f t="shared" si="141"/>
        <v>1.27652378458828</v>
      </c>
      <c r="T896" s="21">
        <f>(M896-M895)/(H896-H895)</f>
        <v>4.6557349514797508E-4</v>
      </c>
      <c r="W896">
        <v>781</v>
      </c>
      <c r="X896">
        <v>17.485547</v>
      </c>
      <c r="Y896">
        <v>1</v>
      </c>
      <c r="Z896">
        <f t="shared" si="148"/>
        <v>1</v>
      </c>
      <c r="AA896" s="21">
        <f>IF(X896&gt;$B$8+$B$9,0,ABS(X896-O896)/X896)</f>
        <v>1.1567629917534352E-3</v>
      </c>
      <c r="AB896">
        <f>IF(OR(Z893&lt;&gt;Z899,X896&gt;$B$8+$B$9),0,((X899-X893)/(W899-W893)-(O899-O893)/(W899-W893))^2)</f>
        <v>3.4442167831329994E-6</v>
      </c>
    </row>
    <row r="897" spans="7:28" x14ac:dyDescent="0.2">
      <c r="G897" s="21"/>
      <c r="H897" s="21">
        <v>782</v>
      </c>
      <c r="I897">
        <f t="shared" si="144"/>
        <v>7.8798410632901633E-3</v>
      </c>
      <c r="J897">
        <f t="shared" si="145"/>
        <v>0.56753574103824977</v>
      </c>
      <c r="K897">
        <f t="shared" si="139"/>
        <v>24.320914491480877</v>
      </c>
      <c r="L897">
        <f>0.5*Z897*K897/J897/$B$7</f>
        <v>21.426769041001894</v>
      </c>
      <c r="M897">
        <f t="shared" si="142"/>
        <v>0.56645155180664053</v>
      </c>
      <c r="N897" s="21">
        <f t="shared" si="146"/>
        <v>5.9127379000694223E-2</v>
      </c>
      <c r="O897" s="21">
        <f t="shared" si="147"/>
        <v>17.513653474723455</v>
      </c>
      <c r="P897">
        <f t="shared" si="143"/>
        <v>0.64103467254672264</v>
      </c>
      <c r="Q897">
        <f t="shared" si="140"/>
        <v>0.56753574103824977</v>
      </c>
      <c r="R897">
        <f t="shared" si="141"/>
        <v>1.2724662739466421</v>
      </c>
      <c r="T897" s="21">
        <f>(M897-M896)/(H897-H896)</f>
        <v>4.6583537380173734E-4</v>
      </c>
      <c r="W897">
        <v>782</v>
      </c>
      <c r="X897">
        <v>17.493659999999998</v>
      </c>
      <c r="Y897">
        <v>1</v>
      </c>
      <c r="Z897">
        <f t="shared" si="148"/>
        <v>1</v>
      </c>
      <c r="AA897" s="21">
        <f>IF(X897&gt;$B$8+$B$9,0,ABS(X897-O897)/X897)</f>
        <v>1.1428983256480619E-3</v>
      </c>
      <c r="AB897">
        <f>IF(OR(Z894&lt;&gt;Z900,X897&gt;$B$8+$B$9),0,((X900-X894)/(W900-W894)-(O900-O894)/(W900-W894))^2)</f>
        <v>1.0279058040059134E-5</v>
      </c>
    </row>
    <row r="898" spans="7:28" x14ac:dyDescent="0.2">
      <c r="G898" s="21"/>
      <c r="H898" s="21">
        <v>783</v>
      </c>
      <c r="I898">
        <f t="shared" si="144"/>
        <v>7.8816084919974116E-3</v>
      </c>
      <c r="J898">
        <f t="shared" si="145"/>
        <v>0.56727127548233391</v>
      </c>
      <c r="K898">
        <f t="shared" si="139"/>
        <v>24.316504721933306</v>
      </c>
      <c r="L898">
        <f>0.5*Z898*K898/J898/$B$7</f>
        <v>21.432871513948687</v>
      </c>
      <c r="M898">
        <f t="shared" si="142"/>
        <v>0.56691764966619485</v>
      </c>
      <c r="N898" s="21">
        <f t="shared" si="146"/>
        <v>5.9147427252057412E-2</v>
      </c>
      <c r="O898" s="21">
        <f t="shared" si="147"/>
        <v>17.521535083215451</v>
      </c>
      <c r="P898">
        <f t="shared" si="143"/>
        <v>0.64142668549929238</v>
      </c>
      <c r="Q898">
        <f t="shared" si="140"/>
        <v>0.56727127548233391</v>
      </c>
      <c r="R898">
        <f t="shared" si="141"/>
        <v>1.2684340844165456</v>
      </c>
      <c r="T898" s="21">
        <f>(M898-M897)/(H898-H897)</f>
        <v>4.6609785955431526E-4</v>
      </c>
      <c r="W898">
        <v>783</v>
      </c>
      <c r="X898">
        <v>17.495282</v>
      </c>
      <c r="Y898">
        <v>1</v>
      </c>
      <c r="Z898">
        <f t="shared" si="148"/>
        <v>1</v>
      </c>
      <c r="AA898" s="21">
        <f>IF(X898&gt;$B$8+$B$9,0,ABS(X898-O898)/X898)</f>
        <v>1.5005807403076473E-3</v>
      </c>
      <c r="AB898">
        <f>IF(OR(Z895&lt;&gt;Z901,X898&gt;$B$8+$B$9),0,((X901-X895)/(W901-W895)-(O901-O895)/(W901-W895))^2)</f>
        <v>7.0941891488802017E-6</v>
      </c>
    </row>
    <row r="899" spans="7:28" x14ac:dyDescent="0.2">
      <c r="G899" s="21"/>
      <c r="H899" s="21">
        <v>784</v>
      </c>
      <c r="I899">
        <f t="shared" si="144"/>
        <v>7.8833845827906805E-3</v>
      </c>
      <c r="J899">
        <f t="shared" si="145"/>
        <v>0.5670067839884112</v>
      </c>
      <c r="K899">
        <f t="shared" ref="K899:K962" si="149">IF(O899&lt;$B$8+$B$9,0.5*(($B$8+$B$9)^2+O899^2)/O899-$B$9,$B$8)</f>
        <v>24.312101470399075</v>
      </c>
      <c r="L899">
        <f>0.5*Z899*K899/J899/$B$7</f>
        <v>21.438986408049729</v>
      </c>
      <c r="M899">
        <f t="shared" si="142"/>
        <v>0.56738401061976895</v>
      </c>
      <c r="N899" s="21">
        <f t="shared" si="146"/>
        <v>5.9167478688237865E-2</v>
      </c>
      <c r="O899" s="21">
        <f t="shared" si="147"/>
        <v>17.529418467798241</v>
      </c>
      <c r="P899">
        <f t="shared" si="143"/>
        <v>0.64181873689934366</v>
      </c>
      <c r="Q899">
        <f t="shared" ref="Q899:Q962" si="150">1-B$15*P899</f>
        <v>0.5670067839884112</v>
      </c>
      <c r="R899">
        <f t="shared" ref="R899:R962" si="151">$E$15/(P899+$E$16)</f>
        <v>1.2644269768342107</v>
      </c>
      <c r="T899" s="21">
        <f>(M899-M898)/(H899-H898)</f>
        <v>4.6636095357410756E-4</v>
      </c>
      <c r="W899">
        <v>784</v>
      </c>
      <c r="X899">
        <v>17.509884</v>
      </c>
      <c r="Y899">
        <v>1</v>
      </c>
      <c r="Z899">
        <f t="shared" si="148"/>
        <v>1</v>
      </c>
      <c r="AA899" s="21">
        <f>IF(X899&gt;$B$8+$B$9,0,ABS(X899-O899)/X899)</f>
        <v>1.1156251976450098E-3</v>
      </c>
      <c r="AB899">
        <f>IF(OR(Z896&lt;&gt;Z902,X899&gt;$B$8+$B$9),0,((X902-X896)/(W902-W896)-(O902-O896)/(W902-W896))^2)</f>
        <v>2.4970683071154185E-6</v>
      </c>
    </row>
    <row r="900" spans="7:28" x14ac:dyDescent="0.2">
      <c r="G900" s="21"/>
      <c r="H900" s="21">
        <v>785</v>
      </c>
      <c r="I900">
        <f t="shared" si="144"/>
        <v>7.885169341996439E-3</v>
      </c>
      <c r="J900">
        <f t="shared" si="145"/>
        <v>0.56674226636232083</v>
      </c>
      <c r="K900">
        <f t="shared" si="149"/>
        <v>24.307704726991865</v>
      </c>
      <c r="L900">
        <f>0.5*Z900*K900/J900/$B$7</f>
        <v>21.445113740159837</v>
      </c>
      <c r="M900">
        <f t="shared" ref="M900:M963" si="152">-LN(J900)</f>
        <v>0.56785063527680069</v>
      </c>
      <c r="N900" s="21">
        <f t="shared" si="146"/>
        <v>5.9187533342188341E-2</v>
      </c>
      <c r="O900" s="21">
        <f t="shared" si="147"/>
        <v>17.537303637140237</v>
      </c>
      <c r="P900">
        <f t="shared" ref="P900:P963" si="153">MIN(O900/(K900+$B$9),1)</f>
        <v>0.64221082703467824</v>
      </c>
      <c r="Q900">
        <f t="shared" si="150"/>
        <v>0.56674226636232083</v>
      </c>
      <c r="R900">
        <f t="shared" si="151"/>
        <v>1.2604447150379798</v>
      </c>
      <c r="T900" s="21">
        <f>(M900-M899)/(H900-H899)</f>
        <v>4.6662465703173339E-4</v>
      </c>
      <c r="W900">
        <v>785</v>
      </c>
      <c r="X900">
        <v>17.526108999999998</v>
      </c>
      <c r="Y900">
        <v>1</v>
      </c>
      <c r="Z900">
        <f t="shared" si="148"/>
        <v>1</v>
      </c>
      <c r="AA900" s="21">
        <f>IF(X900&gt;$B$8+$B$9,0,ABS(X900-O900)/X900)</f>
        <v>6.3874058641532694E-4</v>
      </c>
      <c r="AB900">
        <f>IF(OR(Z897&lt;&gt;Z903,X900&gt;$B$8+$B$9),0,((X903-X897)/(W903-W897)-(O903-O897)/(W903-W897))^2)</f>
        <v>5.1191643412125755E-8</v>
      </c>
    </row>
    <row r="901" spans="7:28" x14ac:dyDescent="0.2">
      <c r="G901" s="21"/>
      <c r="H901" s="21">
        <v>786</v>
      </c>
      <c r="I901">
        <f t="shared" ref="I901:I964" si="154">IF(P900&lt;0.999,MAX(0,MIN(10000000,(L900/$E$8/M900^$E$10)^(1/$E$9)/N900)),0.1)</f>
        <v>7.8869627760061976E-3</v>
      </c>
      <c r="J901">
        <f t="shared" ref="J901:J964" si="155">Q901</f>
        <v>0.56647772240982985</v>
      </c>
      <c r="K901">
        <f t="shared" si="149"/>
        <v>24.303314481860433</v>
      </c>
      <c r="L901">
        <f>0.5*Z901*K901/J901/$B$7</f>
        <v>21.451253527210824</v>
      </c>
      <c r="M901">
        <f t="shared" si="152"/>
        <v>0.56831752424790538</v>
      </c>
      <c r="N901" s="21">
        <f t="shared" ref="N901:N964" si="156">-$B$15*(O901-2*(K901+$B$9))/(K901+$B$9)^2/J901</f>
        <v>5.9207591246897E-2</v>
      </c>
      <c r="O901" s="21">
        <f t="shared" ref="O901:O964" si="157">O900+I901*(H901-H900)</f>
        <v>17.545190599916243</v>
      </c>
      <c r="P901">
        <f t="shared" si="153"/>
        <v>0.6426029561932044</v>
      </c>
      <c r="Q901">
        <f t="shared" si="150"/>
        <v>0.56647772240982985</v>
      </c>
      <c r="R901">
        <f t="shared" si="151"/>
        <v>1.2564870658213494</v>
      </c>
      <c r="T901" s="21">
        <f>(M901-M900)/(H901-H900)</f>
        <v>4.6688897110469529E-4</v>
      </c>
      <c r="W901">
        <v>786</v>
      </c>
      <c r="X901">
        <v>17.535844000000001</v>
      </c>
      <c r="Y901">
        <v>1</v>
      </c>
      <c r="Z901">
        <f t="shared" si="148"/>
        <v>1</v>
      </c>
      <c r="AA901" s="21">
        <f>IF(X901&gt;$B$8+$B$9,0,ABS(X901-O901)/X901)</f>
        <v>5.3299971853318666E-4</v>
      </c>
      <c r="AB901">
        <f>IF(OR(Z898&lt;&gt;Z904,X901&gt;$B$8+$B$9),0,((X904-X898)/(W904-W898)-(O904-O898)/(W904-W898))^2)</f>
        <v>1.2037138260792958E-5</v>
      </c>
    </row>
    <row r="902" spans="7:28" x14ac:dyDescent="0.2">
      <c r="G902" s="21"/>
      <c r="H902" s="21">
        <v>787</v>
      </c>
      <c r="I902">
        <f t="shared" si="154"/>
        <v>7.8887648912765417E-3</v>
      </c>
      <c r="J902">
        <f t="shared" si="155"/>
        <v>0.56621315193663146</v>
      </c>
      <c r="K902">
        <f t="shared" si="149"/>
        <v>24.298930725188477</v>
      </c>
      <c r="L902">
        <f>0.5*Z902*K902/J902/$B$7</f>
        <v>21.457405786211698</v>
      </c>
      <c r="M902">
        <f t="shared" si="152"/>
        <v>0.5687846781448811</v>
      </c>
      <c r="N902" s="21">
        <f t="shared" si="156"/>
        <v>5.9227652435387822E-2</v>
      </c>
      <c r="O902" s="21">
        <f t="shared" si="157"/>
        <v>17.55307936480752</v>
      </c>
      <c r="P902">
        <f t="shared" si="153"/>
        <v>0.64299512466293973</v>
      </c>
      <c r="Q902">
        <f t="shared" si="150"/>
        <v>0.56621315193663146</v>
      </c>
      <c r="R902">
        <f t="shared" si="151"/>
        <v>1.2525537988868682</v>
      </c>
      <c r="T902" s="21">
        <f>(M902-M901)/(H902-H901)</f>
        <v>4.6715389697571386E-4</v>
      </c>
      <c r="W902">
        <v>787</v>
      </c>
      <c r="X902">
        <v>17.542334</v>
      </c>
      <c r="Y902">
        <v>1</v>
      </c>
      <c r="Z902">
        <f t="shared" si="148"/>
        <v>1</v>
      </c>
      <c r="AA902" s="21">
        <f>IF(X902&gt;$B$8+$B$9,0,ABS(X902-O902)/X902)</f>
        <v>6.125390616504798E-4</v>
      </c>
      <c r="AB902">
        <f>IF(OR(Z899&lt;&gt;Z905,X902&gt;$B$8+$B$9),0,((X905-X899)/(W905-W899)-(O905-O899)/(W905-W899))^2)</f>
        <v>2.2735617685849603E-9</v>
      </c>
    </row>
    <row r="903" spans="7:28" x14ac:dyDescent="0.2">
      <c r="G903" s="21"/>
      <c r="H903" s="21">
        <v>788</v>
      </c>
      <c r="I903">
        <f t="shared" si="154"/>
        <v>7.8905756943292299E-3</v>
      </c>
      <c r="J903">
        <f t="shared" si="155"/>
        <v>0.56594855474834471</v>
      </c>
      <c r="K903">
        <f t="shared" si="149"/>
        <v>24.294553447194556</v>
      </c>
      <c r="L903">
        <f>0.5*Z903*K903/J903/$B$7</f>
        <v>21.463570534248824</v>
      </c>
      <c r="M903">
        <f t="shared" si="152"/>
        <v>0.56925209758071227</v>
      </c>
      <c r="N903" s="21">
        <f t="shared" si="156"/>
        <v>5.9247716940720806E-2</v>
      </c>
      <c r="O903" s="21">
        <f t="shared" si="157"/>
        <v>17.560969940501849</v>
      </c>
      <c r="P903">
        <f t="shared" si="153"/>
        <v>0.64338733273201199</v>
      </c>
      <c r="Q903">
        <f t="shared" si="150"/>
        <v>0.56594855474834471</v>
      </c>
      <c r="R903">
        <f t="shared" si="151"/>
        <v>1.2486446868009189</v>
      </c>
      <c r="T903" s="21">
        <f>(M903-M902)/(H903-H902)</f>
        <v>4.674194358311734E-4</v>
      </c>
      <c r="W903">
        <v>788</v>
      </c>
      <c r="X903">
        <v>17.542334</v>
      </c>
      <c r="Y903">
        <v>1</v>
      </c>
      <c r="Z903">
        <f t="shared" si="148"/>
        <v>1</v>
      </c>
      <c r="AA903" s="21">
        <f>IF(X903&gt;$B$8+$B$9,0,ABS(X903-O903)/X903)</f>
        <v>1.0623409919027068E-3</v>
      </c>
      <c r="AB903">
        <f>IF(OR(Z900&lt;&gt;Z906,X903&gt;$B$8+$B$9),0,((X906-X900)/(W906-W900)-(O906-O900)/(W906-W900))^2)</f>
        <v>1.0239810560160938E-7</v>
      </c>
    </row>
    <row r="904" spans="7:28" x14ac:dyDescent="0.2">
      <c r="G904" s="21"/>
      <c r="H904" s="21">
        <v>789</v>
      </c>
      <c r="I904">
        <f t="shared" si="154"/>
        <v>7.8923951917512503E-3</v>
      </c>
      <c r="J904">
        <f t="shared" si="155"/>
        <v>0.56568393065051281</v>
      </c>
      <c r="K904">
        <f t="shared" si="149"/>
        <v>24.290182638131991</v>
      </c>
      <c r="L904">
        <f>0.5*Z904*K904/J904/$B$7</f>
        <v>21.469747788486142</v>
      </c>
      <c r="M904">
        <f t="shared" si="152"/>
        <v>0.56971978316957561</v>
      </c>
      <c r="N904" s="21">
        <f t="shared" si="156"/>
        <v>5.9267784795992318E-2</v>
      </c>
      <c r="O904" s="21">
        <f t="shared" si="157"/>
        <v>17.568862335693598</v>
      </c>
      <c r="P904">
        <f t="shared" si="153"/>
        <v>0.64377958068866137</v>
      </c>
      <c r="Q904">
        <f t="shared" si="150"/>
        <v>0.56568393065051281</v>
      </c>
      <c r="R904">
        <f t="shared" si="151"/>
        <v>1.2447595049493234</v>
      </c>
      <c r="T904" s="21">
        <f>(M904-M903)/(H904-H903)</f>
        <v>4.6768558886334244E-4</v>
      </c>
      <c r="W904">
        <v>789</v>
      </c>
      <c r="X904">
        <v>17.563426</v>
      </c>
      <c r="Y904">
        <v>1</v>
      </c>
      <c r="Z904">
        <f t="shared" si="148"/>
        <v>1</v>
      </c>
      <c r="AA904" s="21">
        <f>IF(X904&gt;$B$8+$B$9,0,ABS(X904-O904)/X904)</f>
        <v>3.0952592584150112E-4</v>
      </c>
      <c r="AB904">
        <f>IF(OR(Z901&lt;&gt;Z907,X904&gt;$B$8+$B$9),0,((X907-X901)/(W907-W901)-(O907-O901)/(W907-W901))^2)</f>
        <v>1.2836608190513651E-6</v>
      </c>
    </row>
    <row r="905" spans="7:28" x14ac:dyDescent="0.2">
      <c r="G905" s="21"/>
      <c r="H905" s="21">
        <v>790</v>
      </c>
      <c r="I905">
        <f t="shared" si="154"/>
        <v>7.8942233901949169E-3</v>
      </c>
      <c r="J905">
        <f t="shared" si="155"/>
        <v>0.5654192794486016</v>
      </c>
      <c r="K905">
        <f t="shared" si="149"/>
        <v>24.285818288288734</v>
      </c>
      <c r="L905">
        <f>0.5*Z905*K905/J905/$B$7</f>
        <v>21.475937566165349</v>
      </c>
      <c r="M905">
        <f t="shared" si="152"/>
        <v>0.57018773552684543</v>
      </c>
      <c r="N905" s="21">
        <f t="shared" si="156"/>
        <v>5.9287856034335513E-2</v>
      </c>
      <c r="O905" s="21">
        <f t="shared" si="157"/>
        <v>17.576756559083794</v>
      </c>
      <c r="P905">
        <f t="shared" si="153"/>
        <v>0.64417186882124267</v>
      </c>
      <c r="Q905">
        <f t="shared" si="150"/>
        <v>0.5654192794486016</v>
      </c>
      <c r="R905">
        <f t="shared" si="151"/>
        <v>1.2408980314937739</v>
      </c>
      <c r="T905" s="21">
        <f>(M905-M904)/(H905-H904)</f>
        <v>4.6795235726981854E-4</v>
      </c>
      <c r="W905">
        <v>790</v>
      </c>
      <c r="X905">
        <v>17.556936</v>
      </c>
      <c r="Y905">
        <v>1</v>
      </c>
      <c r="Z905">
        <f t="shared" si="148"/>
        <v>1</v>
      </c>
      <c r="AA905" s="21">
        <f>IF(X905&gt;$B$8+$B$9,0,ABS(X905-O905)/X905)</f>
        <v>1.1289304172318936E-3</v>
      </c>
      <c r="AB905">
        <f>IF(OR(Z902&lt;&gt;Z908,X905&gt;$B$8+$B$9),0,((X908-X902)/(W908-W902)-(O908-O902)/(W908-W902))^2)</f>
        <v>7.4733741264848652E-7</v>
      </c>
    </row>
    <row r="906" spans="7:28" x14ac:dyDescent="0.2">
      <c r="G906" s="21"/>
      <c r="H906" s="21">
        <v>791</v>
      </c>
      <c r="I906">
        <f t="shared" si="154"/>
        <v>7.8960602963779741E-3</v>
      </c>
      <c r="J906">
        <f t="shared" si="155"/>
        <v>0.56515460094799841</v>
      </c>
      <c r="K906">
        <f t="shared" si="149"/>
        <v>24.281460387987284</v>
      </c>
      <c r="L906">
        <f>0.5*Z906*K906/J906/$B$7</f>
        <v>21.482139884606102</v>
      </c>
      <c r="M906">
        <f t="shared" si="152"/>
        <v>0.5706559552690984</v>
      </c>
      <c r="N906" s="21">
        <f t="shared" si="156"/>
        <v>5.930793068892054E-2</v>
      </c>
      <c r="O906" s="21">
        <f t="shared" si="157"/>
        <v>17.584652619380172</v>
      </c>
      <c r="P906">
        <f t="shared" si="153"/>
        <v>0.6445641974182269</v>
      </c>
      <c r="Q906">
        <f t="shared" si="150"/>
        <v>0.56515460094799841</v>
      </c>
      <c r="R906">
        <f t="shared" si="151"/>
        <v>1.2370600473290747</v>
      </c>
      <c r="T906" s="21">
        <f>(M906-M905)/(H906-H905)</f>
        <v>4.6821974225297325E-4</v>
      </c>
      <c r="W906">
        <v>791</v>
      </c>
      <c r="X906">
        <v>17.571538</v>
      </c>
      <c r="Y906">
        <v>1</v>
      </c>
      <c r="Z906">
        <f t="shared" si="148"/>
        <v>1</v>
      </c>
      <c r="AA906" s="21">
        <f>IF(X906&gt;$B$8+$B$9,0,ABS(X906-O906)/X906)</f>
        <v>7.4635580449314612E-4</v>
      </c>
      <c r="AB906">
        <f>IF(OR(Z903&lt;&gt;Z909,X906&gt;$B$8+$B$9),0,((X909-X903)/(W909-W903)-(O909-O903)/(W909-W903))^2)</f>
        <v>8.5235110175771965E-6</v>
      </c>
    </row>
    <row r="907" spans="7:28" x14ac:dyDescent="0.2">
      <c r="G907" s="21"/>
      <c r="H907" s="21">
        <v>792</v>
      </c>
      <c r="I907">
        <f t="shared" si="154"/>
        <v>7.8979059170836002E-3</v>
      </c>
      <c r="J907">
        <f t="shared" si="155"/>
        <v>0.5648898949540111</v>
      </c>
      <c r="K907">
        <f t="shared" si="149"/>
        <v>24.277108927584571</v>
      </c>
      <c r="L907">
        <f>0.5*Z907*K907/J907/$B$7</f>
        <v>21.488354761206185</v>
      </c>
      <c r="M907">
        <f t="shared" si="152"/>
        <v>0.57112444301411858</v>
      </c>
      <c r="N907" s="21">
        <f t="shared" si="156"/>
        <v>5.9328008792954939E-2</v>
      </c>
      <c r="O907" s="21">
        <f t="shared" si="157"/>
        <v>17.592550525297256</v>
      </c>
      <c r="P907">
        <f t="shared" si="153"/>
        <v>0.64495656676820345</v>
      </c>
      <c r="Q907">
        <f t="shared" si="150"/>
        <v>0.5648898949540111</v>
      </c>
      <c r="R907">
        <f t="shared" si="151"/>
        <v>1.2332453360411668</v>
      </c>
      <c r="T907" s="21">
        <f>(M907-M906)/(H907-H906)</f>
        <v>4.684877450201741E-4</v>
      </c>
      <c r="W907">
        <v>792</v>
      </c>
      <c r="X907">
        <v>17.576405999999999</v>
      </c>
      <c r="Y907">
        <v>1</v>
      </c>
      <c r="Z907">
        <f t="shared" si="148"/>
        <v>1</v>
      </c>
      <c r="AA907" s="21">
        <f>IF(X907&gt;$B$8+$B$9,0,ABS(X907-O907)/X907)</f>
        <v>9.1853393106969446E-4</v>
      </c>
      <c r="AB907">
        <f>IF(OR(Z904&lt;&gt;Z910,X907&gt;$B$8+$B$9),0,((X910-X904)/(W910-W904)-(O910-O904)/(W910-W904))^2)</f>
        <v>1.0715456652977461E-7</v>
      </c>
    </row>
    <row r="908" spans="7:28" x14ac:dyDescent="0.2">
      <c r="G908" s="21"/>
      <c r="H908" s="21">
        <v>793</v>
      </c>
      <c r="I908">
        <f t="shared" si="154"/>
        <v>7.8997602591605477E-3</v>
      </c>
      <c r="J908">
        <f t="shared" si="155"/>
        <v>0.56462516127186591</v>
      </c>
      <c r="K908">
        <f t="shared" si="149"/>
        <v>24.272763897471869</v>
      </c>
      <c r="L908">
        <f>0.5*Z908*K908/J908/$B$7</f>
        <v>21.49458221344176</v>
      </c>
      <c r="M908">
        <f t="shared" si="152"/>
        <v>0.57159319938090369</v>
      </c>
      <c r="N908" s="21">
        <f t="shared" si="156"/>
        <v>5.934809037968395E-2</v>
      </c>
      <c r="O908" s="21">
        <f t="shared" si="157"/>
        <v>17.600450285556416</v>
      </c>
      <c r="P908">
        <f t="shared" si="153"/>
        <v>0.6453489771598816</v>
      </c>
      <c r="Q908">
        <f t="shared" si="150"/>
        <v>0.56462516127186591</v>
      </c>
      <c r="R908">
        <f t="shared" si="151"/>
        <v>1.2294536838659289</v>
      </c>
      <c r="T908" s="21">
        <f>(M908-M907)/(H908-H907)</f>
        <v>4.687563667851169E-4</v>
      </c>
      <c r="W908">
        <v>793</v>
      </c>
      <c r="X908">
        <v>17.584517999999999</v>
      </c>
      <c r="Y908">
        <v>1</v>
      </c>
      <c r="Z908">
        <f t="shared" si="148"/>
        <v>1</v>
      </c>
      <c r="AA908" s="21">
        <f>IF(X908&gt;$B$8+$B$9,0,ABS(X908-O908)/X908)</f>
        <v>9.0604050429002455E-4</v>
      </c>
      <c r="AB908">
        <f>IF(OR(Z905&lt;&gt;Z911,X908&gt;$B$8+$B$9),0,((X911-X905)/(W911-W905)-(O911-O905)/(W911-W905))^2)</f>
        <v>4.4294670016694751E-6</v>
      </c>
    </row>
    <row r="909" spans="7:28" x14ac:dyDescent="0.2">
      <c r="G909" s="21"/>
      <c r="H909" s="21">
        <v>794</v>
      </c>
      <c r="I909">
        <f t="shared" si="154"/>
        <v>7.9016233295232541E-3</v>
      </c>
      <c r="J909">
        <f t="shared" si="155"/>
        <v>0.56436039970670737</v>
      </c>
      <c r="K909">
        <f t="shared" si="149"/>
        <v>24.268425288074685</v>
      </c>
      <c r="L909">
        <f>0.5*Z909*K909/J909/$B$7</f>
        <v>21.500822258867515</v>
      </c>
      <c r="M909">
        <f t="shared" si="152"/>
        <v>0.57206222498966819</v>
      </c>
      <c r="N909" s="21">
        <f t="shared" si="156"/>
        <v>5.9368175482390803E-2</v>
      </c>
      <c r="O909" s="21">
        <f t="shared" si="157"/>
        <v>17.60835190888594</v>
      </c>
      <c r="P909">
        <f t="shared" si="153"/>
        <v>0.64574142888209285</v>
      </c>
      <c r="Q909">
        <f t="shared" si="150"/>
        <v>0.56436039970670737</v>
      </c>
      <c r="R909">
        <f t="shared" si="151"/>
        <v>1.2256848796487267</v>
      </c>
      <c r="T909" s="21">
        <f>(M909-M908)/(H909-H908)</f>
        <v>4.6902560876449506E-4</v>
      </c>
      <c r="W909">
        <v>794</v>
      </c>
      <c r="X909">
        <v>17.607233000000001</v>
      </c>
      <c r="Y909">
        <v>1</v>
      </c>
      <c r="Z909">
        <f t="shared" si="148"/>
        <v>1</v>
      </c>
      <c r="AA909" s="21">
        <f>IF(X909&gt;$B$8+$B$9,0,ABS(X909-O909)/X909)</f>
        <v>6.3548252353956317E-5</v>
      </c>
      <c r="AB909">
        <f>IF(OR(Z906&lt;&gt;Z912,X909&gt;$B$8+$B$9),0,((X912-X906)/(W912-W906)-(O912-O906)/(W912-W906))^2)</f>
        <v>1.042636597220405E-6</v>
      </c>
    </row>
    <row r="910" spans="7:28" x14ac:dyDescent="0.2">
      <c r="G910" s="21"/>
      <c r="H910" s="21">
        <v>795</v>
      </c>
      <c r="I910">
        <f t="shared" si="154"/>
        <v>7.903495135151848E-3</v>
      </c>
      <c r="J910">
        <f t="shared" si="155"/>
        <v>0.56409561006359632</v>
      </c>
      <c r="K910">
        <f t="shared" si="149"/>
        <v>24.264093089852668</v>
      </c>
      <c r="L910">
        <f>0.5*Z910*K910/J910/$B$7</f>
        <v>21.507074915116895</v>
      </c>
      <c r="M910">
        <f t="shared" si="152"/>
        <v>0.57253152046185007</v>
      </c>
      <c r="N910" s="21">
        <f t="shared" si="156"/>
        <v>5.9388264134397115E-2</v>
      </c>
      <c r="O910" s="21">
        <f t="shared" si="157"/>
        <v>17.616255404021093</v>
      </c>
      <c r="P910">
        <f t="shared" si="153"/>
        <v>0.64613392222379218</v>
      </c>
      <c r="Q910">
        <f t="shared" si="150"/>
        <v>0.56409561006359632</v>
      </c>
      <c r="R910">
        <f t="shared" si="151"/>
        <v>1.2219387148047096</v>
      </c>
      <c r="T910" s="21">
        <f>(M910-M909)/(H910-H909)</f>
        <v>4.6929547218188539E-4</v>
      </c>
      <c r="W910">
        <v>795</v>
      </c>
      <c r="X910">
        <v>17.608854999999998</v>
      </c>
      <c r="Y910">
        <v>1</v>
      </c>
      <c r="Z910">
        <f t="shared" si="148"/>
        <v>1</v>
      </c>
      <c r="AA910" s="21">
        <f>IF(X910&gt;$B$8+$B$9,0,ABS(X910-O910)/X910)</f>
        <v>4.2026605483970605E-4</v>
      </c>
      <c r="AB910">
        <f>IF(OR(Z907&lt;&gt;Z913,X910&gt;$B$8+$B$9),0,((X913-X907)/(W913-W907)-(O913-O907)/(W913-W907))^2)</f>
        <v>4.4130228225550623E-6</v>
      </c>
    </row>
    <row r="911" spans="7:28" x14ac:dyDescent="0.2">
      <c r="G911" s="21"/>
      <c r="H911" s="21">
        <v>796</v>
      </c>
      <c r="I911">
        <f t="shared" si="154"/>
        <v>7.9053756830923007E-3</v>
      </c>
      <c r="J911">
        <f t="shared" si="155"/>
        <v>0.56383079214750853</v>
      </c>
      <c r="K911">
        <f t="shared" si="149"/>
        <v>24.259767293299479</v>
      </c>
      <c r="L911">
        <f>0.5*Z911*K911/J911/$B$7</f>
        <v>21.513340199902274</v>
      </c>
      <c r="M911">
        <f t="shared" si="152"/>
        <v>0.5730010864201156</v>
      </c>
      <c r="N911" s="21">
        <f t="shared" si="156"/>
        <v>5.9408356369063178E-2</v>
      </c>
      <c r="O911" s="21">
        <f t="shared" si="157"/>
        <v>17.624160779704184</v>
      </c>
      <c r="P911">
        <f t="shared" si="153"/>
        <v>0.64652645747406101</v>
      </c>
      <c r="Q911">
        <f t="shared" si="150"/>
        <v>0.56383079214750853</v>
      </c>
      <c r="R911">
        <f t="shared" si="151"/>
        <v>1.2182149832798157</v>
      </c>
      <c r="T911" s="21">
        <f>(M911-M910)/(H911-H910)</f>
        <v>4.6956595826552761E-4</v>
      </c>
      <c r="W911">
        <v>796</v>
      </c>
      <c r="X911">
        <v>17.616968</v>
      </c>
      <c r="Y911">
        <v>1</v>
      </c>
      <c r="Z911">
        <f t="shared" si="148"/>
        <v>1</v>
      </c>
      <c r="AA911" s="21">
        <f>IF(X911&gt;$B$8+$B$9,0,ABS(X911-O911)/X911)</f>
        <v>4.0828703918765986E-4</v>
      </c>
      <c r="AB911">
        <f>IF(OR(Z908&lt;&gt;Z914,X911&gt;$B$8+$B$9),0,((X914-X908)/(W914-W908)-(O914-O908)/(W914-W908))^2)</f>
        <v>6.968727054239817E-6</v>
      </c>
    </row>
    <row r="912" spans="7:28" x14ac:dyDescent="0.2">
      <c r="G912" s="21"/>
      <c r="H912" s="21">
        <v>797</v>
      </c>
      <c r="I912">
        <f t="shared" si="154"/>
        <v>7.9072649804564753E-3</v>
      </c>
      <c r="J912">
        <f t="shared" si="155"/>
        <v>0.56356594576333363</v>
      </c>
      <c r="K912">
        <f t="shared" si="149"/>
        <v>24.255447888942737</v>
      </c>
      <c r="L912">
        <f>0.5*Z912*K912/J912/$B$7</f>
        <v>21.519618131015211</v>
      </c>
      <c r="M912">
        <f t="shared" si="152"/>
        <v>0.57347092348836481</v>
      </c>
      <c r="N912" s="21">
        <f t="shared" si="156"/>
        <v>5.9428452219788257E-2</v>
      </c>
      <c r="O912" s="21">
        <f t="shared" si="157"/>
        <v>17.63206804468464</v>
      </c>
      <c r="P912">
        <f t="shared" si="153"/>
        <v>0.646919034922108</v>
      </c>
      <c r="Q912">
        <f t="shared" si="150"/>
        <v>0.56356594576333363</v>
      </c>
      <c r="R912">
        <f t="shared" si="151"/>
        <v>1.2145134815125029</v>
      </c>
      <c r="T912" s="21">
        <f>(M912-M911)/(H912-H911)</f>
        <v>4.6983706824921256E-4</v>
      </c>
      <c r="W912">
        <v>797</v>
      </c>
      <c r="X912">
        <v>17.625080000000001</v>
      </c>
      <c r="Y912">
        <v>1</v>
      </c>
      <c r="Z912">
        <f t="shared" si="148"/>
        <v>1</v>
      </c>
      <c r="AA912" s="21">
        <f>IF(X912&gt;$B$8+$B$9,0,ABS(X912-O912)/X912)</f>
        <v>3.9648300516308355E-4</v>
      </c>
      <c r="AB912">
        <f>IF(OR(Z909&lt;&gt;Z915,X912&gt;$B$8+$B$9),0,((X915-X909)/(W915-W909)-(O915-O909)/(W915-W909))^2)</f>
        <v>2.4214710046114759E-6</v>
      </c>
    </row>
    <row r="913" spans="7:28" x14ac:dyDescent="0.2">
      <c r="G913" s="21"/>
      <c r="H913" s="21">
        <v>798</v>
      </c>
      <c r="I913">
        <f t="shared" si="154"/>
        <v>7.9091630344222501E-3</v>
      </c>
      <c r="J913">
        <f t="shared" si="155"/>
        <v>0.56330107071587365</v>
      </c>
      <c r="K913">
        <f t="shared" si="149"/>
        <v>24.251134867343865</v>
      </c>
      <c r="L913">
        <f>0.5*Z913*K913/J913/$B$7</f>
        <v>21.525908726326584</v>
      </c>
      <c r="M913">
        <f t="shared" si="152"/>
        <v>0.57394103229173676</v>
      </c>
      <c r="N913" s="21">
        <f t="shared" si="156"/>
        <v>5.9448551720011018E-2</v>
      </c>
      <c r="O913" s="21">
        <f t="shared" si="157"/>
        <v>17.639977207719063</v>
      </c>
      <c r="P913">
        <f t="shared" si="153"/>
        <v>0.64731165485727205</v>
      </c>
      <c r="Q913">
        <f t="shared" si="150"/>
        <v>0.56330107071587365</v>
      </c>
      <c r="R913">
        <f t="shared" si="151"/>
        <v>1.2108340083961542</v>
      </c>
      <c r="T913" s="21">
        <f>(M913-M912)/(H913-H912)</f>
        <v>4.7010880337194916E-4</v>
      </c>
      <c r="W913">
        <v>798</v>
      </c>
      <c r="X913">
        <v>17.636437000000001</v>
      </c>
      <c r="Y913">
        <v>1</v>
      </c>
      <c r="Z913">
        <f t="shared" si="148"/>
        <v>1</v>
      </c>
      <c r="AA913" s="21">
        <f>IF(X913&gt;$B$8+$B$9,0,ABS(X913-O913)/X913)</f>
        <v>2.0073259236332675E-4</v>
      </c>
      <c r="AB913">
        <f>IF(OR(Z910&lt;&gt;Z916,X913&gt;$B$8+$B$9),0,((X916-X910)/(W916-W910)-(O916-O910)/(W916-W910))^2)</f>
        <v>2.2345020609022604E-7</v>
      </c>
    </row>
    <row r="914" spans="7:28" x14ac:dyDescent="0.2">
      <c r="G914" s="21"/>
      <c r="H914" s="21">
        <v>799</v>
      </c>
      <c r="I914">
        <f t="shared" si="154"/>
        <v>7.911069852233556E-3</v>
      </c>
      <c r="J914">
        <f t="shared" si="155"/>
        <v>0.56303616680984203</v>
      </c>
      <c r="K914">
        <f t="shared" si="149"/>
        <v>24.246828219098045</v>
      </c>
      <c r="L914">
        <f>0.5*Z914*K914/J914/$B$7</f>
        <v>21.532212003786864</v>
      </c>
      <c r="M914">
        <f t="shared" si="152"/>
        <v>0.57441141345661395</v>
      </c>
      <c r="N914" s="21">
        <f t="shared" si="156"/>
        <v>5.9468654903209781E-2</v>
      </c>
      <c r="O914" s="21">
        <f t="shared" si="157"/>
        <v>17.647888277571298</v>
      </c>
      <c r="P914">
        <f t="shared" si="153"/>
        <v>0.64770431756902302</v>
      </c>
      <c r="Q914">
        <f t="shared" si="150"/>
        <v>0.56303616680984203</v>
      </c>
      <c r="R914">
        <f t="shared" si="151"/>
        <v>1.2071763652421796</v>
      </c>
      <c r="T914" s="21">
        <f>(M914-M913)/(H914-H913)</f>
        <v>4.7038116487718717E-4</v>
      </c>
      <c r="W914">
        <v>799</v>
      </c>
      <c r="X914">
        <v>17.647794999999999</v>
      </c>
      <c r="Y914">
        <v>1</v>
      </c>
      <c r="Z914">
        <f t="shared" si="148"/>
        <v>1</v>
      </c>
      <c r="AA914" s="21">
        <f>IF(X914&gt;$B$8+$B$9,0,ABS(X914-O914)/X914)</f>
        <v>5.2855085464759376E-6</v>
      </c>
      <c r="AB914">
        <f>IF(OR(Z911&lt;&gt;Z917,X914&gt;$B$8+$B$9),0,((X917-X911)/(W917-W911)-(O917-O911)/(W917-W911))^2)</f>
        <v>6.9377487240171421E-6</v>
      </c>
    </row>
    <row r="915" spans="7:28" x14ac:dyDescent="0.2">
      <c r="G915" s="21"/>
      <c r="H915" s="21">
        <v>800</v>
      </c>
      <c r="I915">
        <f t="shared" si="154"/>
        <v>7.9129854412005457E-3</v>
      </c>
      <c r="J915">
        <f t="shared" si="155"/>
        <v>0.56277123384986227</v>
      </c>
      <c r="K915">
        <f t="shared" si="149"/>
        <v>24.242527934834083</v>
      </c>
      <c r="L915">
        <f>0.5*Z915*K915/J915/$B$7</f>
        <v>21.538527981426263</v>
      </c>
      <c r="M915">
        <f t="shared" si="152"/>
        <v>0.57488206761062832</v>
      </c>
      <c r="N915" s="21">
        <f t="shared" si="156"/>
        <v>5.9488761802902856E-2</v>
      </c>
      <c r="O915" s="21">
        <f t="shared" si="157"/>
        <v>17.655801263012499</v>
      </c>
      <c r="P915">
        <f t="shared" si="153"/>
        <v>0.64809702334696462</v>
      </c>
      <c r="Q915">
        <f t="shared" si="150"/>
        <v>0.56277123384986227</v>
      </c>
      <c r="R915">
        <f t="shared" si="151"/>
        <v>1.2035403557437663</v>
      </c>
      <c r="T915" s="21">
        <f>(M915-M914)/(H915-H914)</f>
        <v>4.7065415401437161E-4</v>
      </c>
      <c r="W915">
        <v>800</v>
      </c>
      <c r="X915">
        <v>17.664019</v>
      </c>
      <c r="Y915">
        <v>1</v>
      </c>
      <c r="Z915">
        <f t="shared" si="148"/>
        <v>1</v>
      </c>
      <c r="AA915" s="21">
        <f>IF(X915&gt;$B$8+$B$9,0,ABS(X915-O915)/X915)</f>
        <v>4.6522464607292945E-4</v>
      </c>
      <c r="AB915">
        <f>IF(OR(Z912&lt;&gt;Z918,X915&gt;$B$8+$B$9),0,((X918-X912)/(W918-W912)-(O918-O912)/(W918-W912))^2)</f>
        <v>5.4642747971558171E-7</v>
      </c>
    </row>
    <row r="916" spans="7:28" x14ac:dyDescent="0.2">
      <c r="G916" s="21"/>
      <c r="H916" s="21">
        <v>801</v>
      </c>
      <c r="I916">
        <f t="shared" si="154"/>
        <v>7.9149098086995929E-3</v>
      </c>
      <c r="J916">
        <f t="shared" si="155"/>
        <v>0.56250627164046607</v>
      </c>
      <c r="K916">
        <f t="shared" si="149"/>
        <v>24.23823400521432</v>
      </c>
      <c r="L916">
        <f>0.5*Z916*K916/J916/$B$7</f>
        <v>21.544856677355</v>
      </c>
      <c r="M916">
        <f t="shared" si="152"/>
        <v>0.57535299538266715</v>
      </c>
      <c r="N916" s="21">
        <f t="shared" si="156"/>
        <v>5.9508872452648902E-2</v>
      </c>
      <c r="O916" s="21">
        <f t="shared" si="157"/>
        <v>17.6637161728212</v>
      </c>
      <c r="P916">
        <f t="shared" si="153"/>
        <v>0.64848977248083584</v>
      </c>
      <c r="Q916">
        <f t="shared" si="150"/>
        <v>0.56250627164046607</v>
      </c>
      <c r="R916">
        <f t="shared" si="151"/>
        <v>1.1999257859402852</v>
      </c>
      <c r="T916" s="21">
        <f>(M916-M915)/(H916-H915)</f>
        <v>4.7092777203883163E-4</v>
      </c>
      <c r="W916">
        <v>801</v>
      </c>
      <c r="X916">
        <v>17.659151999999999</v>
      </c>
      <c r="Y916">
        <v>1</v>
      </c>
      <c r="Z916">
        <f t="shared" si="148"/>
        <v>1</v>
      </c>
      <c r="AA916" s="21">
        <f>IF(X916&gt;$B$8+$B$9,0,ABS(X916-O916)/X916)</f>
        <v>2.5845934284959664E-4</v>
      </c>
      <c r="AB916">
        <f>IF(OR(Z913&lt;&gt;Z919,X916&gt;$B$8+$B$9),0,((X919-X913)/(W919-W913)-(O919-O913)/(W919-W913))^2)</f>
        <v>1.0156176291571326E-6</v>
      </c>
    </row>
    <row r="917" spans="7:28" x14ac:dyDescent="0.2">
      <c r="G917" s="21"/>
      <c r="H917" s="21">
        <v>802</v>
      </c>
      <c r="I917">
        <f t="shared" si="154"/>
        <v>7.9168429621734801E-3</v>
      </c>
      <c r="J917">
        <f t="shared" si="155"/>
        <v>0.56224127998609319</v>
      </c>
      <c r="K917">
        <f t="shared" si="149"/>
        <v>24.233946420934554</v>
      </c>
      <c r="L917">
        <f>0.5*Z917*K917/J917/$B$7</f>
        <v>21.551198109763455</v>
      </c>
      <c r="M917">
        <f t="shared" si="152"/>
        <v>0.57582419740287649</v>
      </c>
      <c r="N917" s="21">
        <f t="shared" si="156"/>
        <v>5.9528986886047214E-2</v>
      </c>
      <c r="O917" s="21">
        <f t="shared" si="157"/>
        <v>17.671633015783375</v>
      </c>
      <c r="P917">
        <f t="shared" si="153"/>
        <v>0.6488825652605128</v>
      </c>
      <c r="Q917">
        <f t="shared" si="150"/>
        <v>0.56224127998609319</v>
      </c>
      <c r="R917">
        <f t="shared" si="151"/>
        <v>1.1963324641823381</v>
      </c>
      <c r="T917" s="21">
        <f>(M917-M916)/(H917-H916)</f>
        <v>4.712020202093381E-4</v>
      </c>
      <c r="W917">
        <v>802</v>
      </c>
      <c r="X917">
        <v>17.680243999999998</v>
      </c>
      <c r="Y917">
        <v>1</v>
      </c>
      <c r="Z917">
        <f t="shared" si="148"/>
        <v>1</v>
      </c>
      <c r="AA917" s="21">
        <f>IF(X917&gt;$B$8+$B$9,0,ABS(X917-O917)/X917)</f>
        <v>4.8703989699597829E-4</v>
      </c>
      <c r="AB917">
        <f>IF(OR(Z914&lt;&gt;Z920,X917&gt;$B$8+$B$9),0,((X920-X914)/(W920-W914)-(O920-O914)/(W920-W914))^2)</f>
        <v>1.0113808673324197E-6</v>
      </c>
    </row>
    <row r="918" spans="7:28" x14ac:dyDescent="0.2">
      <c r="G918" s="21"/>
      <c r="H918" s="21">
        <v>803</v>
      </c>
      <c r="I918">
        <f t="shared" si="154"/>
        <v>7.9187849091314228E-3</v>
      </c>
      <c r="J918">
        <f t="shared" si="155"/>
        <v>0.56197625869108891</v>
      </c>
      <c r="K918">
        <f t="shared" si="149"/>
        <v>24.229665172723898</v>
      </c>
      <c r="L918">
        <f>0.5*Z918*K918/J918/$B$7</f>
        <v>21.557552296922413</v>
      </c>
      <c r="M918">
        <f t="shared" si="152"/>
        <v>0.57629567430266837</v>
      </c>
      <c r="N918" s="21">
        <f t="shared" si="156"/>
        <v>5.9549105136738154E-2</v>
      </c>
      <c r="O918" s="21">
        <f t="shared" si="157"/>
        <v>17.679551800692504</v>
      </c>
      <c r="P918">
        <f t="shared" si="153"/>
        <v>0.6492754019760113</v>
      </c>
      <c r="Q918">
        <f t="shared" si="150"/>
        <v>0.56197625869108891</v>
      </c>
      <c r="R918">
        <f t="shared" si="151"/>
        <v>1.1927602010974152</v>
      </c>
      <c r="T918" s="21">
        <f>(M918-M917)/(H918-H917)</f>
        <v>4.7147689979187835E-4</v>
      </c>
      <c r="W918">
        <v>803</v>
      </c>
      <c r="X918">
        <v>17.676998999999999</v>
      </c>
      <c r="Y918">
        <v>1</v>
      </c>
      <c r="Z918">
        <f t="shared" si="148"/>
        <v>1</v>
      </c>
      <c r="AA918" s="21">
        <f>IF(X918&gt;$B$8+$B$9,0,ABS(X918-O918)/X918)</f>
        <v>1.4441369219434484E-4</v>
      </c>
      <c r="AB918">
        <f>IF(OR(Z915&lt;&gt;Z921,X918&gt;$B$8+$B$9),0,((X921-X915)/(W921-W915)-(O921-O915)/(W921-W915))^2)</f>
        <v>6.0484875620656308E-9</v>
      </c>
    </row>
    <row r="919" spans="7:28" x14ac:dyDescent="0.2">
      <c r="G919" s="21"/>
      <c r="H919" s="21">
        <v>804</v>
      </c>
      <c r="I919">
        <f t="shared" si="154"/>
        <v>7.9207356571491892E-3</v>
      </c>
      <c r="J919">
        <f t="shared" si="155"/>
        <v>0.56171120755970327</v>
      </c>
      <c r="K919">
        <f t="shared" si="149"/>
        <v>24.225390251344738</v>
      </c>
      <c r="L919">
        <f>0.5*Z919*K919/J919/$B$7</f>
        <v>21.563919257183297</v>
      </c>
      <c r="M919">
        <f t="shared" si="152"/>
        <v>0.5767674267147257</v>
      </c>
      <c r="N919" s="21">
        <f t="shared" si="156"/>
        <v>5.9569227238403438E-2</v>
      </c>
      <c r="O919" s="21">
        <f t="shared" si="157"/>
        <v>17.687472536349652</v>
      </c>
      <c r="P919">
        <f t="shared" si="153"/>
        <v>0.64966828291748802</v>
      </c>
      <c r="Q919">
        <f t="shared" si="150"/>
        <v>0.56171120755970327</v>
      </c>
      <c r="R919">
        <f t="shared" si="151"/>
        <v>1.189208809556179</v>
      </c>
      <c r="T919" s="21">
        <f>(M919-M918)/(H919-H918)</f>
        <v>4.7175241205732465E-4</v>
      </c>
      <c r="W919">
        <v>804</v>
      </c>
      <c r="X919">
        <v>17.689979000000001</v>
      </c>
      <c r="Y919">
        <v>1</v>
      </c>
      <c r="Z919">
        <f t="shared" si="148"/>
        <v>1</v>
      </c>
      <c r="AA919" s="21">
        <f>IF(X919&gt;$B$8+$B$9,0,ABS(X919-O919)/X919)</f>
        <v>1.4168833384984109E-4</v>
      </c>
      <c r="AB919">
        <f>IF(OR(Z916&lt;&gt;Z922,X919&gt;$B$8+$B$9),0,((X922-X916)/(W922-W916)-(O922-O916)/(W922-W916))^2)</f>
        <v>3.2873539029245203E-6</v>
      </c>
    </row>
    <row r="920" spans="7:28" x14ac:dyDescent="0.2">
      <c r="G920" s="21"/>
      <c r="H920" s="21">
        <v>805</v>
      </c>
      <c r="I920">
        <f t="shared" si="154"/>
        <v>7.9226952138692179E-3</v>
      </c>
      <c r="J920">
        <f t="shared" si="155"/>
        <v>0.56144612639609015</v>
      </c>
      <c r="K920">
        <f t="shared" si="149"/>
        <v>24.221121647592597</v>
      </c>
      <c r="L920">
        <f>0.5*Z920*K920/J920/$B$7</f>
        <v>21.570299008978317</v>
      </c>
      <c r="M920">
        <f t="shared" si="152"/>
        <v>0.57723945527300691</v>
      </c>
      <c r="N920" s="21">
        <f t="shared" si="156"/>
        <v>5.9589353224766342E-2</v>
      </c>
      <c r="O920" s="21">
        <f t="shared" si="157"/>
        <v>17.69539523156352</v>
      </c>
      <c r="P920">
        <f t="shared" si="153"/>
        <v>0.65006120837524262</v>
      </c>
      <c r="Q920">
        <f t="shared" si="150"/>
        <v>0.56144612639609015</v>
      </c>
      <c r="R920">
        <f t="shared" si="151"/>
        <v>1.1856781046393352</v>
      </c>
      <c r="T920" s="21">
        <f>(M920-M919)/(H920-H919)</f>
        <v>4.7202855828121226E-4</v>
      </c>
      <c r="W920">
        <v>805</v>
      </c>
      <c r="X920">
        <v>17.701335999999998</v>
      </c>
      <c r="Y920">
        <v>1</v>
      </c>
      <c r="Z920">
        <f t="shared" si="148"/>
        <v>1</v>
      </c>
      <c r="AA920" s="21">
        <f>IF(X920&gt;$B$8+$B$9,0,ABS(X920-O920)/X920)</f>
        <v>3.3561130281227583E-4</v>
      </c>
      <c r="AB920">
        <f>IF(OR(Z917&lt;&gt;Z923,X920&gt;$B$8+$B$9),0,((X923-X917)/(W923-W917)-(O923-O917)/(W923-W917))^2)</f>
        <v>3.5585869237139619E-8</v>
      </c>
    </row>
    <row r="921" spans="7:28" x14ac:dyDescent="0.2">
      <c r="G921" s="21"/>
      <c r="H921" s="21">
        <v>806</v>
      </c>
      <c r="I921">
        <f t="shared" si="154"/>
        <v>7.9246635870006861E-3</v>
      </c>
      <c r="J921">
        <f t="shared" si="155"/>
        <v>0.56118101500430484</v>
      </c>
      <c r="K921">
        <f t="shared" si="149"/>
        <v>24.216859352296044</v>
      </c>
      <c r="L921">
        <f>0.5*Z921*K921/J921/$B$7</f>
        <v>21.57669157082076</v>
      </c>
      <c r="M921">
        <f t="shared" si="152"/>
        <v>0.57771176061275287</v>
      </c>
      <c r="N921" s="21">
        <f t="shared" si="156"/>
        <v>5.9609483129592362E-2</v>
      </c>
      <c r="O921" s="21">
        <f t="shared" si="157"/>
        <v>17.703319895150521</v>
      </c>
      <c r="P921">
        <f t="shared" si="153"/>
        <v>0.65045417863972055</v>
      </c>
      <c r="Q921">
        <f t="shared" si="150"/>
        <v>0.56118101500430484</v>
      </c>
      <c r="R921">
        <f t="shared" si="151"/>
        <v>1.1821679036050849</v>
      </c>
      <c r="T921" s="21">
        <f>(M921-M920)/(H921-H920)</f>
        <v>4.7230533974595978E-4</v>
      </c>
      <c r="W921">
        <v>806</v>
      </c>
      <c r="X921">
        <v>17.711071</v>
      </c>
      <c r="Y921">
        <v>1</v>
      </c>
      <c r="Z921">
        <f t="shared" si="148"/>
        <v>1</v>
      </c>
      <c r="AA921" s="21">
        <f>IF(X921&gt;$B$8+$B$9,0,ABS(X921-O921)/X921)</f>
        <v>4.3764179193224185E-4</v>
      </c>
      <c r="AB921">
        <f>IF(OR(Z918&lt;&gt;Z924,X921&gt;$B$8+$B$9),0,((X924-X918)/(W924-W918)-(O924-O918)/(W924-W918))^2)</f>
        <v>3.2730938340934353E-6</v>
      </c>
    </row>
    <row r="922" spans="7:28" x14ac:dyDescent="0.2">
      <c r="G922" s="21"/>
      <c r="H922" s="21">
        <v>807</v>
      </c>
      <c r="I922">
        <f t="shared" si="154"/>
        <v>7.9266407843196426E-3</v>
      </c>
      <c r="J922">
        <f t="shared" si="155"/>
        <v>0.5609158731883046</v>
      </c>
      <c r="K922">
        <f t="shared" si="149"/>
        <v>24.212603356316642</v>
      </c>
      <c r="L922">
        <f>0.5*Z922*K922/J922/$B$7</f>
        <v>21.583096961305149</v>
      </c>
      <c r="M922">
        <f t="shared" si="152"/>
        <v>0.57818434337048941</v>
      </c>
      <c r="N922" s="21">
        <f t="shared" si="156"/>
        <v>5.962961698668913E-2</v>
      </c>
      <c r="O922" s="21">
        <f t="shared" si="157"/>
        <v>17.711246535934841</v>
      </c>
      <c r="P922">
        <f t="shared" si="153"/>
        <v>0.65084719400151303</v>
      </c>
      <c r="Q922">
        <f t="shared" si="150"/>
        <v>0.5609158731883046</v>
      </c>
      <c r="R922">
        <f t="shared" si="151"/>
        <v>1.1786780258571738</v>
      </c>
      <c r="T922" s="21">
        <f>(M922-M921)/(H922-H921)</f>
        <v>4.7258275773653935E-4</v>
      </c>
      <c r="W922">
        <v>807</v>
      </c>
      <c r="X922">
        <v>17.717561</v>
      </c>
      <c r="Y922">
        <v>1</v>
      </c>
      <c r="Z922">
        <f t="shared" si="148"/>
        <v>1</v>
      </c>
      <c r="AA922" s="21">
        <f>IF(X922&gt;$B$8+$B$9,0,ABS(X922-O922)/X922)</f>
        <v>3.5639578524150937E-4</v>
      </c>
      <c r="AB922">
        <f>IF(OR(Z919&lt;&gt;Z925,X922&gt;$B$8+$B$9),0,((X925-X919)/(W925-W919)-(O925-O919)/(W925-W919))^2)</f>
        <v>5.5132030218775751E-6</v>
      </c>
    </row>
    <row r="923" spans="7:28" x14ac:dyDescent="0.2">
      <c r="G923" s="21"/>
      <c r="H923" s="21">
        <v>808</v>
      </c>
      <c r="I923">
        <f t="shared" si="154"/>
        <v>7.9286268136690742E-3</v>
      </c>
      <c r="J923">
        <f t="shared" si="155"/>
        <v>0.56065070075194556</v>
      </c>
      <c r="K923">
        <f t="shared" si="149"/>
        <v>24.208353650548787</v>
      </c>
      <c r="L923">
        <f>0.5*Z923*K923/J923/$B$7</f>
        <v>21.589515199107488</v>
      </c>
      <c r="M923">
        <f t="shared" si="152"/>
        <v>0.57865720418403599</v>
      </c>
      <c r="N923" s="21">
        <f t="shared" si="156"/>
        <v>5.9649754829907073E-2</v>
      </c>
      <c r="O923" s="21">
        <f t="shared" si="157"/>
        <v>17.71917516274851</v>
      </c>
      <c r="P923">
        <f t="shared" si="153"/>
        <v>0.65124025475136083</v>
      </c>
      <c r="Q923">
        <f t="shared" si="150"/>
        <v>0.56065070075194556</v>
      </c>
      <c r="R923">
        <f t="shared" si="151"/>
        <v>1.1752082929134688</v>
      </c>
      <c r="T923" s="21">
        <f>(M923-M922)/(H923-H922)</f>
        <v>4.7286081354658283E-4</v>
      </c>
      <c r="W923">
        <v>808</v>
      </c>
      <c r="X923">
        <v>17.728918</v>
      </c>
      <c r="Y923">
        <v>1</v>
      </c>
      <c r="Z923">
        <f t="shared" si="148"/>
        <v>1</v>
      </c>
      <c r="AA923" s="21">
        <f>IF(X923&gt;$B$8+$B$9,0,ABS(X923-O923)/X923)</f>
        <v>5.4954494411280476E-4</v>
      </c>
      <c r="AB923">
        <f>IF(OR(Z920&lt;&gt;Z926,X923&gt;$B$8+$B$9),0,((X926-X920)/(W926-W920)-(O926-O920)/(W926-W920))^2)</f>
        <v>4.3085192525503057E-6</v>
      </c>
    </row>
    <row r="924" spans="7:28" x14ac:dyDescent="0.2">
      <c r="G924" s="21"/>
      <c r="H924" s="21">
        <v>809</v>
      </c>
      <c r="I924">
        <f t="shared" si="154"/>
        <v>7.9306216829590319E-3</v>
      </c>
      <c r="J924">
        <f t="shared" si="155"/>
        <v>0.56038549749898214</v>
      </c>
      <c r="K924">
        <f t="shared" si="149"/>
        <v>24.204110225919671</v>
      </c>
      <c r="L924">
        <f>0.5*Z924*K924/J924/$B$7</f>
        <v>21.595946302985503</v>
      </c>
      <c r="M924">
        <f t="shared" si="152"/>
        <v>0.57913034369250971</v>
      </c>
      <c r="N924" s="21">
        <f t="shared" si="156"/>
        <v>5.9669896693139685E-2</v>
      </c>
      <c r="O924" s="21">
        <f t="shared" si="157"/>
        <v>17.727105784431469</v>
      </c>
      <c r="P924">
        <f t="shared" si="153"/>
        <v>0.65163336118015536</v>
      </c>
      <c r="Q924">
        <f t="shared" si="150"/>
        <v>0.56038549749898214</v>
      </c>
      <c r="R924">
        <f t="shared" si="151"/>
        <v>1.17175852837511</v>
      </c>
      <c r="T924" s="21">
        <f>(M924-M923)/(H924-H923)</f>
        <v>4.7313950847371888E-4</v>
      </c>
      <c r="W924">
        <v>809</v>
      </c>
      <c r="X924">
        <v>17.735408</v>
      </c>
      <c r="Y924">
        <v>1</v>
      </c>
      <c r="Z924">
        <f t="shared" si="148"/>
        <v>1</v>
      </c>
      <c r="AA924" s="21">
        <f>IF(X924&gt;$B$8+$B$9,0,ABS(X924-O924)/X924)</f>
        <v>4.6811528488832133E-4</v>
      </c>
      <c r="AB924">
        <f>IF(OR(Z921&lt;&gt;Z927,X924&gt;$B$8+$B$9),0,((X927-X921)/(W927-W921)-(O927-O921)/(W927-W921))^2)</f>
        <v>1.2969746612188994E-7</v>
      </c>
    </row>
    <row r="925" spans="7:28" x14ac:dyDescent="0.2">
      <c r="G925" s="21"/>
      <c r="H925" s="21">
        <v>810</v>
      </c>
      <c r="I925">
        <f t="shared" si="154"/>
        <v>7.9326254001667335E-3</v>
      </c>
      <c r="J925">
        <f t="shared" si="155"/>
        <v>0.56012026323306574</v>
      </c>
      <c r="K925">
        <f t="shared" si="149"/>
        <v>24.199873073389142</v>
      </c>
      <c r="L925">
        <f>0.5*Z925*K925/J925/$B$7</f>
        <v>21.602390291778811</v>
      </c>
      <c r="M925">
        <f t="shared" si="152"/>
        <v>0.57960376253633061</v>
      </c>
      <c r="N925" s="21">
        <f t="shared" si="156"/>
        <v>5.9690042610323832E-2</v>
      </c>
      <c r="O925" s="21">
        <f t="shared" si="157"/>
        <v>17.735038409831635</v>
      </c>
      <c r="P925">
        <f t="shared" si="153"/>
        <v>0.65202651357894092</v>
      </c>
      <c r="Q925">
        <f t="shared" si="150"/>
        <v>0.56012026323306574</v>
      </c>
      <c r="R925">
        <f t="shared" si="151"/>
        <v>1.1683285578961899</v>
      </c>
      <c r="T925" s="21">
        <f>(M925-M924)/(H925-H924)</f>
        <v>4.7341884382090527E-4</v>
      </c>
      <c r="W925">
        <v>810</v>
      </c>
      <c r="X925">
        <v>17.751632999999998</v>
      </c>
      <c r="Y925">
        <v>1</v>
      </c>
      <c r="Z925">
        <f t="shared" si="148"/>
        <v>1</v>
      </c>
      <c r="AA925" s="21">
        <f>IF(X925&gt;$B$8+$B$9,0,ABS(X925-O925)/X925)</f>
        <v>9.3482048487389933E-4</v>
      </c>
      <c r="AB925">
        <f>IF(OR(Z922&lt;&gt;Z928,X925&gt;$B$8+$B$9),0,((X928-X922)/(W928-W922)-(O928-O922)/(W928-W922))^2)</f>
        <v>4.2918987649915187E-6</v>
      </c>
    </row>
    <row r="926" spans="7:28" x14ac:dyDescent="0.2">
      <c r="G926" s="21"/>
      <c r="H926" s="21">
        <v>811</v>
      </c>
      <c r="I926">
        <f t="shared" si="154"/>
        <v>7.9346379733366557E-3</v>
      </c>
      <c r="J926">
        <f t="shared" si="155"/>
        <v>0.55985499775774383</v>
      </c>
      <c r="K926">
        <f t="shared" si="149"/>
        <v>24.195642183949666</v>
      </c>
      <c r="L926">
        <f>0.5*Z926*K926/J926/$B$7</f>
        <v>21.608847184409186</v>
      </c>
      <c r="M926">
        <f t="shared" si="152"/>
        <v>0.58007746135722682</v>
      </c>
      <c r="N926" s="21">
        <f t="shared" si="156"/>
        <v>5.9710192615439972E-2</v>
      </c>
      <c r="O926" s="21">
        <f t="shared" si="157"/>
        <v>17.74297304780497</v>
      </c>
      <c r="P926">
        <f t="shared" si="153"/>
        <v>0.65241971223891615</v>
      </c>
      <c r="Q926">
        <f t="shared" si="150"/>
        <v>0.55985499775774383</v>
      </c>
      <c r="R926">
        <f t="shared" si="151"/>
        <v>1.1649182091539696</v>
      </c>
      <c r="T926" s="21">
        <f>(M926-M925)/(H926-H925)</f>
        <v>4.7369882089620674E-4</v>
      </c>
      <c r="W926">
        <v>811</v>
      </c>
      <c r="X926">
        <v>17.761368000000001</v>
      </c>
      <c r="Y926">
        <v>1</v>
      </c>
      <c r="Z926">
        <f t="shared" si="148"/>
        <v>1</v>
      </c>
      <c r="AA926" s="21">
        <f>IF(X926&gt;$B$8+$B$9,0,ABS(X926-O926)/X926)</f>
        <v>1.0356720380452151E-3</v>
      </c>
      <c r="AB926">
        <f>IF(OR(Z923&lt;&gt;Z929,X926&gt;$B$8+$B$9),0,((X929-X923)/(W929-W923)-(O929-O923)/(W929-W923))^2)</f>
        <v>1.9996352838377677E-7</v>
      </c>
    </row>
    <row r="927" spans="7:28" x14ac:dyDescent="0.2">
      <c r="G927" s="21"/>
      <c r="H927" s="21">
        <v>812</v>
      </c>
      <c r="I927">
        <f t="shared" si="154"/>
        <v>7.9366594105806723E-3</v>
      </c>
      <c r="J927">
        <f t="shared" si="155"/>
        <v>0.55958970087645765</v>
      </c>
      <c r="K927">
        <f t="shared" si="149"/>
        <v>24.191417548626173</v>
      </c>
      <c r="L927">
        <f>0.5*Z927*K927/J927/$B$7</f>
        <v>21.615316999880765</v>
      </c>
      <c r="M927">
        <f t="shared" si="152"/>
        <v>0.58055144079824184</v>
      </c>
      <c r="N927" s="21">
        <f t="shared" si="156"/>
        <v>5.9730346742512763E-2</v>
      </c>
      <c r="O927" s="21">
        <f t="shared" si="157"/>
        <v>17.750909707215552</v>
      </c>
      <c r="P927">
        <f t="shared" si="153"/>
        <v>0.65281295745143686</v>
      </c>
      <c r="Q927">
        <f t="shared" si="150"/>
        <v>0.55958970087645765</v>
      </c>
      <c r="R927">
        <f t="shared" si="151"/>
        <v>1.1615273118195968</v>
      </c>
      <c r="T927" s="21">
        <f>(M927-M926)/(H927-H926)</f>
        <v>4.7397944101501555E-4</v>
      </c>
      <c r="W927">
        <v>812</v>
      </c>
      <c r="X927">
        <v>17.756499999999999</v>
      </c>
      <c r="Y927">
        <v>1</v>
      </c>
      <c r="Z927">
        <f t="shared" si="148"/>
        <v>1</v>
      </c>
      <c r="AA927" s="21">
        <f>IF(X927&gt;$B$8+$B$9,0,ABS(X927-O927)/X927)</f>
        <v>3.1483078221761695E-4</v>
      </c>
      <c r="AB927">
        <f>IF(OR(Z924&lt;&gt;Z930,X927&gt;$B$8+$B$9),0,((X930-X924)/(W930-W924)-(O930-O924)/(W930-W924))^2)</f>
        <v>4.0515737158514026E-7</v>
      </c>
    </row>
    <row r="928" spans="7:28" x14ac:dyDescent="0.2">
      <c r="G928" s="21"/>
      <c r="H928" s="21">
        <v>813</v>
      </c>
      <c r="I928">
        <f t="shared" si="154"/>
        <v>7.9386897200781105E-3</v>
      </c>
      <c r="J928">
        <f t="shared" si="155"/>
        <v>0.55932437239254162</v>
      </c>
      <c r="K928">
        <f t="shared" si="149"/>
        <v>24.18719915847602</v>
      </c>
      <c r="L928">
        <f>0.5*Z928*K928/J928/$B$7</f>
        <v>21.621799757280296</v>
      </c>
      <c r="M928">
        <f t="shared" si="152"/>
        <v>0.58102570150373822</v>
      </c>
      <c r="N928" s="21">
        <f t="shared" si="156"/>
        <v>5.9750505025611245E-2</v>
      </c>
      <c r="O928" s="21">
        <f t="shared" si="157"/>
        <v>17.75884839693563</v>
      </c>
      <c r="P928">
        <f t="shared" si="153"/>
        <v>0.65320624950801676</v>
      </c>
      <c r="Q928">
        <f t="shared" si="150"/>
        <v>0.55932437239254162</v>
      </c>
      <c r="R928">
        <f t="shared" si="151"/>
        <v>1.1581556975293519</v>
      </c>
      <c r="T928" s="21">
        <f>(M928-M927)/(H928-H927)</f>
        <v>4.7426070549638766E-4</v>
      </c>
      <c r="W928">
        <v>813</v>
      </c>
      <c r="X928">
        <v>17.777593</v>
      </c>
      <c r="Y928">
        <v>1</v>
      </c>
      <c r="Z928">
        <f t="shared" si="148"/>
        <v>1</v>
      </c>
      <c r="AA928" s="21">
        <f>IF(X928&gt;$B$8+$B$9,0,ABS(X928-O928)/X928)</f>
        <v>1.0543948814876046E-3</v>
      </c>
      <c r="AB928">
        <f>IF(OR(Z925&lt;&gt;Z931,X928&gt;$B$8+$B$9),0,((X931-X925)/(W931-W925)-(O931-O925)/(W931-W925))^2)</f>
        <v>9.5494253676333904E-9</v>
      </c>
    </row>
    <row r="929" spans="7:28" x14ac:dyDescent="0.2">
      <c r="G929" s="21"/>
      <c r="H929" s="21">
        <v>814</v>
      </c>
      <c r="I929">
        <f t="shared" si="154"/>
        <v>7.9407289100759445E-3</v>
      </c>
      <c r="J929">
        <f t="shared" si="155"/>
        <v>0.55905901210922249</v>
      </c>
      <c r="K929">
        <f t="shared" si="149"/>
        <v>24.182987004588867</v>
      </c>
      <c r="L929">
        <f>0.5*Z929*K929/J929/$B$7</f>
        <v>21.628295475777318</v>
      </c>
      <c r="M929">
        <f t="shared" si="152"/>
        <v>0.58150024411940326</v>
      </c>
      <c r="N929" s="21">
        <f t="shared" si="156"/>
        <v>5.97706674988491E-2</v>
      </c>
      <c r="O929" s="21">
        <f t="shared" si="157"/>
        <v>17.766789125845705</v>
      </c>
      <c r="P929">
        <f t="shared" si="153"/>
        <v>0.65359958870033019</v>
      </c>
      <c r="Q929">
        <f t="shared" si="150"/>
        <v>0.55905901210922249</v>
      </c>
      <c r="R929">
        <f t="shared" si="151"/>
        <v>1.1548031998563719</v>
      </c>
      <c r="T929" s="21">
        <f>(M929-M928)/(H929-H928)</f>
        <v>4.7454261566504119E-4</v>
      </c>
      <c r="W929">
        <v>814</v>
      </c>
      <c r="X929">
        <v>17.779215000000001</v>
      </c>
      <c r="Y929">
        <v>1</v>
      </c>
      <c r="Z929">
        <f t="shared" si="148"/>
        <v>1</v>
      </c>
      <c r="AA929" s="21">
        <f>IF(X929&gt;$B$8+$B$9,0,ABS(X929-O929)/X929)</f>
        <v>6.9889891956961922E-4</v>
      </c>
      <c r="AB929">
        <f>IF(OR(Z926&lt;&gt;Z932,X929&gt;$B$8+$B$9),0,((X932-X926)/(W932-W926)-(O932-O926)/(W932-W926))^2)</f>
        <v>1.3709602718935384E-7</v>
      </c>
    </row>
    <row r="930" spans="7:28" x14ac:dyDescent="0.2">
      <c r="G930" s="21"/>
      <c r="H930" s="21">
        <v>815</v>
      </c>
      <c r="I930">
        <f t="shared" si="154"/>
        <v>7.9427769888887837E-3</v>
      </c>
      <c r="J930">
        <f t="shared" si="155"/>
        <v>0.55879361982961639</v>
      </c>
      <c r="K930">
        <f t="shared" si="149"/>
        <v>24.178781078086594</v>
      </c>
      <c r="L930">
        <f>0.5*Z930*K930/J930/$B$7</f>
        <v>21.634804174624456</v>
      </c>
      <c r="M930">
        <f t="shared" si="152"/>
        <v>0.5819750692922564</v>
      </c>
      <c r="N930" s="21">
        <f t="shared" si="156"/>
        <v>5.9790834196385242E-2</v>
      </c>
      <c r="O930" s="21">
        <f t="shared" si="157"/>
        <v>17.774731902834592</v>
      </c>
      <c r="P930">
        <f t="shared" si="153"/>
        <v>0.65399297532021428</v>
      </c>
      <c r="Q930">
        <f t="shared" si="150"/>
        <v>0.55879361982961639</v>
      </c>
      <c r="R930">
        <f t="shared" si="151"/>
        <v>1.1514696542828671</v>
      </c>
      <c r="T930" s="21">
        <f>(M930-M929)/(H930-H929)</f>
        <v>4.7482517285313275E-4</v>
      </c>
      <c r="W930">
        <v>815</v>
      </c>
      <c r="X930">
        <v>17.779215000000001</v>
      </c>
      <c r="Y930">
        <v>1</v>
      </c>
      <c r="Z930">
        <f t="shared" si="148"/>
        <v>1</v>
      </c>
      <c r="AA930" s="21">
        <f>IF(X930&gt;$B$8+$B$9,0,ABS(X930-O930)/X930)</f>
        <v>2.5215383049300111E-4</v>
      </c>
      <c r="AB930">
        <f>IF(OR(Z927&lt;&gt;Z933,X930&gt;$B$8+$B$9),0,((X933-X927)/(W933-W927)-(O933-O927)/(W933-W927))^2)</f>
        <v>5.0341293701938259E-7</v>
      </c>
    </row>
    <row r="931" spans="7:28" x14ac:dyDescent="0.2">
      <c r="G931" s="21"/>
      <c r="H931" s="21">
        <v>816</v>
      </c>
      <c r="I931">
        <f t="shared" si="154"/>
        <v>7.944833964899119E-3</v>
      </c>
      <c r="J931">
        <f t="shared" si="155"/>
        <v>0.5585281953567296</v>
      </c>
      <c r="K931">
        <f t="shared" si="149"/>
        <v>24.174581370123214</v>
      </c>
      <c r="L931">
        <f>0.5*Z931*K931/J931/$B$7</f>
        <v>21.641325873157587</v>
      </c>
      <c r="M931">
        <f t="shared" si="152"/>
        <v>0.58245017767065199</v>
      </c>
      <c r="N931" s="21">
        <f t="shared" si="156"/>
        <v>5.9811005152423928E-2</v>
      </c>
      <c r="O931" s="21">
        <f t="shared" si="157"/>
        <v>17.782676736799491</v>
      </c>
      <c r="P931">
        <f t="shared" si="153"/>
        <v>0.65438640965967021</v>
      </c>
      <c r="Q931">
        <f t="shared" si="150"/>
        <v>0.5585281953567296</v>
      </c>
      <c r="R931">
        <f t="shared" si="151"/>
        <v>1.1481548981728193</v>
      </c>
      <c r="T931" s="21">
        <f>(M931-M930)/(H931-H930)</f>
        <v>4.751083783955945E-4</v>
      </c>
      <c r="W931">
        <v>816</v>
      </c>
      <c r="X931">
        <v>17.798684999999999</v>
      </c>
      <c r="Y931">
        <v>1</v>
      </c>
      <c r="Z931">
        <f t="shared" si="148"/>
        <v>1</v>
      </c>
      <c r="AA931" s="21">
        <f>IF(X931&gt;$B$8+$B$9,0,ABS(X931-O931)/X931)</f>
        <v>8.9940707420283329E-4</v>
      </c>
      <c r="AB931">
        <f>IF(OR(Z928&lt;&gt;Z934,X931&gt;$B$8+$B$9),0,((X934-X928)/(W934-W928)-(O934-O928)/(W934-W928))^2)</f>
        <v>1.9078365302321369E-7</v>
      </c>
    </row>
    <row r="932" spans="7:28" x14ac:dyDescent="0.2">
      <c r="G932" s="21"/>
      <c r="H932" s="21">
        <v>817</v>
      </c>
      <c r="I932">
        <f t="shared" si="154"/>
        <v>7.9468998465573332E-3</v>
      </c>
      <c r="J932">
        <f t="shared" si="155"/>
        <v>0.55826273849345542</v>
      </c>
      <c r="K932">
        <f t="shared" si="149"/>
        <v>24.170387871884781</v>
      </c>
      <c r="L932">
        <f>0.5*Z932*K932/J932/$B$7</f>
        <v>21.647860590796114</v>
      </c>
      <c r="M932">
        <f t="shared" si="152"/>
        <v>0.58292556990428768</v>
      </c>
      <c r="N932" s="21">
        <f t="shared" si="156"/>
        <v>5.9831180401215239E-2</v>
      </c>
      <c r="O932" s="21">
        <f t="shared" si="157"/>
        <v>17.79062363664605</v>
      </c>
      <c r="P932">
        <f t="shared" si="153"/>
        <v>0.65477989201086562</v>
      </c>
      <c r="Q932">
        <f t="shared" si="150"/>
        <v>0.55826273849345542</v>
      </c>
      <c r="R932">
        <f t="shared" si="151"/>
        <v>1.1448587707451425</v>
      </c>
      <c r="T932" s="21">
        <f>(M932-M931)/(H932-H931)</f>
        <v>4.7539223363568528E-4</v>
      </c>
      <c r="W932">
        <v>817</v>
      </c>
      <c r="X932">
        <v>17.806797</v>
      </c>
      <c r="Y932">
        <v>1</v>
      </c>
      <c r="Z932">
        <f t="shared" si="148"/>
        <v>1</v>
      </c>
      <c r="AA932" s="21">
        <f>IF(X932&gt;$B$8+$B$9,0,ABS(X932-O932)/X932)</f>
        <v>9.0826909263635742E-4</v>
      </c>
      <c r="AB932">
        <f>IF(OR(Z929&lt;&gt;Z935,X932&gt;$B$8+$B$9),0,((X935-X929)/(W935-W929)-(O935-O929)/(W935-W929))^2)</f>
        <v>4.2328297363758521E-6</v>
      </c>
    </row>
    <row r="933" spans="7:28" x14ac:dyDescent="0.2">
      <c r="G933" s="21"/>
      <c r="H933" s="21">
        <v>818</v>
      </c>
      <c r="I933">
        <f t="shared" si="154"/>
        <v>7.9489746423818761E-3</v>
      </c>
      <c r="J933">
        <f t="shared" si="155"/>
        <v>0.55799724904257419</v>
      </c>
      <c r="K933">
        <f t="shared" si="149"/>
        <v>24.166200574589311</v>
      </c>
      <c r="L933">
        <f>0.5*Z933*K933/J933/$B$7</f>
        <v>21.654408347043187</v>
      </c>
      <c r="M933">
        <f t="shared" si="152"/>
        <v>0.58340124664420778</v>
      </c>
      <c r="N933" s="21">
        <f t="shared" si="156"/>
        <v>5.9851359977055374E-2</v>
      </c>
      <c r="O933" s="21">
        <f t="shared" si="157"/>
        <v>17.798572611288431</v>
      </c>
      <c r="P933">
        <f t="shared" si="153"/>
        <v>0.6551734226661361</v>
      </c>
      <c r="Q933">
        <f t="shared" si="150"/>
        <v>0.55799724904257419</v>
      </c>
      <c r="R933">
        <f t="shared" si="151"/>
        <v>1.1415811130473037</v>
      </c>
      <c r="T933" s="21">
        <f>(M933-M932)/(H933-H932)</f>
        <v>4.7567673992010562E-4</v>
      </c>
      <c r="W933">
        <v>818</v>
      </c>
      <c r="X933">
        <v>17.808419999999998</v>
      </c>
      <c r="Y933">
        <v>1</v>
      </c>
      <c r="Z933">
        <f t="shared" si="148"/>
        <v>1</v>
      </c>
      <c r="AA933" s="21">
        <f>IF(X933&gt;$B$8+$B$9,0,ABS(X933-O933)/X933)</f>
        <v>5.5296251501068888E-4</v>
      </c>
      <c r="AB933">
        <f>IF(OR(Z930&lt;&gt;Z936,X933&gt;$B$8+$B$9),0,((X936-X930)/(W936-W930)-(O936-O930)/(W936-W930))^2)</f>
        <v>1.1609726878274676E-5</v>
      </c>
    </row>
    <row r="934" spans="7:28" x14ac:dyDescent="0.2">
      <c r="G934" s="21"/>
      <c r="H934" s="21">
        <v>819</v>
      </c>
      <c r="I934">
        <f t="shared" si="154"/>
        <v>7.951058360959367E-3</v>
      </c>
      <c r="J934">
        <f t="shared" si="155"/>
        <v>0.55773172680675098</v>
      </c>
      <c r="K934">
        <f t="shared" si="149"/>
        <v>24.162019469486669</v>
      </c>
      <c r="L934">
        <f>0.5*Z934*K934/J934/$B$7</f>
        <v>21.660969161485941</v>
      </c>
      <c r="M934">
        <f t="shared" si="152"/>
        <v>0.58387720854281078</v>
      </c>
      <c r="N934" s="21">
        <f t="shared" si="156"/>
        <v>5.9871543914287048E-2</v>
      </c>
      <c r="O934" s="21">
        <f t="shared" si="157"/>
        <v>17.80652366964939</v>
      </c>
      <c r="P934">
        <f t="shared" si="153"/>
        <v>0.65556700191798789</v>
      </c>
      <c r="Q934">
        <f t="shared" si="150"/>
        <v>0.55773172680675098</v>
      </c>
      <c r="R934">
        <f t="shared" si="151"/>
        <v>1.1383217679293873</v>
      </c>
      <c r="T934" s="21">
        <f>(M934-M933)/(H934-H933)</f>
        <v>4.7596189860299454E-4</v>
      </c>
      <c r="W934">
        <v>819</v>
      </c>
      <c r="X934">
        <v>17.827888999999999</v>
      </c>
      <c r="Y934">
        <v>1</v>
      </c>
      <c r="Z934">
        <f t="shared" si="148"/>
        <v>1</v>
      </c>
      <c r="AA934" s="21">
        <f>IF(X934&gt;$B$8+$B$9,0,ABS(X934-O934)/X934)</f>
        <v>1.1984217733579396E-3</v>
      </c>
      <c r="AB934">
        <f>IF(OR(Z931&lt;&gt;Z937,X934&gt;$B$8+$B$9),0,((X937-X931)/(W937-W931)-(O937-O931)/(W937-W931))^2)</f>
        <v>2.2867994475619073E-6</v>
      </c>
    </row>
    <row r="935" spans="7:28" x14ac:dyDescent="0.2">
      <c r="G935" s="21"/>
      <c r="H935" s="21">
        <v>820</v>
      </c>
      <c r="I935">
        <f t="shared" si="154"/>
        <v>7.953151010944683E-3</v>
      </c>
      <c r="J935">
        <f t="shared" si="155"/>
        <v>0.55746617158853506</v>
      </c>
      <c r="K935">
        <f t="shared" si="149"/>
        <v>24.157844547858513</v>
      </c>
      <c r="L935">
        <f>0.5*Z935*K935/J935/$B$7</f>
        <v>21.667543053795722</v>
      </c>
      <c r="M935">
        <f t="shared" si="152"/>
        <v>0.58435345625385349</v>
      </c>
      <c r="N935" s="21">
        <f t="shared" si="156"/>
        <v>5.9891732247299732E-2</v>
      </c>
      <c r="O935" s="21">
        <f t="shared" si="157"/>
        <v>17.814476820660335</v>
      </c>
      <c r="P935">
        <f t="shared" si="153"/>
        <v>0.65596063005909899</v>
      </c>
      <c r="Q935">
        <f t="shared" si="150"/>
        <v>0.55746617158853506</v>
      </c>
      <c r="R935">
        <f t="shared" si="151"/>
        <v>1.1350805800186101</v>
      </c>
      <c r="T935" s="21">
        <f>(M935-M934)/(H935-H934)</f>
        <v>4.7624771104270991E-4</v>
      </c>
      <c r="W935">
        <v>820</v>
      </c>
      <c r="X935">
        <v>17.839247</v>
      </c>
      <c r="Y935">
        <v>1</v>
      </c>
      <c r="Z935">
        <f t="shared" si="148"/>
        <v>1</v>
      </c>
      <c r="AA935" s="21">
        <f>IF(X935&gt;$B$8+$B$9,0,ABS(X935-O935)/X935)</f>
        <v>1.3885215749109296E-3</v>
      </c>
      <c r="AB935">
        <f>IF(OR(Z932&lt;&gt;Z938,X935&gt;$B$8+$B$9),0,((X938-X932)/(W938-W932)-(O938-O932)/(W938-W932))^2)</f>
        <v>8.1926826796282332E-6</v>
      </c>
    </row>
    <row r="936" spans="7:28" x14ac:dyDescent="0.2">
      <c r="G936" s="21"/>
      <c r="H936" s="21">
        <v>821</v>
      </c>
      <c r="I936">
        <f t="shared" si="154"/>
        <v>7.955252601061143E-3</v>
      </c>
      <c r="J936">
        <f t="shared" si="155"/>
        <v>0.55720058319035815</v>
      </c>
      <c r="K936">
        <f t="shared" si="149"/>
        <v>24.153675801018181</v>
      </c>
      <c r="L936">
        <f>0.5*Z936*K936/J936/$B$7</f>
        <v>21.674130043728333</v>
      </c>
      <c r="M936">
        <f t="shared" si="152"/>
        <v>0.58482999043245742</v>
      </c>
      <c r="N936" s="21">
        <f t="shared" si="156"/>
        <v>5.9911925010530158E-2</v>
      </c>
      <c r="O936" s="21">
        <f t="shared" si="157"/>
        <v>17.822432073261396</v>
      </c>
      <c r="P936">
        <f t="shared" si="153"/>
        <v>0.65635430738232159</v>
      </c>
      <c r="Q936">
        <f t="shared" si="150"/>
        <v>0.55720058319035815</v>
      </c>
      <c r="R936">
        <f t="shared" si="151"/>
        <v>1.1318573956942579</v>
      </c>
      <c r="T936" s="21">
        <f>(M936-M935)/(H936-H935)</f>
        <v>4.7653417860393787E-4</v>
      </c>
      <c r="W936">
        <v>821</v>
      </c>
      <c r="X936">
        <v>17.847359000000001</v>
      </c>
      <c r="Y936">
        <v>1</v>
      </c>
      <c r="Z936">
        <f t="shared" si="148"/>
        <v>1</v>
      </c>
      <c r="AA936" s="21">
        <f>IF(X936&gt;$B$8+$B$9,0,ABS(X936-O936)/X936)</f>
        <v>1.3966731289825429E-3</v>
      </c>
      <c r="AB936">
        <f>IF(OR(Z933&lt;&gt;Z939,X936&gt;$B$8+$B$9),0,((X939-X933)/(W939-W933)-(O939-O933)/(W939-W933))^2)</f>
        <v>1.3478787753647575E-5</v>
      </c>
    </row>
    <row r="937" spans="7:28" x14ac:dyDescent="0.2">
      <c r="G937" s="21"/>
      <c r="H937" s="21">
        <v>822</v>
      </c>
      <c r="I937">
        <f t="shared" si="154"/>
        <v>7.9573631401005304E-3</v>
      </c>
      <c r="J937">
        <f t="shared" si="155"/>
        <v>0.55693496141453291</v>
      </c>
      <c r="K937">
        <f t="shared" si="149"/>
        <v>24.149513220310606</v>
      </c>
      <c r="L937">
        <f>0.5*Z937*K937/J937/$B$7</f>
        <v>21.680730151124283</v>
      </c>
      <c r="M937">
        <f t="shared" si="152"/>
        <v>0.58530681173511512</v>
      </c>
      <c r="N937" s="21">
        <f t="shared" si="156"/>
        <v>5.993212223846258E-2</v>
      </c>
      <c r="O937" s="21">
        <f t="shared" si="157"/>
        <v>17.830389436401497</v>
      </c>
      <c r="P937">
        <f t="shared" si="153"/>
        <v>0.6567480341806845</v>
      </c>
      <c r="Q937">
        <f t="shared" si="150"/>
        <v>0.55693496141453291</v>
      </c>
      <c r="R937">
        <f t="shared" si="151"/>
        <v>1.1286520630630439</v>
      </c>
      <c r="T937" s="21">
        <f>(M937-M936)/(H937-H936)</f>
        <v>4.7682130265769285E-4</v>
      </c>
      <c r="W937">
        <v>822</v>
      </c>
      <c r="X937">
        <v>17.855470999999998</v>
      </c>
      <c r="Y937">
        <v>1</v>
      </c>
      <c r="Z937">
        <f t="shared" si="148"/>
        <v>1</v>
      </c>
      <c r="AA937" s="21">
        <f>IF(X937&gt;$B$8+$B$9,0,ABS(X937-O937)/X937)</f>
        <v>1.4046990750622784E-3</v>
      </c>
      <c r="AB937">
        <f>IF(OR(Z934&lt;&gt;Z940,X937&gt;$B$8+$B$9),0,((X940-X934)/(W940-W934)-(O940-O934)/(W940-W934))^2)</f>
        <v>4.8265231348641531E-7</v>
      </c>
    </row>
    <row r="938" spans="7:28" x14ac:dyDescent="0.2">
      <c r="G938" s="21"/>
      <c r="H938" s="21">
        <v>823</v>
      </c>
      <c r="I938">
        <f t="shared" si="154"/>
        <v>7.9594826369233269E-3</v>
      </c>
      <c r="J938">
        <f t="shared" si="155"/>
        <v>0.55666930606325238</v>
      </c>
      <c r="K938">
        <f t="shared" si="149"/>
        <v>24.145356797112253</v>
      </c>
      <c r="L938">
        <f>0.5*Z938*K938/J938/$B$7</f>
        <v>21.687343395909007</v>
      </c>
      <c r="M938">
        <f t="shared" si="152"/>
        <v>0.58578392081969421</v>
      </c>
      <c r="N938" s="21">
        <f t="shared" si="156"/>
        <v>5.995232396562912E-2</v>
      </c>
      <c r="O938" s="21">
        <f t="shared" si="157"/>
        <v>17.83834891903842</v>
      </c>
      <c r="P938">
        <f t="shared" si="153"/>
        <v>0.65714181074739386</v>
      </c>
      <c r="Q938">
        <f t="shared" si="150"/>
        <v>0.55666930606325238</v>
      </c>
      <c r="R938">
        <f t="shared" si="151"/>
        <v>1.125464431934897</v>
      </c>
      <c r="T938" s="21">
        <f>(M938-M937)/(H938-H937)</f>
        <v>4.7710908457909706E-4</v>
      </c>
      <c r="W938">
        <v>823</v>
      </c>
      <c r="X938">
        <v>17.871696</v>
      </c>
      <c r="Y938">
        <v>1</v>
      </c>
      <c r="Z938">
        <f t="shared" si="148"/>
        <v>1</v>
      </c>
      <c r="AA938" s="21">
        <f>IF(X938&gt;$B$8+$B$9,0,ABS(X938-O938)/X938)</f>
        <v>1.8659158572068191E-3</v>
      </c>
      <c r="AB938">
        <f>IF(OR(Z935&lt;&gt;Z941,X938&gt;$B$8+$B$9),0,((X941-X935)/(W941-W935)-(O941-O935)/(W941-W935))^2)</f>
        <v>6.6845060418251663E-6</v>
      </c>
    </row>
    <row r="939" spans="7:28" x14ac:dyDescent="0.2">
      <c r="G939" s="21"/>
      <c r="H939" s="21">
        <v>824</v>
      </c>
      <c r="I939">
        <f t="shared" si="154"/>
        <v>7.9616111004587615E-3</v>
      </c>
      <c r="J939">
        <f t="shared" si="155"/>
        <v>0.55640361693858775</v>
      </c>
      <c r="K939">
        <f t="shared" si="149"/>
        <v>24.141206522831002</v>
      </c>
      <c r="L939">
        <f>0.5*Z939*K939/J939/$B$7</f>
        <v>21.693969798093129</v>
      </c>
      <c r="M939">
        <f t="shared" si="152"/>
        <v>0.58626131834544504</v>
      </c>
      <c r="N939" s="21">
        <f t="shared" si="156"/>
        <v>5.9972530226610123E-2</v>
      </c>
      <c r="O939" s="21">
        <f t="shared" si="157"/>
        <v>17.846310530138879</v>
      </c>
      <c r="P939">
        <f t="shared" si="153"/>
        <v>0.65753563737583598</v>
      </c>
      <c r="Q939">
        <f t="shared" si="150"/>
        <v>0.55640361693858775</v>
      </c>
      <c r="R939">
        <f t="shared" si="151"/>
        <v>1.1222943537991383</v>
      </c>
      <c r="T939" s="21">
        <f>(M939-M938)/(H939-H938)</f>
        <v>4.7739752575082228E-4</v>
      </c>
      <c r="W939">
        <v>824</v>
      </c>
      <c r="X939">
        <v>17.878185999999999</v>
      </c>
      <c r="Y939">
        <v>1</v>
      </c>
      <c r="Z939">
        <f t="shared" si="148"/>
        <v>1</v>
      </c>
      <c r="AA939" s="21">
        <f>IF(X939&gt;$B$8+$B$9,0,ABS(X939-O939)/X939)</f>
        <v>1.782925284540619E-3</v>
      </c>
      <c r="AB939">
        <f>IF(OR(Z936&lt;&gt;Z942,X939&gt;$B$8+$B$9),0,((X942-X936)/(W942-W936)-(O942-O936)/(W942-W936))^2)</f>
        <v>6.6734812884051931E-6</v>
      </c>
    </row>
    <row r="940" spans="7:28" x14ac:dyDescent="0.2">
      <c r="G940" s="21"/>
      <c r="H940" s="21">
        <v>825</v>
      </c>
      <c r="I940">
        <f t="shared" si="154"/>
        <v>7.9637485397049609E-3</v>
      </c>
      <c r="J940">
        <f t="shared" si="155"/>
        <v>0.55613789384248746</v>
      </c>
      <c r="K940">
        <f t="shared" si="149"/>
        <v>24.137062388906077</v>
      </c>
      <c r="L940">
        <f>0.5*Z940*K940/J940/$B$7</f>
        <v>21.700609377772693</v>
      </c>
      <c r="M940">
        <f t="shared" si="152"/>
        <v>0.58673900497300568</v>
      </c>
      <c r="N940" s="21">
        <f t="shared" si="156"/>
        <v>5.9992741056034603E-2</v>
      </c>
      <c r="O940" s="21">
        <f t="shared" si="157"/>
        <v>17.854274278678584</v>
      </c>
      <c r="P940">
        <f t="shared" si="153"/>
        <v>0.65792951435957947</v>
      </c>
      <c r="Q940">
        <f t="shared" si="150"/>
        <v>0.55613789384248746</v>
      </c>
      <c r="R940">
        <f t="shared" si="151"/>
        <v>1.1191416818010627</v>
      </c>
      <c r="T940" s="21">
        <f>(M940-M939)/(H940-H939)</f>
        <v>4.7768662756064728E-4</v>
      </c>
      <c r="W940">
        <v>825</v>
      </c>
      <c r="X940">
        <v>17.879808000000001</v>
      </c>
      <c r="Y940">
        <v>1</v>
      </c>
      <c r="Z940">
        <f t="shared" si="148"/>
        <v>1</v>
      </c>
      <c r="AA940" s="21">
        <f>IF(X940&gt;$B$8+$B$9,0,ABS(X940-O940)/X940)</f>
        <v>1.4280758116315443E-3</v>
      </c>
      <c r="AB940">
        <f>IF(OR(Z937&lt;&gt;Z943,X940&gt;$B$8+$B$9),0,((X943-X937)/(W943-W937)-(O943-O937)/(W943-W937))^2)</f>
        <v>9.1936058598780485E-7</v>
      </c>
    </row>
    <row r="941" spans="7:28" x14ac:dyDescent="0.2">
      <c r="G941" s="21"/>
      <c r="H941" s="21">
        <v>826</v>
      </c>
      <c r="I941">
        <f t="shared" si="154"/>
        <v>7.9658949637290387E-3</v>
      </c>
      <c r="J941">
        <f t="shared" si="155"/>
        <v>0.55587213657677625</v>
      </c>
      <c r="K941">
        <f t="shared" si="149"/>
        <v>24.132924386807975</v>
      </c>
      <c r="L941">
        <f>0.5*Z941*K941/J941/$B$7</f>
        <v>21.70726215512942</v>
      </c>
      <c r="M941">
        <f t="shared" si="152"/>
        <v>0.58721698136440681</v>
      </c>
      <c r="N941" s="21">
        <f t="shared" si="156"/>
        <v>6.0012956488580474E-2</v>
      </c>
      <c r="O941" s="21">
        <f t="shared" si="157"/>
        <v>17.862240173642313</v>
      </c>
      <c r="P941">
        <f t="shared" si="153"/>
        <v>0.65832344199237636</v>
      </c>
      <c r="Q941">
        <f t="shared" si="150"/>
        <v>0.55587213657677625</v>
      </c>
      <c r="R941">
        <f t="shared" si="151"/>
        <v>1.1160062707189178</v>
      </c>
      <c r="T941" s="21">
        <f>(M941-M940)/(H941-H940)</f>
        <v>4.779763914011248E-4</v>
      </c>
      <c r="W941">
        <v>826</v>
      </c>
      <c r="X941">
        <v>17.902522999999999</v>
      </c>
      <c r="Y941">
        <v>1</v>
      </c>
      <c r="Z941">
        <f t="shared" si="148"/>
        <v>1</v>
      </c>
      <c r="AA941" s="21">
        <f>IF(X941&gt;$B$8+$B$9,0,ABS(X941-O941)/X941)</f>
        <v>2.2501200728906067E-3</v>
      </c>
      <c r="AB941">
        <f>IF(OR(Z938&lt;&gt;Z944,X941&gt;$B$8+$B$9),0,((X944-X938)/(W944-W938)-(O944-O938)/(W944-W938))^2)</f>
        <v>9.1524044132255342E-7</v>
      </c>
    </row>
    <row r="942" spans="7:28" x14ac:dyDescent="0.2">
      <c r="G942" s="21"/>
      <c r="H942" s="21">
        <v>827</v>
      </c>
      <c r="I942">
        <f t="shared" si="154"/>
        <v>7.9680503816673149E-3</v>
      </c>
      <c r="J942">
        <f t="shared" si="155"/>
        <v>0.55560634494315331</v>
      </c>
      <c r="K942">
        <f t="shared" si="149"/>
        <v>24.128792508038355</v>
      </c>
      <c r="L942">
        <f>0.5*Z942*K942/J942/$B$7</f>
        <v>21.713928150430934</v>
      </c>
      <c r="M942">
        <f t="shared" si="152"/>
        <v>0.58769524818307861</v>
      </c>
      <c r="N942" s="21">
        <f t="shared" si="156"/>
        <v>6.0033176558974936E-2</v>
      </c>
      <c r="O942" s="21">
        <f t="shared" si="157"/>
        <v>17.87020822402398</v>
      </c>
      <c r="P942">
        <f t="shared" si="153"/>
        <v>0.65871742056816485</v>
      </c>
      <c r="Q942">
        <f t="shared" si="150"/>
        <v>0.55560634494315331</v>
      </c>
      <c r="R942">
        <f t="shared" si="151"/>
        <v>1.1128879769412554</v>
      </c>
      <c r="T942" s="21">
        <f>(M942-M941)/(H942-H941)</f>
        <v>4.7826681867180199E-4</v>
      </c>
      <c r="W942">
        <v>827</v>
      </c>
      <c r="X942">
        <v>17.910634999999999</v>
      </c>
      <c r="Y942">
        <v>1</v>
      </c>
      <c r="Z942">
        <f t="shared" si="148"/>
        <v>1</v>
      </c>
      <c r="AA942" s="21">
        <f>IF(X942&gt;$B$8+$B$9,0,ABS(X942-O942)/X942)</f>
        <v>2.2571380621635982E-3</v>
      </c>
      <c r="AB942">
        <f>IF(OR(Z939&lt;&gt;Z945,X942&gt;$B$8+$B$9),0,((X945-X939)/(W945-W939)-(O945-O939)/(W945-W939))^2)</f>
        <v>4.6788618418151103E-7</v>
      </c>
    </row>
    <row r="943" spans="7:28" x14ac:dyDescent="0.2">
      <c r="G943" s="21"/>
      <c r="H943" s="21">
        <v>828</v>
      </c>
      <c r="I943">
        <f t="shared" si="154"/>
        <v>7.9702148027253235E-3</v>
      </c>
      <c r="J943">
        <f t="shared" si="155"/>
        <v>0.55534051874319079</v>
      </c>
      <c r="K943">
        <f t="shared" si="149"/>
        <v>24.124666744129961</v>
      </c>
      <c r="L943">
        <f>0.5*Z943*K943/J943/$B$7</f>
        <v>21.720607384031045</v>
      </c>
      <c r="M943">
        <f t="shared" si="152"/>
        <v>0.58817380609385705</v>
      </c>
      <c r="N943" s="21">
        <f t="shared" si="156"/>
        <v>6.0053401301994928E-2</v>
      </c>
      <c r="O943" s="21">
        <f t="shared" si="157"/>
        <v>17.878178438826705</v>
      </c>
      <c r="P943">
        <f t="shared" si="153"/>
        <v>0.65911145038107111</v>
      </c>
      <c r="Q943">
        <f t="shared" si="150"/>
        <v>0.55534051874319079</v>
      </c>
      <c r="R943">
        <f t="shared" si="151"/>
        <v>1.1097866584446638</v>
      </c>
      <c r="T943" s="21">
        <f>(M943-M942)/(H943-H942)</f>
        <v>4.7855791077844323E-4</v>
      </c>
      <c r="W943">
        <v>828</v>
      </c>
      <c r="X943">
        <v>17.909012999999998</v>
      </c>
      <c r="Y943">
        <v>1</v>
      </c>
      <c r="Z943">
        <f t="shared" si="148"/>
        <v>1</v>
      </c>
      <c r="AA943" s="21">
        <f>IF(X943&gt;$B$8+$B$9,0,ABS(X943-O943)/X943)</f>
        <v>1.7217342560024496E-3</v>
      </c>
      <c r="AB943">
        <f>IF(OR(Z940&lt;&gt;Z946,X943&gt;$B$8+$B$9),0,((X946-X940)/(W946-W940)-(O946-O940)/(W946-W940))^2)</f>
        <v>2.2296057976644185E-6</v>
      </c>
    </row>
    <row r="944" spans="7:28" x14ac:dyDescent="0.2">
      <c r="G944" s="21"/>
      <c r="H944" s="21">
        <v>829</v>
      </c>
      <c r="I944">
        <f t="shared" si="154"/>
        <v>7.9723882361780515E-3</v>
      </c>
      <c r="J944">
        <f t="shared" si="155"/>
        <v>0.55507465777833276</v>
      </c>
      <c r="K944">
        <f t="shared" si="149"/>
        <v>24.120547086646553</v>
      </c>
      <c r="L944">
        <f>0.5*Z944*K944/J944/$B$7</f>
        <v>21.727299876369976</v>
      </c>
      <c r="M944">
        <f t="shared" si="152"/>
        <v>0.58865265576298875</v>
      </c>
      <c r="N944" s="21">
        <f t="shared" si="156"/>
        <v>6.0073630752467397E-2</v>
      </c>
      <c r="O944" s="21">
        <f t="shared" si="157"/>
        <v>17.886150827062885</v>
      </c>
      <c r="P944">
        <f t="shared" si="153"/>
        <v>0.65950553172541115</v>
      </c>
      <c r="Q944">
        <f t="shared" si="150"/>
        <v>0.55507465777833276</v>
      </c>
      <c r="R944">
        <f t="shared" si="151"/>
        <v>1.1067021747718702</v>
      </c>
      <c r="T944" s="21">
        <f>(M944-M943)/(H944-H943)</f>
        <v>4.7884966913169791E-4</v>
      </c>
      <c r="W944">
        <v>829</v>
      </c>
      <c r="X944">
        <v>17.925238</v>
      </c>
      <c r="Y944">
        <v>1</v>
      </c>
      <c r="Z944">
        <f t="shared" si="148"/>
        <v>1</v>
      </c>
      <c r="AA944" s="21">
        <f>IF(X944&gt;$B$8+$B$9,0,ABS(X944-O944)/X944)</f>
        <v>2.1805664693052115E-3</v>
      </c>
      <c r="AB944">
        <f>IF(OR(Z941&lt;&gt;Z947,X944&gt;$B$8+$B$9),0,((X947-X941)/(W947-W941)-(O947-O941)/(W947-W941))^2)</f>
        <v>8.8891866457545271E-7</v>
      </c>
    </row>
    <row r="945" spans="7:28" x14ac:dyDescent="0.2">
      <c r="G945" s="21"/>
      <c r="H945" s="21">
        <v>830</v>
      </c>
      <c r="I945">
        <f t="shared" si="154"/>
        <v>7.9745706913700014E-3</v>
      </c>
      <c r="J945">
        <f t="shared" si="155"/>
        <v>0.55480876184989447</v>
      </c>
      <c r="K945">
        <f t="shared" si="149"/>
        <v>24.11643352718281</v>
      </c>
      <c r="L945">
        <f>0.5*Z945*K945/J945/$B$7</f>
        <v>21.734005647974605</v>
      </c>
      <c r="M945">
        <f t="shared" si="152"/>
        <v>0.58913179785813663</v>
      </c>
      <c r="N945" s="21">
        <f t="shared" si="156"/>
        <v>6.0093864945269644E-2</v>
      </c>
      <c r="O945" s="21">
        <f t="shared" si="157"/>
        <v>17.894125397754255</v>
      </c>
      <c r="P945">
        <f t="shared" si="153"/>
        <v>0.65989966489569241</v>
      </c>
      <c r="Q945">
        <f t="shared" si="150"/>
        <v>0.55480876184989447</v>
      </c>
      <c r="R945">
        <f t="shared" si="151"/>
        <v>1.1036343870102046</v>
      </c>
      <c r="T945" s="21">
        <f>(M945-M944)/(H945-H944)</f>
        <v>4.7914209514787753E-4</v>
      </c>
      <c r="W945">
        <v>830</v>
      </c>
      <c r="X945">
        <v>17.930105000000001</v>
      </c>
      <c r="Y945">
        <v>1</v>
      </c>
      <c r="Z945">
        <f t="shared" si="148"/>
        <v>1</v>
      </c>
      <c r="AA945" s="21">
        <f>IF(X945&gt;$B$8+$B$9,0,ABS(X945-O945)/X945)</f>
        <v>2.0066587588720712E-3</v>
      </c>
      <c r="AB945">
        <f>IF(OR(Z942&lt;&gt;Z948,X945&gt;$B$8+$B$9),0,((X948-X942)/(W948-W942)-(O948-O942)/(W948-W942))^2)</f>
        <v>3.0841628621388332E-6</v>
      </c>
    </row>
    <row r="946" spans="7:28" x14ac:dyDescent="0.2">
      <c r="G946" s="21"/>
      <c r="H946" s="21">
        <v>831</v>
      </c>
      <c r="I946">
        <f t="shared" si="154"/>
        <v>7.9767621777153321E-3</v>
      </c>
      <c r="J946">
        <f t="shared" si="155"/>
        <v>0.55454283075906008</v>
      </c>
      <c r="K946">
        <f t="shared" si="149"/>
        <v>24.112326057364253</v>
      </c>
      <c r="L946">
        <f>0.5*Z946*K946/J946/$B$7</f>
        <v>21.740724719458747</v>
      </c>
      <c r="M946">
        <f t="shared" si="152"/>
        <v>0.58961123304838658</v>
      </c>
      <c r="N946" s="21">
        <f t="shared" si="156"/>
        <v>6.0114103915329745E-2</v>
      </c>
      <c r="O946" s="21">
        <f t="shared" si="157"/>
        <v>17.902102159931971</v>
      </c>
      <c r="P946">
        <f t="shared" si="153"/>
        <v>0.66029385018661646</v>
      </c>
      <c r="Q946">
        <f t="shared" si="150"/>
        <v>0.55454283075906008</v>
      </c>
      <c r="R946">
        <f t="shared" si="151"/>
        <v>1.100583157770411</v>
      </c>
      <c r="T946" s="21">
        <f>(M946-M945)/(H946-H945)</f>
        <v>4.7943519024995496E-4</v>
      </c>
      <c r="W946">
        <v>831</v>
      </c>
      <c r="X946">
        <v>17.936595000000001</v>
      </c>
      <c r="Y946">
        <v>1</v>
      </c>
      <c r="Z946">
        <f t="shared" si="148"/>
        <v>1</v>
      </c>
      <c r="AA946" s="21">
        <f>IF(X946&gt;$B$8+$B$9,0,ABS(X946-O946)/X946)</f>
        <v>1.9230428109699501E-3</v>
      </c>
      <c r="AB946">
        <f>IF(OR(Z943&lt;&gt;Z949,X946&gt;$B$8+$B$9),0,((X949-X943)/(W949-W943)-(O949-O943)/(W949-W943))^2)</f>
        <v>5.2798488329998224E-6</v>
      </c>
    </row>
    <row r="947" spans="7:28" x14ac:dyDescent="0.2">
      <c r="G947" s="21"/>
      <c r="H947" s="21">
        <v>832</v>
      </c>
      <c r="I947">
        <f t="shared" si="154"/>
        <v>7.9789627046980387E-3</v>
      </c>
      <c r="J947">
        <f t="shared" si="155"/>
        <v>0.55427686430688128</v>
      </c>
      <c r="K947">
        <f t="shared" si="149"/>
        <v>24.108224668847161</v>
      </c>
      <c r="L947">
        <f>0.5*Z947*K947/J947/$B$7</f>
        <v>21.747457111523406</v>
      </c>
      <c r="M947">
        <f t="shared" si="152"/>
        <v>0.59009096200425393</v>
      </c>
      <c r="N947" s="21">
        <f t="shared" si="156"/>
        <v>6.0134347697626891E-2</v>
      </c>
      <c r="O947" s="21">
        <f t="shared" si="157"/>
        <v>17.910081122636669</v>
      </c>
      <c r="P947">
        <f t="shared" si="153"/>
        <v>0.66068808789308064</v>
      </c>
      <c r="Q947">
        <f t="shared" si="150"/>
        <v>0.55427686430688128</v>
      </c>
      <c r="R947">
        <f t="shared" si="151"/>
        <v>1.0975483511658155</v>
      </c>
      <c r="T947" s="21">
        <f>(M947-M946)/(H947-H946)</f>
        <v>4.7972895586734232E-4</v>
      </c>
      <c r="W947">
        <v>832</v>
      </c>
      <c r="X947">
        <v>17.944707000000001</v>
      </c>
      <c r="Y947">
        <v>1</v>
      </c>
      <c r="Z947">
        <f t="shared" si="148"/>
        <v>1</v>
      </c>
      <c r="AA947" s="21">
        <f>IF(X947&gt;$B$8+$B$9,0,ABS(X947-O947)/X947)</f>
        <v>1.9295872238723282E-3</v>
      </c>
      <c r="AB947">
        <f>IF(OR(Z944&lt;&gt;Z950,X947&gt;$B$8+$B$9),0,((X950-X944)/(W950-W944)-(O950-O944)/(W950-W944))^2)</f>
        <v>3.0791607817002295E-6</v>
      </c>
    </row>
    <row r="948" spans="7:28" x14ac:dyDescent="0.2">
      <c r="G948" s="21"/>
      <c r="H948" s="21">
        <v>833</v>
      </c>
      <c r="I948">
        <f t="shared" si="154"/>
        <v>7.9811722818720482E-3</v>
      </c>
      <c r="J948">
        <f t="shared" si="155"/>
        <v>0.55401086229427698</v>
      </c>
      <c r="K948">
        <f t="shared" si="149"/>
        <v>24.104129353318484</v>
      </c>
      <c r="L948">
        <f>0.5*Z948*K948/J948/$B$7</f>
        <v>21.754202844957003</v>
      </c>
      <c r="M948">
        <f t="shared" si="152"/>
        <v>0.59057098539768771</v>
      </c>
      <c r="N948" s="21">
        <f t="shared" si="156"/>
        <v>6.0154596327191764E-2</v>
      </c>
      <c r="O948" s="21">
        <f t="shared" si="157"/>
        <v>17.918062294918542</v>
      </c>
      <c r="P948">
        <f t="shared" si="153"/>
        <v>0.66108237831017991</v>
      </c>
      <c r="Q948">
        <f t="shared" si="150"/>
        <v>0.55401086229427698</v>
      </c>
      <c r="R948">
        <f t="shared" si="151"/>
        <v>1.09452983279183</v>
      </c>
      <c r="T948" s="21">
        <f>(M948-M947)/(H948-H947)</f>
        <v>4.8002339343378164E-4</v>
      </c>
      <c r="W948">
        <v>833</v>
      </c>
      <c r="X948">
        <v>17.947952000000001</v>
      </c>
      <c r="Y948">
        <v>1</v>
      </c>
      <c r="Z948">
        <f t="shared" si="148"/>
        <v>1</v>
      </c>
      <c r="AA948" s="21">
        <f>IF(X948&gt;$B$8+$B$9,0,ABS(X948-O948)/X948)</f>
        <v>1.6653546366437145E-3</v>
      </c>
      <c r="AB948">
        <f>IF(OR(Z945&lt;&gt;Z951,X948&gt;$B$8+$B$9),0,((X951-X945)/(W951-W945)-(O951-O945)/(W951-W945))^2)</f>
        <v>5.2595596256654358E-6</v>
      </c>
    </row>
    <row r="949" spans="7:28" x14ac:dyDescent="0.2">
      <c r="G949" s="21"/>
      <c r="H949" s="21">
        <v>834</v>
      </c>
      <c r="I949">
        <f t="shared" si="154"/>
        <v>7.9833909188613359E-3</v>
      </c>
      <c r="J949">
        <f t="shared" si="155"/>
        <v>0.55374482452203089</v>
      </c>
      <c r="K949">
        <f t="shared" si="149"/>
        <v>24.100040102495768</v>
      </c>
      <c r="L949">
        <f>0.5*Z949*K949/J949/$B$7</f>
        <v>21.760961940635656</v>
      </c>
      <c r="M949">
        <f t="shared" si="152"/>
        <v>0.59105130390207816</v>
      </c>
      <c r="N949" s="21">
        <f t="shared" si="156"/>
        <v>6.0174849839106835E-2</v>
      </c>
      <c r="O949" s="21">
        <f t="shared" si="157"/>
        <v>17.926045685837405</v>
      </c>
      <c r="P949">
        <f t="shared" si="153"/>
        <v>0.66147672173320926</v>
      </c>
      <c r="Q949">
        <f t="shared" si="150"/>
        <v>0.55374482452203089</v>
      </c>
      <c r="R949">
        <f t="shared" si="151"/>
        <v>1.0915274697057904</v>
      </c>
      <c r="T949" s="21">
        <f>(M949-M948)/(H949-H948)</f>
        <v>4.8031850439045343E-4</v>
      </c>
      <c r="W949">
        <v>834</v>
      </c>
      <c r="X949">
        <v>17.970666999999999</v>
      </c>
      <c r="Y949">
        <v>1</v>
      </c>
      <c r="Z949">
        <f t="shared" si="148"/>
        <v>1</v>
      </c>
      <c r="AA949" s="21">
        <f>IF(X949&gt;$B$8+$B$9,0,ABS(X949-O949)/X949)</f>
        <v>2.4830082357318157E-3</v>
      </c>
      <c r="AB949">
        <f>IF(OR(Z946&lt;&gt;Z952,X949&gt;$B$8+$B$9),0,((X952-X946)/(W952-W946)-(O952-O946)/(W952-W946))^2)</f>
        <v>2.1903500611665752E-6</v>
      </c>
    </row>
    <row r="950" spans="7:28" x14ac:dyDescent="0.2">
      <c r="G950" s="21"/>
      <c r="H950" s="21">
        <v>835</v>
      </c>
      <c r="I950">
        <f t="shared" si="154"/>
        <v>7.9856186253601351E-3</v>
      </c>
      <c r="J950">
        <f t="shared" si="155"/>
        <v>0.55347875079079101</v>
      </c>
      <c r="K950">
        <f t="shared" si="149"/>
        <v>24.095956908127082</v>
      </c>
      <c r="L950">
        <f>0.5*Z950*K950/J950/$B$7</f>
        <v>21.767734419523446</v>
      </c>
      <c r="M950">
        <f t="shared" si="152"/>
        <v>0.59153191819226136</v>
      </c>
      <c r="N950" s="21">
        <f t="shared" si="156"/>
        <v>6.0195108268506839E-2</v>
      </c>
      <c r="O950" s="21">
        <f t="shared" si="157"/>
        <v>17.934031304462764</v>
      </c>
      <c r="P950">
        <f t="shared" si="153"/>
        <v>0.66187111845766489</v>
      </c>
      <c r="Q950">
        <f t="shared" si="150"/>
        <v>0.55347875079079101</v>
      </c>
      <c r="R950">
        <f t="shared" si="151"/>
        <v>1.0885411304071302</v>
      </c>
      <c r="T950" s="21">
        <f>(M950-M949)/(H950-H949)</f>
        <v>4.8061429018320112E-4</v>
      </c>
      <c r="W950">
        <v>835</v>
      </c>
      <c r="X950">
        <v>17.983646999999998</v>
      </c>
      <c r="Y950">
        <v>1</v>
      </c>
      <c r="Z950">
        <f t="shared" si="148"/>
        <v>1</v>
      </c>
      <c r="AA950" s="21">
        <f>IF(X950&gt;$B$8+$B$9,0,ABS(X950-O950)/X950)</f>
        <v>2.7589340214047918E-3</v>
      </c>
      <c r="AB950">
        <f>IF(OR(Z947&lt;&gt;Z953,X950&gt;$B$8+$B$9),0,((X953-X947)/(W953-W947)-(O953-O947)/(W953-W947))^2)</f>
        <v>4.0746821838229548E-6</v>
      </c>
    </row>
    <row r="951" spans="7:28" x14ac:dyDescent="0.2">
      <c r="G951" s="21"/>
      <c r="H951" s="21">
        <v>836</v>
      </c>
      <c r="I951">
        <f t="shared" si="154"/>
        <v>7.9878554111330116E-3</v>
      </c>
      <c r="J951">
        <f t="shared" si="155"/>
        <v>0.55321264090106759</v>
      </c>
      <c r="K951">
        <f t="shared" si="149"/>
        <v>24.091879761990924</v>
      </c>
      <c r="L951">
        <f>0.5*Z951*K951/J951/$B$7</f>
        <v>21.77452030267267</v>
      </c>
      <c r="M951">
        <f t="shared" si="152"/>
        <v>0.59201282894452689</v>
      </c>
      <c r="N951" s="21">
        <f t="shared" si="156"/>
        <v>6.0215371650579039E-2</v>
      </c>
      <c r="O951" s="21">
        <f t="shared" si="157"/>
        <v>17.942019159873897</v>
      </c>
      <c r="P951">
        <f t="shared" si="153"/>
        <v>0.66226556877924725</v>
      </c>
      <c r="Q951">
        <f t="shared" si="150"/>
        <v>0.55321264090106759</v>
      </c>
      <c r="R951">
        <f t="shared" si="151"/>
        <v>1.0855706848178619</v>
      </c>
      <c r="T951" s="21">
        <f>(M951-M950)/(H951-H950)</f>
        <v>4.8091075226552871E-4</v>
      </c>
      <c r="W951">
        <v>836</v>
      </c>
      <c r="X951">
        <v>17.991758999999998</v>
      </c>
      <c r="Y951">
        <v>1</v>
      </c>
      <c r="Z951">
        <f t="shared" si="148"/>
        <v>1</v>
      </c>
      <c r="AA951" s="21">
        <f>IF(X951&gt;$B$8+$B$9,0,ABS(X951-O951)/X951)</f>
        <v>2.7645901729842475E-3</v>
      </c>
      <c r="AB951">
        <f>IF(OR(Z948&lt;&gt;Z954,X951&gt;$B$8+$B$9),0,((X954-X948)/(W954-W948)-(O954-O948)/(W954-W948))^2)</f>
        <v>1.1345733617929606E-5</v>
      </c>
    </row>
    <row r="952" spans="7:28" x14ac:dyDescent="0.2">
      <c r="G952" s="21"/>
      <c r="H952" s="21">
        <v>837</v>
      </c>
      <c r="I952">
        <f t="shared" si="154"/>
        <v>7.9901012860150496E-3</v>
      </c>
      <c r="J952">
        <f t="shared" si="155"/>
        <v>0.55294649465323187</v>
      </c>
      <c r="K952">
        <f t="shared" si="149"/>
        <v>24.087808655896136</v>
      </c>
      <c r="L952">
        <f>0.5*Z952*K952/J952/$B$7</f>
        <v>21.781319611224113</v>
      </c>
      <c r="M952">
        <f t="shared" si="152"/>
        <v>0.59249403683662305</v>
      </c>
      <c r="N952" s="21">
        <f t="shared" si="156"/>
        <v>6.0235640020563704E-2</v>
      </c>
      <c r="O952" s="21">
        <f t="shared" si="157"/>
        <v>17.950009261159913</v>
      </c>
      <c r="P952">
        <f t="shared" si="153"/>
        <v>0.66266007299386243</v>
      </c>
      <c r="Q952">
        <f t="shared" si="150"/>
        <v>0.55294649465323187</v>
      </c>
      <c r="R952">
        <f t="shared" si="151"/>
        <v>1.0826160042633877</v>
      </c>
      <c r="T952" s="21">
        <f>(M952-M951)/(H952-H951)</f>
        <v>4.8120789209615822E-4</v>
      </c>
      <c r="W952">
        <v>837</v>
      </c>
      <c r="X952">
        <v>17.993382</v>
      </c>
      <c r="Y952">
        <v>1</v>
      </c>
      <c r="Z952">
        <f t="shared" si="148"/>
        <v>1</v>
      </c>
      <c r="AA952" s="21">
        <f>IF(X952&gt;$B$8+$B$9,0,ABS(X952-O952)/X952)</f>
        <v>2.4104828564239628E-3</v>
      </c>
      <c r="AB952">
        <f>IF(OR(Z949&lt;&gt;Z955,X952&gt;$B$8+$B$9),0,((X955-X949)/(W955-W949)-(O955-O949)/(W955-W949))^2)</f>
        <v>3.0401145329243875E-6</v>
      </c>
    </row>
    <row r="953" spans="7:28" x14ac:dyDescent="0.2">
      <c r="G953" s="21"/>
      <c r="H953" s="21">
        <v>838</v>
      </c>
      <c r="I953">
        <f t="shared" si="154"/>
        <v>7.9923562599119539E-3</v>
      </c>
      <c r="J953">
        <f t="shared" si="155"/>
        <v>0.55268031184751565</v>
      </c>
      <c r="K953">
        <f t="shared" si="149"/>
        <v>24.083743581681851</v>
      </c>
      <c r="L953">
        <f>0.5*Z953*K953/J953/$B$7</f>
        <v>21.788132366407282</v>
      </c>
      <c r="M953">
        <f t="shared" si="152"/>
        <v>0.59297554254776164</v>
      </c>
      <c r="N953" s="21">
        <f t="shared" si="156"/>
        <v>6.0255913413754317E-2</v>
      </c>
      <c r="O953" s="21">
        <f t="shared" si="157"/>
        <v>17.958001617419825</v>
      </c>
      <c r="P953">
        <f t="shared" si="153"/>
        <v>0.66305463139762399</v>
      </c>
      <c r="Q953">
        <f t="shared" si="150"/>
        <v>0.55268031184751565</v>
      </c>
      <c r="R953">
        <f t="shared" si="151"/>
        <v>1.0796769614536166</v>
      </c>
      <c r="T953" s="21">
        <f>(M953-M952)/(H953-H952)</f>
        <v>4.8150571113858565E-4</v>
      </c>
      <c r="W953">
        <v>838</v>
      </c>
      <c r="X953">
        <v>18.004739000000001</v>
      </c>
      <c r="Y953">
        <v>1</v>
      </c>
      <c r="Z953">
        <f t="shared" si="148"/>
        <v>1</v>
      </c>
      <c r="AA953" s="21">
        <f>IF(X953&gt;$B$8+$B$9,0,ABS(X953-O953)/X953)</f>
        <v>2.5958378280393729E-3</v>
      </c>
      <c r="AB953">
        <f>IF(OR(Z950&lt;&gt;Z956,X953&gt;$B$8+$B$9),0,((X956-X950)/(W956-W950)-(O956-O950)/(W956-W950))^2)</f>
        <v>4.7932607225285102E-7</v>
      </c>
    </row>
    <row r="954" spans="7:28" x14ac:dyDescent="0.2">
      <c r="G954" s="21"/>
      <c r="H954" s="21">
        <v>839</v>
      </c>
      <c r="I954">
        <f t="shared" si="154"/>
        <v>7.9946203428002231E-3</v>
      </c>
      <c r="J954">
        <f t="shared" si="155"/>
        <v>0.55241409228400884</v>
      </c>
      <c r="K954">
        <f t="shared" si="149"/>
        <v>24.079684531217392</v>
      </c>
      <c r="L954">
        <f>0.5*Z954*K954/J954/$B$7</f>
        <v>21.794958589540716</v>
      </c>
      <c r="M954">
        <f t="shared" si="152"/>
        <v>0.59345734675862627</v>
      </c>
      <c r="N954" s="21">
        <f t="shared" si="156"/>
        <v>6.027619186549809E-2</v>
      </c>
      <c r="O954" s="21">
        <f t="shared" si="157"/>
        <v>17.965996237762624</v>
      </c>
      <c r="P954">
        <f t="shared" si="153"/>
        <v>0.66344924428685526</v>
      </c>
      <c r="Q954">
        <f t="shared" si="150"/>
        <v>0.55241409228400884</v>
      </c>
      <c r="R954">
        <f t="shared" si="151"/>
        <v>1.0767534304643809</v>
      </c>
      <c r="T954" s="21">
        <f>(M954-M953)/(H954-H953)</f>
        <v>4.8180421086463365E-4</v>
      </c>
      <c r="W954">
        <v>839</v>
      </c>
      <c r="X954">
        <v>18.016096000000001</v>
      </c>
      <c r="Y954">
        <v>1</v>
      </c>
      <c r="Z954">
        <f t="shared" si="148"/>
        <v>1</v>
      </c>
      <c r="AA954" s="21">
        <f>IF(X954&gt;$B$8+$B$9,0,ABS(X954-O954)/X954)</f>
        <v>2.7808334412392486E-3</v>
      </c>
      <c r="AB954">
        <f>IF(OR(Z951&lt;&gt;Z957,X954&gt;$B$8+$B$9),0,((X957-X951)/(W957-W951)-(O957-O951)/(W957-W951))^2)</f>
        <v>2.3644938960126177E-8</v>
      </c>
    </row>
    <row r="955" spans="7:28" x14ac:dyDescent="0.2">
      <c r="G955" s="21"/>
      <c r="H955" s="21">
        <v>840</v>
      </c>
      <c r="I955">
        <f t="shared" si="154"/>
        <v>7.9968935447272873E-3</v>
      </c>
      <c r="J955">
        <f t="shared" si="155"/>
        <v>0.55214783576265813</v>
      </c>
      <c r="K955">
        <f t="shared" si="149"/>
        <v>24.075631496402188</v>
      </c>
      <c r="L955">
        <f>0.5*Z955*K955/J955/$B$7</f>
        <v>21.801798302032235</v>
      </c>
      <c r="M955">
        <f t="shared" si="152"/>
        <v>0.59393945015137772</v>
      </c>
      <c r="N955" s="21">
        <f t="shared" si="156"/>
        <v>6.0296475411196371E-2</v>
      </c>
      <c r="O955" s="21">
        <f t="shared" si="157"/>
        <v>17.973993131307353</v>
      </c>
      <c r="P955">
        <f t="shared" si="153"/>
        <v>0.66384391195809189</v>
      </c>
      <c r="Q955">
        <f t="shared" si="150"/>
        <v>0.55214783576265813</v>
      </c>
      <c r="R955">
        <f t="shared" si="151"/>
        <v>1.0738452867191512</v>
      </c>
      <c r="T955" s="21">
        <f>(M955-M954)/(H955-H954)</f>
        <v>4.8210339275145397E-4</v>
      </c>
      <c r="W955">
        <v>840</v>
      </c>
      <c r="X955">
        <v>18.029076</v>
      </c>
      <c r="Y955">
        <v>1</v>
      </c>
      <c r="Z955">
        <f t="shared" si="148"/>
        <v>1</v>
      </c>
      <c r="AA955" s="21">
        <f>IF(X955&gt;$B$8+$B$9,0,ABS(X955-O955)/X955)</f>
        <v>3.0552241663769804E-3</v>
      </c>
      <c r="AB955">
        <f>IF(OR(Z952&lt;&gt;Z958,X955&gt;$B$8+$B$9),0,((X958-X952)/(W958-W952)-(O958-O952)/(W958-W952))^2)</f>
        <v>1.1283685678717688E-5</v>
      </c>
    </row>
    <row r="956" spans="7:28" x14ac:dyDescent="0.2">
      <c r="G956" s="21"/>
      <c r="H956" s="21">
        <v>841</v>
      </c>
      <c r="I956">
        <f t="shared" si="154"/>
        <v>7.9991758758116514E-3</v>
      </c>
      <c r="J956">
        <f t="shared" si="155"/>
        <v>0.55188154208326656</v>
      </c>
      <c r="K956">
        <f t="shared" si="149"/>
        <v>24.071584469165721</v>
      </c>
      <c r="L956">
        <f>0.5*Z956*K956/J956/$B$7</f>
        <v>21.808651525379208</v>
      </c>
      <c r="M956">
        <f t="shared" si="152"/>
        <v>0.59442185340965936</v>
      </c>
      <c r="N956" s="21">
        <f t="shared" si="156"/>
        <v>6.0316764086304792E-2</v>
      </c>
      <c r="O956" s="21">
        <f t="shared" si="157"/>
        <v>17.981992307183166</v>
      </c>
      <c r="P956">
        <f t="shared" si="153"/>
        <v>0.66423863470808242</v>
      </c>
      <c r="Q956">
        <f t="shared" si="150"/>
        <v>0.55188154208326656</v>
      </c>
      <c r="R956">
        <f t="shared" si="151"/>
        <v>1.0709524069710583</v>
      </c>
      <c r="T956" s="21">
        <f>(M956-M955)/(H956-H955)</f>
        <v>4.8240325828163844E-4</v>
      </c>
      <c r="W956">
        <v>841</v>
      </c>
      <c r="X956">
        <v>18.027453999999999</v>
      </c>
      <c r="Y956">
        <v>1</v>
      </c>
      <c r="Z956">
        <f t="shared" si="148"/>
        <v>1</v>
      </c>
      <c r="AA956" s="21">
        <f>IF(X956&gt;$B$8+$B$9,0,ABS(X956-O956)/X956)</f>
        <v>2.5218032905163852E-3</v>
      </c>
      <c r="AB956">
        <f>IF(OR(Z953&lt;&gt;Z959,X956&gt;$B$8+$B$9),0,((X959-X953)/(W959-W953)-(O959-O953)/(W959-W953))^2)</f>
        <v>4.2619074698397587E-7</v>
      </c>
    </row>
    <row r="957" spans="7:28" x14ac:dyDescent="0.2">
      <c r="G957" s="21"/>
      <c r="H957" s="21">
        <v>842</v>
      </c>
      <c r="I957">
        <f t="shared" si="154"/>
        <v>8.0014673462430672E-3</v>
      </c>
      <c r="J957">
        <f t="shared" si="155"/>
        <v>0.5516152110454916</v>
      </c>
      <c r="K957">
        <f t="shared" si="149"/>
        <v>24.067543441467432</v>
      </c>
      <c r="L957">
        <f>0.5*Z957*K957/J957/$B$7</f>
        <v>21.815518281168814</v>
      </c>
      <c r="M957">
        <f t="shared" si="152"/>
        <v>0.59490455721860336</v>
      </c>
      <c r="N957" s="21">
        <f t="shared" si="156"/>
        <v>6.0337057926333842E-2</v>
      </c>
      <c r="O957" s="21">
        <f t="shared" si="157"/>
        <v>17.98999377452941</v>
      </c>
      <c r="P957">
        <f t="shared" si="153"/>
        <v>0.66463341283379151</v>
      </c>
      <c r="Q957">
        <f t="shared" si="150"/>
        <v>0.5516152110454916</v>
      </c>
      <c r="R957">
        <f t="shared" si="151"/>
        <v>1.0680746692851808</v>
      </c>
      <c r="T957" s="21">
        <f>(M957-M956)/(H957-H956)</f>
        <v>4.8270380894399612E-4</v>
      </c>
      <c r="W957">
        <v>842</v>
      </c>
      <c r="X957">
        <v>18.038810999999999</v>
      </c>
      <c r="Y957">
        <v>1</v>
      </c>
      <c r="Z957">
        <f t="shared" si="148"/>
        <v>1</v>
      </c>
      <c r="AA957" s="21">
        <f>IF(X957&gt;$B$8+$B$9,0,ABS(X957-O957)/X957)</f>
        <v>2.7062329923291189E-3</v>
      </c>
      <c r="AB957">
        <f>IF(OR(Z954&lt;&gt;Z960,X957&gt;$B$8+$B$9),0,((X960-X954)/(W960-W954)-(O960-O954)/(W960-W954))^2)</f>
        <v>1.2034851479187241E-8</v>
      </c>
    </row>
    <row r="958" spans="7:28" x14ac:dyDescent="0.2">
      <c r="G958" s="21"/>
      <c r="H958" s="21">
        <v>843</v>
      </c>
      <c r="I958">
        <f t="shared" si="154"/>
        <v>8.0037679662826443E-3</v>
      </c>
      <c r="J958">
        <f t="shared" si="155"/>
        <v>0.55134884244884352</v>
      </c>
      <c r="K958">
        <f t="shared" si="149"/>
        <v>24.063508405296641</v>
      </c>
      <c r="L958">
        <f>0.5*Z958*K958/J958/$B$7</f>
        <v>21.822398591078347</v>
      </c>
      <c r="M958">
        <f t="shared" si="152"/>
        <v>0.59538756226483802</v>
      </c>
      <c r="N958" s="21">
        <f t="shared" si="156"/>
        <v>6.0357356966849213E-2</v>
      </c>
      <c r="O958" s="21">
        <f t="shared" si="157"/>
        <v>17.997997542495693</v>
      </c>
      <c r="P958">
        <f t="shared" si="153"/>
        <v>0.66502824663240179</v>
      </c>
      <c r="Q958">
        <f t="shared" si="150"/>
        <v>0.55134884244884352</v>
      </c>
      <c r="R958">
        <f t="shared" si="151"/>
        <v>1.0652119530211288</v>
      </c>
      <c r="T958" s="21">
        <f>(M958-M957)/(H958-H957)</f>
        <v>4.8300504623466356E-4</v>
      </c>
      <c r="W958">
        <v>843</v>
      </c>
      <c r="X958">
        <v>18.061525</v>
      </c>
      <c r="Y958">
        <v>1</v>
      </c>
      <c r="Z958">
        <f t="shared" ref="Z958:Z1021" si="158">Y958</f>
        <v>1</v>
      </c>
      <c r="AA958" s="21">
        <f>IF(X958&gt;$B$8+$B$9,0,ABS(X958-O958)/X958)</f>
        <v>3.5172809330500606E-3</v>
      </c>
      <c r="AB958">
        <f>IF(OR(Z955&lt;&gt;Z961,X958&gt;$B$8+$B$9),0,((X961-X955)/(W961-W955)-(O961-O955)/(W961-W955))^2)</f>
        <v>8.4406773479297779E-7</v>
      </c>
    </row>
    <row r="959" spans="7:28" x14ac:dyDescent="0.2">
      <c r="G959" s="21"/>
      <c r="H959" s="21">
        <v>844</v>
      </c>
      <c r="I959">
        <f t="shared" si="154"/>
        <v>8.0060777462630274E-3</v>
      </c>
      <c r="J959">
        <f t="shared" si="155"/>
        <v>0.5510824360926847</v>
      </c>
      <c r="K959">
        <f t="shared" si="149"/>
        <v>24.059479352672486</v>
      </c>
      <c r="L959">
        <f>0.5*Z959*K959/J959/$B$7</f>
        <v>21.829292476875459</v>
      </c>
      <c r="M959">
        <f t="shared" si="152"/>
        <v>0.59587086923649246</v>
      </c>
      <c r="N959" s="21">
        <f t="shared" si="156"/>
        <v>6.0377661243472061E-2</v>
      </c>
      <c r="O959" s="21">
        <f t="shared" si="157"/>
        <v>18.006003620241955</v>
      </c>
      <c r="P959">
        <f t="shared" si="153"/>
        <v>0.66542313640131512</v>
      </c>
      <c r="Q959">
        <f t="shared" si="150"/>
        <v>0.5510824360926847</v>
      </c>
      <c r="R959">
        <f t="shared" si="151"/>
        <v>1.0623641388159049</v>
      </c>
      <c r="T959" s="21">
        <f>(M959-M958)/(H959-H958)</f>
        <v>4.8330697165444025E-4</v>
      </c>
      <c r="W959">
        <v>844</v>
      </c>
      <c r="X959">
        <v>18.056657999999999</v>
      </c>
      <c r="Y959">
        <v>1</v>
      </c>
      <c r="Z959">
        <f t="shared" si="158"/>
        <v>1</v>
      </c>
      <c r="AA959" s="21">
        <f>IF(X959&gt;$B$8+$B$9,0,ABS(X959-O959)/X959)</f>
        <v>2.8053020530179745E-3</v>
      </c>
      <c r="AB959">
        <f>IF(OR(Z956&lt;&gt;Z962,X959&gt;$B$8+$B$9),0,((X962-X956)/(W962-W956)-(O962-O956)/(W962-W956))^2)</f>
        <v>6.4452543268929308E-6</v>
      </c>
    </row>
    <row r="960" spans="7:28" x14ac:dyDescent="0.2">
      <c r="G960" s="21"/>
      <c r="H960" s="21">
        <v>845</v>
      </c>
      <c r="I960">
        <f t="shared" si="154"/>
        <v>8.0083966965885465E-3</v>
      </c>
      <c r="J960">
        <f t="shared" si="155"/>
        <v>0.55081599177622709</v>
      </c>
      <c r="K960">
        <f t="shared" si="149"/>
        <v>24.05545627564382</v>
      </c>
      <c r="L960">
        <f>0.5*Z960*K960/J960/$B$7</f>
        <v>21.836199960418469</v>
      </c>
      <c r="M960">
        <f t="shared" si="152"/>
        <v>0.59635447882320525</v>
      </c>
      <c r="N960" s="21">
        <f t="shared" si="156"/>
        <v>6.039797079187962E-2</v>
      </c>
      <c r="O960" s="21">
        <f t="shared" si="157"/>
        <v>18.014012016938544</v>
      </c>
      <c r="P960">
        <f t="shared" si="153"/>
        <v>0.6658180824381561</v>
      </c>
      <c r="Q960">
        <f t="shared" si="150"/>
        <v>0.55081599177622709</v>
      </c>
      <c r="R960">
        <f t="shared" si="151"/>
        <v>1.0595311085670231</v>
      </c>
      <c r="T960" s="21">
        <f>(M960-M959)/(H960-H959)</f>
        <v>4.8360958671278542E-4</v>
      </c>
      <c r="W960">
        <v>845</v>
      </c>
      <c r="X960">
        <v>18.064769999999999</v>
      </c>
      <c r="Y960">
        <v>1</v>
      </c>
      <c r="Z960">
        <f t="shared" si="158"/>
        <v>1</v>
      </c>
      <c r="AA960" s="21">
        <f>IF(X960&gt;$B$8+$B$9,0,ABS(X960-O960)/X960)</f>
        <v>2.809777432065578E-3</v>
      </c>
      <c r="AB960">
        <f>IF(OR(Z957&lt;&gt;Z963,X960&gt;$B$8+$B$9),0,((X963-X957)/(W963-W957)-(O963-O957)/(W963-W957))^2)</f>
        <v>2.1163275974335246E-6</v>
      </c>
    </row>
    <row r="961" spans="7:28" x14ac:dyDescent="0.2">
      <c r="G961" s="21"/>
      <c r="H961" s="21">
        <v>846</v>
      </c>
      <c r="I961">
        <f t="shared" si="154"/>
        <v>8.0107248277353684E-3</v>
      </c>
      <c r="J961">
        <f t="shared" si="155"/>
        <v>0.55054950929853275</v>
      </c>
      <c r="K961">
        <f t="shared" si="149"/>
        <v>24.051439166289175</v>
      </c>
      <c r="L961">
        <f>0.5*Z961*K961/J961/$B$7</f>
        <v>21.843121063656604</v>
      </c>
      <c r="M961">
        <f t="shared" si="152"/>
        <v>0.59683839171612685</v>
      </c>
      <c r="N961" s="21">
        <f t="shared" si="156"/>
        <v>6.0418285647805263E-2</v>
      </c>
      <c r="O961" s="21">
        <f t="shared" si="157"/>
        <v>18.022022741766278</v>
      </c>
      <c r="P961">
        <f t="shared" si="153"/>
        <v>0.66621308504077192</v>
      </c>
      <c r="Q961">
        <f t="shared" si="150"/>
        <v>0.55054950929853275</v>
      </c>
      <c r="R961">
        <f t="shared" si="151"/>
        <v>1.0567127454159206</v>
      </c>
      <c r="T961" s="21">
        <f>(M961-M960)/(H961-H960)</f>
        <v>4.8391289292160078E-4</v>
      </c>
      <c r="W961">
        <v>846</v>
      </c>
      <c r="X961">
        <v>18.082618</v>
      </c>
      <c r="Y961">
        <v>1</v>
      </c>
      <c r="Z961">
        <f t="shared" si="158"/>
        <v>1</v>
      </c>
      <c r="AA961" s="21">
        <f>IF(X961&gt;$B$8+$B$9,0,ABS(X961-O961)/X961)</f>
        <v>3.3510224146592986E-3</v>
      </c>
      <c r="AB961">
        <f>IF(OR(Z958&lt;&gt;Z964,X961&gt;$B$8+$B$9),0,((X964-X958)/(W964-W958)-(O964-O958)/(W964-W958))^2)</f>
        <v>1.5664335173064329E-6</v>
      </c>
    </row>
    <row r="962" spans="7:28" x14ac:dyDescent="0.2">
      <c r="G962" s="21"/>
      <c r="H962" s="21">
        <v>847</v>
      </c>
      <c r="I962">
        <f t="shared" si="154"/>
        <v>8.0130621502516527E-3</v>
      </c>
      <c r="J962">
        <f t="shared" si="155"/>
        <v>0.55028298845851054</v>
      </c>
      <c r="K962">
        <f t="shared" si="149"/>
        <v>24.047428016716637</v>
      </c>
      <c r="L962">
        <f>0.5*Z962*K962/J962/$B$7</f>
        <v>21.850055808630302</v>
      </c>
      <c r="M962">
        <f t="shared" si="152"/>
        <v>0.59732260860792963</v>
      </c>
      <c r="N962" s="21">
        <f t="shared" si="156"/>
        <v>6.043860584703914E-2</v>
      </c>
      <c r="O962" s="21">
        <f t="shared" si="157"/>
        <v>18.03003580391653</v>
      </c>
      <c r="P962">
        <f t="shared" si="153"/>
        <v>0.66660814450723682</v>
      </c>
      <c r="Q962">
        <f t="shared" si="150"/>
        <v>0.55028298845851054</v>
      </c>
      <c r="R962">
        <f t="shared" si="151"/>
        <v>1.0539089337315959</v>
      </c>
      <c r="T962" s="21">
        <f>(M962-M961)/(H962-H961)</f>
        <v>4.8421689180278005E-4</v>
      </c>
      <c r="W962">
        <v>847</v>
      </c>
      <c r="X962">
        <v>18.090730000000001</v>
      </c>
      <c r="Y962">
        <v>1</v>
      </c>
      <c r="Z962">
        <f t="shared" si="158"/>
        <v>1</v>
      </c>
      <c r="AA962" s="21">
        <f>IF(X962&gt;$B$8+$B$9,0,ABS(X962-O962)/X962)</f>
        <v>3.3549887751058711E-3</v>
      </c>
      <c r="AB962">
        <f>IF(OR(Z959&lt;&gt;Z965,X962&gt;$B$8+$B$9),0,((X965-X959)/(W965-W959)-(O965-O959)/(W965-W959))^2)</f>
        <v>6.4106137095856824E-6</v>
      </c>
    </row>
    <row r="963" spans="7:28" x14ac:dyDescent="0.2">
      <c r="G963" s="21"/>
      <c r="H963" s="21">
        <v>848</v>
      </c>
      <c r="I963">
        <f t="shared" si="154"/>
        <v>8.0154086747577114E-3</v>
      </c>
      <c r="J963">
        <f t="shared" si="155"/>
        <v>0.55001642905491566</v>
      </c>
      <c r="K963">
        <f t="shared" ref="K963:K1026" si="159">IF(O963&lt;$B$8+$B$9,0.5*(($B$8+$B$9)^2+O963^2)/O963-$B$9,$B$8)</f>
        <v>24.043422819063817</v>
      </c>
      <c r="L963">
        <f>0.5*Z963*K963/J963/$B$7</f>
        <v>21.857004217471506</v>
      </c>
      <c r="M963">
        <f t="shared" si="152"/>
        <v>0.59780713019281262</v>
      </c>
      <c r="N963" s="21">
        <f t="shared" si="156"/>
        <v>6.0458931425428478E-2</v>
      </c>
      <c r="O963" s="21">
        <f t="shared" si="157"/>
        <v>18.038051212591288</v>
      </c>
      <c r="P963">
        <f t="shared" si="153"/>
        <v>0.66700326113585218</v>
      </c>
      <c r="Q963">
        <f t="shared" ref="Q963:Q1026" si="160">1-B$15*P963</f>
        <v>0.55001642905491566</v>
      </c>
      <c r="R963">
        <f t="shared" ref="R963:R1026" si="161">$E$15/(P963+$E$16)</f>
        <v>1.0511195590945386</v>
      </c>
      <c r="T963" s="21">
        <f>(M963-M962)/(H963-H962)</f>
        <v>4.8452158488299091E-4</v>
      </c>
      <c r="W963">
        <v>848</v>
      </c>
      <c r="X963">
        <v>18.095596999999998</v>
      </c>
      <c r="Y963">
        <v>1</v>
      </c>
      <c r="Z963">
        <f t="shared" si="158"/>
        <v>1</v>
      </c>
      <c r="AA963" s="21">
        <f>IF(X963&gt;$B$8+$B$9,0,ABS(X963-O963)/X963)</f>
        <v>3.1800988609941953E-3</v>
      </c>
      <c r="AB963">
        <f>IF(OR(Z960&lt;&gt;Z966,X963&gt;$B$8+$B$9),0,((X966-X960)/(W966-W960)-(O966-O960)/(W966-W960))^2)</f>
        <v>7.8394465386455601E-6</v>
      </c>
    </row>
    <row r="964" spans="7:28" x14ac:dyDescent="0.2">
      <c r="G964" s="21"/>
      <c r="H964" s="21">
        <v>849</v>
      </c>
      <c r="I964">
        <f t="shared" si="154"/>
        <v>8.0177644119461648E-3</v>
      </c>
      <c r="J964">
        <f t="shared" si="155"/>
        <v>0.54974983088634888</v>
      </c>
      <c r="K964">
        <f t="shared" si="159"/>
        <v>24.039423565497756</v>
      </c>
      <c r="L964">
        <f>0.5*Z964*K964/J964/$B$7</f>
        <v>21.86396631240391</v>
      </c>
      <c r="M964">
        <f t="shared" ref="M964:M1027" si="162">-LN(J964)</f>
        <v>0.59829195716650641</v>
      </c>
      <c r="N964" s="21">
        <f t="shared" si="156"/>
        <v>6.0479262418877883E-2</v>
      </c>
      <c r="O964" s="21">
        <f t="shared" si="157"/>
        <v>18.046068977003234</v>
      </c>
      <c r="P964">
        <f t="shared" ref="P964:P1027" si="163">MIN(O964/(K964+$B$9),1)</f>
        <v>0.66739843522514941</v>
      </c>
      <c r="Q964">
        <f t="shared" si="160"/>
        <v>0.54974983088634888</v>
      </c>
      <c r="R964">
        <f t="shared" si="161"/>
        <v>1.0483445082808889</v>
      </c>
      <c r="T964" s="21">
        <f>(M964-M963)/(H964-H963)</f>
        <v>4.8482697369378602E-4</v>
      </c>
      <c r="W964">
        <v>849</v>
      </c>
      <c r="X964">
        <v>18.102087000000001</v>
      </c>
      <c r="Y964">
        <v>1</v>
      </c>
      <c r="Z964">
        <f t="shared" si="158"/>
        <v>1</v>
      </c>
      <c r="AA964" s="21">
        <f>IF(X964&gt;$B$8+$B$9,0,ABS(X964-O964)/X964)</f>
        <v>3.0945615826930375E-3</v>
      </c>
      <c r="AB964">
        <f>IF(OR(Z961&lt;&gt;Z967,X964&gt;$B$8+$B$9),0,((X967-X961)/(W967-W961)-(O967-O961)/(W967-W961))^2)</f>
        <v>2.0891063926981694E-6</v>
      </c>
    </row>
    <row r="965" spans="7:28" x14ac:dyDescent="0.2">
      <c r="G965" s="21"/>
      <c r="H965" s="21">
        <v>850</v>
      </c>
      <c r="I965">
        <f t="shared" ref="I965:I1028" si="164">IF(P964&lt;0.999,MAX(0,MIN(10000000,(L964/$E$8/M964^$E$10)^(1/$E$9)/N964)),0.1)</f>
        <v>8.020129372582091E-3</v>
      </c>
      <c r="J965">
        <f t="shared" ref="J965:J1028" si="165">Q965</f>
        <v>0.54948319375125365</v>
      </c>
      <c r="K965">
        <f t="shared" si="159"/>
        <v>24.035430248214851</v>
      </c>
      <c r="L965">
        <f>0.5*Z965*K965/J965/$B$7</f>
        <v>21.870942115743293</v>
      </c>
      <c r="M965">
        <f t="shared" si="162"/>
        <v>0.59877709022628256</v>
      </c>
      <c r="N965" s="21">
        <f t="shared" ref="N965:N1028" si="166">-$B$15*(O965-2*(K965+$B$9))/(K965+$B$9)^2/J965</f>
        <v>6.0499598863349838E-2</v>
      </c>
      <c r="O965" s="21">
        <f t="shared" ref="O965:O1028" si="167">O964+I965*(H965-H964)</f>
        <v>18.054089106375816</v>
      </c>
      <c r="P965">
        <f t="shared" si="163"/>
        <v>0.66779366707389198</v>
      </c>
      <c r="Q965">
        <f t="shared" si="160"/>
        <v>0.54948319375125365</v>
      </c>
      <c r="R965">
        <f t="shared" si="161"/>
        <v>1.0455836692468519</v>
      </c>
      <c r="T965" s="21">
        <f>(M965-M964)/(H965-H964)</f>
        <v>4.8513305977615495E-4</v>
      </c>
      <c r="W965">
        <v>850</v>
      </c>
      <c r="X965">
        <v>18.119934999999998</v>
      </c>
      <c r="Y965">
        <v>1</v>
      </c>
      <c r="Z965">
        <f t="shared" si="158"/>
        <v>1</v>
      </c>
      <c r="AA965" s="21">
        <f>IF(X965&gt;$B$8+$B$9,0,ABS(X965-O965)/X965)</f>
        <v>3.633892374568791E-3</v>
      </c>
      <c r="AB965">
        <f>IF(OR(Z962&lt;&gt;Z968,X965&gt;$B$8+$B$9),0,((X968-X962)/(W968-W962)-(O968-O962)/(W968-W962))^2)</f>
        <v>3.2158814823093484E-8</v>
      </c>
    </row>
    <row r="966" spans="7:28" x14ac:dyDescent="0.2">
      <c r="G966" s="21"/>
      <c r="H966" s="21">
        <v>851</v>
      </c>
      <c r="I966">
        <f t="shared" si="164"/>
        <v>8.0225035675032426E-3</v>
      </c>
      <c r="J966">
        <f t="shared" si="165"/>
        <v>0.54921651744791622</v>
      </c>
      <c r="K966">
        <f t="shared" si="159"/>
        <v>24.031442859440773</v>
      </c>
      <c r="L966">
        <f>0.5*Z966*K966/J966/$B$7</f>
        <v>21.87793164989775</v>
      </c>
      <c r="M966">
        <f t="shared" si="162"/>
        <v>0.59926253007095731</v>
      </c>
      <c r="N966" s="21">
        <f t="shared" si="166"/>
        <v>6.0519940794865015E-2</v>
      </c>
      <c r="O966" s="21">
        <f t="shared" si="167"/>
        <v>18.062111609943319</v>
      </c>
      <c r="P966">
        <f t="shared" si="163"/>
        <v>0.66818895698107728</v>
      </c>
      <c r="Q966">
        <f t="shared" si="160"/>
        <v>0.54921651744791622</v>
      </c>
      <c r="R966">
        <f t="shared" si="161"/>
        <v>1.042836931113357</v>
      </c>
      <c r="T966" s="21">
        <f>(M966-M965)/(H966-H965)</f>
        <v>4.8543984467475099E-4</v>
      </c>
      <c r="W966">
        <v>851</v>
      </c>
      <c r="X966">
        <v>18.129669</v>
      </c>
      <c r="Y966">
        <v>1</v>
      </c>
      <c r="Z966">
        <f t="shared" si="158"/>
        <v>1</v>
      </c>
      <c r="AA966" s="21">
        <f>IF(X966&gt;$B$8+$B$9,0,ABS(X966-O966)/X966)</f>
        <v>3.7263443726788968E-3</v>
      </c>
      <c r="AB966">
        <f>IF(OR(Z963&lt;&gt;Z969,X966&gt;$B$8+$B$9),0,((X969-X963)/(W969-W963)-(O969-O963)/(W969-W963))^2)</f>
        <v>1.1113060384353984E-5</v>
      </c>
    </row>
    <row r="967" spans="7:28" x14ac:dyDescent="0.2">
      <c r="G967" s="21"/>
      <c r="H967" s="21">
        <v>852</v>
      </c>
      <c r="I967">
        <f t="shared" si="164"/>
        <v>8.0248870076201056E-3</v>
      </c>
      <c r="J967">
        <f t="shared" si="165"/>
        <v>0.54894980177446295</v>
      </c>
      <c r="K967">
        <f t="shared" si="159"/>
        <v>24.027461391430418</v>
      </c>
      <c r="L967">
        <f>0.5*Z967*K967/J967/$B$7</f>
        <v>21.884934937368048</v>
      </c>
      <c r="M967">
        <f t="shared" si="162"/>
        <v>0.59974827740089987</v>
      </c>
      <c r="N967" s="21">
        <f t="shared" si="166"/>
        <v>6.0540288249502743E-2</v>
      </c>
      <c r="O967" s="21">
        <f t="shared" si="167"/>
        <v>18.070136496950941</v>
      </c>
      <c r="P967">
        <f t="shared" si="163"/>
        <v>0.66858430524593881</v>
      </c>
      <c r="Q967">
        <f t="shared" si="160"/>
        <v>0.54894980177446295</v>
      </c>
      <c r="R967">
        <f t="shared" si="161"/>
        <v>1.0401041841509517</v>
      </c>
      <c r="T967" s="21">
        <f>(M967-M966)/(H967-H966)</f>
        <v>4.857473299425541E-4</v>
      </c>
      <c r="W967">
        <v>852</v>
      </c>
      <c r="X967">
        <v>18.139403999999999</v>
      </c>
      <c r="Y967">
        <v>1</v>
      </c>
      <c r="Z967">
        <f t="shared" si="158"/>
        <v>1</v>
      </c>
      <c r="AA967" s="21">
        <f>IF(X967&gt;$B$8+$B$9,0,ABS(X967-O967)/X967)</f>
        <v>3.8186206696238963E-3</v>
      </c>
      <c r="AB967">
        <f>IF(OR(Z964&lt;&gt;Z970,X967&gt;$B$8+$B$9),0,((X970-X964)/(W970-W964)-(O970-O964)/(W970-W964))^2)</f>
        <v>5.060569512757902E-6</v>
      </c>
    </row>
    <row r="968" spans="7:28" x14ac:dyDescent="0.2">
      <c r="G968" s="21"/>
      <c r="H968" s="21">
        <v>853</v>
      </c>
      <c r="I968">
        <f t="shared" si="164"/>
        <v>8.0272797039161944E-3</v>
      </c>
      <c r="J968">
        <f t="shared" si="165"/>
        <v>0.54868304652886013</v>
      </c>
      <c r="K968">
        <f t="shared" si="159"/>
        <v>24.023485836467806</v>
      </c>
      <c r="L968">
        <f>0.5*Z968*K968/J968/$B$7</f>
        <v>21.891952000747846</v>
      </c>
      <c r="M968">
        <f t="shared" si="162"/>
        <v>0.60023433291803729</v>
      </c>
      <c r="N968" s="21">
        <f t="shared" si="166"/>
        <v>6.0560641263401292E-2</v>
      </c>
      <c r="O968" s="21">
        <f t="shared" si="167"/>
        <v>18.078163776654858</v>
      </c>
      <c r="P968">
        <f t="shared" si="163"/>
        <v>0.66897971216794816</v>
      </c>
      <c r="Q968">
        <f t="shared" si="160"/>
        <v>0.54868304652886013</v>
      </c>
      <c r="R968">
        <f t="shared" si="161"/>
        <v>1.0373853197649343</v>
      </c>
      <c r="T968" s="21">
        <f>(M968-M967)/(H968-H967)</f>
        <v>4.8605551713742923E-4</v>
      </c>
      <c r="W968">
        <v>853</v>
      </c>
      <c r="X968">
        <v>18.137781999999998</v>
      </c>
      <c r="Y968">
        <v>1</v>
      </c>
      <c r="Z968">
        <f t="shared" si="158"/>
        <v>1</v>
      </c>
      <c r="AA968" s="21">
        <f>IF(X968&gt;$B$8+$B$9,0,ABS(X968-O968)/X968)</f>
        <v>3.2869632761679526E-3</v>
      </c>
      <c r="AB968">
        <f>IF(OR(Z965&lt;&gt;Z971,X968&gt;$B$8+$B$9),0,((X971-X965)/(W971-W965)-(O971-O965)/(W971-W965))^2)</f>
        <v>1.3584064518010475E-6</v>
      </c>
    </row>
    <row r="969" spans="7:28" x14ac:dyDescent="0.2">
      <c r="G969" s="21"/>
      <c r="H969" s="21">
        <v>854</v>
      </c>
      <c r="I969">
        <f t="shared" si="164"/>
        <v>8.029681667448078E-3</v>
      </c>
      <c r="J969">
        <f t="shared" si="165"/>
        <v>0.54841625150891193</v>
      </c>
      <c r="K969">
        <f t="shared" si="159"/>
        <v>24.019516186866046</v>
      </c>
      <c r="L969">
        <f>0.5*Z969*K969/J969/$B$7</f>
        <v>21.898982862724047</v>
      </c>
      <c r="M969">
        <f t="shared" si="162"/>
        <v>0.60072069732586175</v>
      </c>
      <c r="N969" s="21">
        <f t="shared" si="166"/>
        <v>6.0580999872758313E-2</v>
      </c>
      <c r="O969" s="21">
        <f t="shared" si="167"/>
        <v>18.086193458322306</v>
      </c>
      <c r="P969">
        <f t="shared" si="163"/>
        <v>0.66937517804681679</v>
      </c>
      <c r="Q969">
        <f t="shared" si="160"/>
        <v>0.54841625150891193</v>
      </c>
      <c r="R969">
        <f t="shared" si="161"/>
        <v>1.0346802304807146</v>
      </c>
      <c r="T969" s="21">
        <f>(M969-M968)/(H969-H968)</f>
        <v>4.8636440782445778E-4</v>
      </c>
      <c r="W969">
        <v>854</v>
      </c>
      <c r="X969">
        <v>18.163740999999998</v>
      </c>
      <c r="Y969">
        <v>1</v>
      </c>
      <c r="Z969">
        <f t="shared" si="158"/>
        <v>1</v>
      </c>
      <c r="AA969" s="21">
        <f>IF(X969&gt;$B$8+$B$9,0,ABS(X969-O969)/X969)</f>
        <v>4.269359581690362E-3</v>
      </c>
      <c r="AB969">
        <f>IF(OR(Z966&lt;&gt;Z972,X969&gt;$B$8+$B$9),0,((X972-X966)/(W972-W966)-(O972-O966)/(W972-W966))^2)</f>
        <v>3.8742366892867917E-7</v>
      </c>
    </row>
    <row r="970" spans="7:28" x14ac:dyDescent="0.2">
      <c r="G970" s="21"/>
      <c r="H970" s="21">
        <v>855</v>
      </c>
      <c r="I970">
        <f t="shared" si="164"/>
        <v>8.0320929093456988E-3</v>
      </c>
      <c r="J970">
        <f t="shared" si="165"/>
        <v>0.54814941651225901</v>
      </c>
      <c r="K970">
        <f t="shared" si="159"/>
        <v>24.015552434967208</v>
      </c>
      <c r="L970">
        <f>0.5*Z970*K970/J970/$B$7</f>
        <v>21.906027546077041</v>
      </c>
      <c r="M970">
        <f t="shared" si="162"/>
        <v>0.60120737132943725</v>
      </c>
      <c r="N970" s="21">
        <f t="shared" si="166"/>
        <v>6.0601364113831241E-2</v>
      </c>
      <c r="O970" s="21">
        <f t="shared" si="167"/>
        <v>18.094225551231652</v>
      </c>
      <c r="P970">
        <f t="shared" si="163"/>
        <v>0.66977070318249865</v>
      </c>
      <c r="Q970">
        <f t="shared" si="160"/>
        <v>0.54814941651225901</v>
      </c>
      <c r="R970">
        <f t="shared" si="161"/>
        <v>1.0319888099293979</v>
      </c>
      <c r="T970" s="21">
        <f>(M970-M969)/(H970-H969)</f>
        <v>4.8667400357549351E-4</v>
      </c>
      <c r="W970">
        <v>855</v>
      </c>
      <c r="X970">
        <v>18.163740999999998</v>
      </c>
      <c r="Y970">
        <v>1</v>
      </c>
      <c r="Z970">
        <f t="shared" si="158"/>
        <v>1</v>
      </c>
      <c r="AA970" s="21">
        <f>IF(X970&gt;$B$8+$B$9,0,ABS(X970-O970)/X970)</f>
        <v>3.8271548117948854E-3</v>
      </c>
      <c r="AB970">
        <f>IF(OR(Z967&lt;&gt;Z973,X970&gt;$B$8+$B$9),0,((X973-X967)/(W973-W967)-(O973-O967)/(W973-W967))^2)</f>
        <v>7.9272507762530488E-7</v>
      </c>
    </row>
    <row r="971" spans="7:28" x14ac:dyDescent="0.2">
      <c r="G971" s="21"/>
      <c r="H971" s="21">
        <v>856</v>
      </c>
      <c r="I971">
        <f t="shared" si="164"/>
        <v>8.0345134408123797E-3</v>
      </c>
      <c r="J971">
        <f t="shared" si="165"/>
        <v>0.54788254133637748</v>
      </c>
      <c r="K971">
        <f t="shared" si="159"/>
        <v>24.011594573142325</v>
      </c>
      <c r="L971">
        <f>0.5*Z971*K971/J971/$B$7</f>
        <v>21.913086073681061</v>
      </c>
      <c r="M971">
        <f t="shared" si="162"/>
        <v>0.60169435563540508</v>
      </c>
      <c r="N971" s="21">
        <f t="shared" si="166"/>
        <v>6.0621734022937621E-2</v>
      </c>
      <c r="O971" s="21">
        <f t="shared" si="167"/>
        <v>18.102260064672464</v>
      </c>
      <c r="P971">
        <f t="shared" si="163"/>
        <v>0.67016628787519161</v>
      </c>
      <c r="Q971">
        <f t="shared" si="160"/>
        <v>0.54788254133637748</v>
      </c>
      <c r="R971">
        <f t="shared" si="161"/>
        <v>1.0293109528335975</v>
      </c>
      <c r="T971" s="21">
        <f>(M971-M970)/(H971-H970)</f>
        <v>4.8698430596783027E-4</v>
      </c>
      <c r="W971">
        <v>856</v>
      </c>
      <c r="X971">
        <v>18.175098999999999</v>
      </c>
      <c r="Y971">
        <v>1</v>
      </c>
      <c r="Z971">
        <f t="shared" si="158"/>
        <v>1</v>
      </c>
      <c r="AA971" s="21">
        <f>IF(X971&gt;$B$8+$B$9,0,ABS(X971-O971)/X971)</f>
        <v>4.0076224799400206E-3</v>
      </c>
      <c r="AB971">
        <f>IF(OR(Z968&lt;&gt;Z974,X971&gt;$B$8+$B$9),0,((X974-X968)/(W974-W968)-(O974-O968)/(W974-W968))^2)</f>
        <v>2.0408767243299338E-6</v>
      </c>
    </row>
    <row r="972" spans="7:28" x14ac:dyDescent="0.2">
      <c r="G972" s="21"/>
      <c r="H972" s="21">
        <v>857</v>
      </c>
      <c r="I972">
        <f t="shared" si="164"/>
        <v>8.0369432731251592E-3</v>
      </c>
      <c r="J972">
        <f t="shared" si="165"/>
        <v>0.54761562577857692</v>
      </c>
      <c r="K972">
        <f t="shared" si="159"/>
        <v>24.007642593791246</v>
      </c>
      <c r="L972">
        <f>0.5*Z972*K972/J972/$B$7</f>
        <v>21.920158468504425</v>
      </c>
      <c r="M972">
        <f t="shared" si="162"/>
        <v>0.60218165095199194</v>
      </c>
      <c r="N972" s="21">
        <f t="shared" si="166"/>
        <v>6.0642109636455624E-2</v>
      </c>
      <c r="O972" s="21">
        <f t="shared" si="167"/>
        <v>18.11029700794559</v>
      </c>
      <c r="P972">
        <f t="shared" si="163"/>
        <v>0.67056193242534035</v>
      </c>
      <c r="Q972">
        <f t="shared" si="160"/>
        <v>0.54761562577857692</v>
      </c>
      <c r="R972">
        <f t="shared" si="161"/>
        <v>1.0266465549934567</v>
      </c>
      <c r="T972" s="21">
        <f>(M972-M971)/(H972-H971)</f>
        <v>4.8729531658686653E-4</v>
      </c>
      <c r="W972">
        <v>857</v>
      </c>
      <c r="X972">
        <v>18.181588999999999</v>
      </c>
      <c r="Y972">
        <v>1</v>
      </c>
      <c r="Z972">
        <f t="shared" si="158"/>
        <v>1</v>
      </c>
      <c r="AA972" s="21">
        <f>IF(X972&gt;$B$8+$B$9,0,ABS(X972-O972)/X972)</f>
        <v>3.9211089885712869E-3</v>
      </c>
      <c r="AB972">
        <f>IF(OR(Z969&lt;&gt;Z975,X972&gt;$B$8+$B$9),0,((X975-X969)/(W975-W969)-(O975-O969)/(W975-W969))^2)</f>
        <v>2.0344022374525535E-6</v>
      </c>
    </row>
    <row r="973" spans="7:28" x14ac:dyDescent="0.2">
      <c r="G973" s="21"/>
      <c r="H973" s="21">
        <v>858</v>
      </c>
      <c r="I973">
        <f t="shared" si="164"/>
        <v>8.0393824176348289E-3</v>
      </c>
      <c r="J973">
        <f t="shared" si="165"/>
        <v>0.54734866963599971</v>
      </c>
      <c r="K973">
        <f t="shared" si="159"/>
        <v>24.003696489342627</v>
      </c>
      <c r="L973">
        <f>0.5*Z973*K973/J973/$B$7</f>
        <v>21.927244753609862</v>
      </c>
      <c r="M973">
        <f t="shared" si="162"/>
        <v>0.60266925798901483</v>
      </c>
      <c r="N973" s="21">
        <f t="shared" si="166"/>
        <v>6.0662490990824339E-2</v>
      </c>
      <c r="O973" s="21">
        <f t="shared" si="167"/>
        <v>18.118336390363226</v>
      </c>
      <c r="P973">
        <f t="shared" si="163"/>
        <v>0.67095763713363732</v>
      </c>
      <c r="Q973">
        <f t="shared" si="160"/>
        <v>0.54734866963599971</v>
      </c>
      <c r="R973">
        <f t="shared" si="161"/>
        <v>1.0239955132728955</v>
      </c>
      <c r="T973" s="21">
        <f>(M973-M972)/(H973-H972)</f>
        <v>4.8760703702288577E-4</v>
      </c>
      <c r="W973">
        <v>858</v>
      </c>
      <c r="X973">
        <v>18.192945999999999</v>
      </c>
      <c r="Y973">
        <v>1</v>
      </c>
      <c r="Z973">
        <f t="shared" si="158"/>
        <v>1</v>
      </c>
      <c r="AA973" s="21">
        <f>IF(X973&gt;$B$8+$B$9,0,ABS(X973-O973)/X973)</f>
        <v>4.1010185836188187E-3</v>
      </c>
      <c r="AB973">
        <f>IF(OR(Z970&lt;&gt;Z976,X973&gt;$B$8+$B$9),0,((X976-X970)/(W976-W970)-(O976-O970)/(W976-W970))^2)</f>
        <v>7.7055148215786205E-6</v>
      </c>
    </row>
    <row r="974" spans="7:28" x14ac:dyDescent="0.2">
      <c r="G974" s="21"/>
      <c r="H974" s="21">
        <v>859</v>
      </c>
      <c r="I974">
        <f t="shared" si="164"/>
        <v>8.0418308857661963E-3</v>
      </c>
      <c r="J974">
        <f t="shared" si="165"/>
        <v>0.54708167270561914</v>
      </c>
      <c r="K974">
        <f t="shared" si="159"/>
        <v>23.999756252253817</v>
      </c>
      <c r="L974">
        <f>0.5*Z974*K974/J974/$B$7</f>
        <v>21.934344952154813</v>
      </c>
      <c r="M974">
        <f t="shared" si="162"/>
        <v>0.60315717745788888</v>
      </c>
      <c r="N974" s="21">
        <f t="shared" si="166"/>
        <v>6.0682878122544165E-2</v>
      </c>
      <c r="O974" s="21">
        <f t="shared" si="167"/>
        <v>18.126378221248991</v>
      </c>
      <c r="P974">
        <f t="shared" si="163"/>
        <v>0.67135340230102569</v>
      </c>
      <c r="Q974">
        <f t="shared" si="160"/>
        <v>0.54708167270561914</v>
      </c>
      <c r="R974">
        <f t="shared" si="161"/>
        <v>1.0213577255860573</v>
      </c>
      <c r="T974" s="21">
        <f>(M974-M973)/(H974-H973)</f>
        <v>4.8791946887405402E-4</v>
      </c>
      <c r="W974">
        <v>859</v>
      </c>
      <c r="X974">
        <v>18.194568</v>
      </c>
      <c r="Y974">
        <v>1</v>
      </c>
      <c r="Z974">
        <f t="shared" si="158"/>
        <v>1</v>
      </c>
      <c r="AA974" s="21">
        <f>IF(X974&gt;$B$8+$B$9,0,ABS(X974-O974)/X974)</f>
        <v>3.7478097172193837E-3</v>
      </c>
      <c r="AB974">
        <f>IF(OR(Z971&lt;&gt;Z977,X974&gt;$B$8+$B$9),0,((X977-X971)/(W977-W971)-(O977-O971)/(W977-W971))^2)</f>
        <v>6.2646473619654171E-6</v>
      </c>
    </row>
    <row r="975" spans="7:28" x14ac:dyDescent="0.2">
      <c r="G975" s="21"/>
      <c r="H975" s="21">
        <v>860</v>
      </c>
      <c r="I975">
        <f t="shared" si="164"/>
        <v>8.0442886890181881E-3</v>
      </c>
      <c r="J975">
        <f t="shared" si="165"/>
        <v>0.54681463478423808</v>
      </c>
      <c r="K975">
        <f t="shared" si="159"/>
        <v>23.995821875010822</v>
      </c>
      <c r="L975">
        <f>0.5*Z975*K975/J975/$B$7</f>
        <v>21.941459087391731</v>
      </c>
      <c r="M975">
        <f t="shared" si="162"/>
        <v>0.6036454100716333</v>
      </c>
      <c r="N975" s="21">
        <f t="shared" si="166"/>
        <v>6.0703271068177272E-2</v>
      </c>
      <c r="O975" s="21">
        <f t="shared" si="167"/>
        <v>18.134422509938009</v>
      </c>
      <c r="P975">
        <f t="shared" si="163"/>
        <v>0.6717492282287012</v>
      </c>
      <c r="Q975">
        <f t="shared" si="160"/>
        <v>0.54681463478423808</v>
      </c>
      <c r="R975">
        <f t="shared" si="161"/>
        <v>1.0187330908839671</v>
      </c>
      <c r="T975" s="21">
        <f>(M975-M974)/(H975-H974)</f>
        <v>4.8823261374442151E-4</v>
      </c>
      <c r="W975">
        <v>860</v>
      </c>
      <c r="X975">
        <v>18.220527999999998</v>
      </c>
      <c r="Y975">
        <v>1</v>
      </c>
      <c r="Z975">
        <f t="shared" si="158"/>
        <v>1</v>
      </c>
      <c r="AA975" s="21">
        <f>IF(X975&gt;$B$8+$B$9,0,ABS(X975-O975)/X975)</f>
        <v>4.7257406625092913E-3</v>
      </c>
      <c r="AB975">
        <f>IF(OR(Z972&lt;&gt;Z978,X975&gt;$B$8+$B$9),0,((X978-X972)/(W978-W972)-(O978-O972)/(W978-W972))^2)</f>
        <v>1.2831669182745664E-5</v>
      </c>
    </row>
    <row r="976" spans="7:28" x14ac:dyDescent="0.2">
      <c r="G976" s="21"/>
      <c r="H976" s="21">
        <v>861</v>
      </c>
      <c r="I976">
        <f t="shared" si="164"/>
        <v>8.046755838964104E-3</v>
      </c>
      <c r="J976">
        <f t="shared" si="165"/>
        <v>0.54654755566848801</v>
      </c>
      <c r="K976">
        <f t="shared" si="159"/>
        <v>23.991893350128219</v>
      </c>
      <c r="L976">
        <f>0.5*Z976*K976/J976/$B$7</f>
        <v>21.94858718266838</v>
      </c>
      <c r="M976">
        <f t="shared" si="162"/>
        <v>0.60413395654487767</v>
      </c>
      <c r="N976" s="21">
        <f t="shared" si="166"/>
        <v>6.0723669864347914E-2</v>
      </c>
      <c r="O976" s="21">
        <f t="shared" si="167"/>
        <v>18.142469265776974</v>
      </c>
      <c r="P976">
        <f t="shared" si="163"/>
        <v>0.67214511521811393</v>
      </c>
      <c r="Q976">
        <f t="shared" si="160"/>
        <v>0.54654755566848801</v>
      </c>
      <c r="R976">
        <f t="shared" si="161"/>
        <v>1.016121509141394</v>
      </c>
      <c r="T976" s="21">
        <f>(M976-M975)/(H976-H975)</f>
        <v>4.8854647324436673E-4</v>
      </c>
      <c r="W976">
        <v>861</v>
      </c>
      <c r="X976">
        <v>18.228639999999999</v>
      </c>
      <c r="Y976">
        <v>1</v>
      </c>
      <c r="Z976">
        <f t="shared" si="158"/>
        <v>1</v>
      </c>
      <c r="AA976" s="21">
        <f>IF(X976&gt;$B$8+$B$9,0,ABS(X976-O976)/X976)</f>
        <v>4.7272168534254165E-3</v>
      </c>
      <c r="AB976">
        <f>IF(OR(Z973&lt;&gt;Z979,X976&gt;$B$8+$B$9),0,((X979-X973)/(W979-W973)-(O979-O973)/(W979-W973))^2)</f>
        <v>9.2344680444529076E-6</v>
      </c>
    </row>
    <row r="977" spans="7:28" x14ac:dyDescent="0.2">
      <c r="G977" s="21"/>
      <c r="H977" s="21">
        <v>862</v>
      </c>
      <c r="I977">
        <f t="shared" si="164"/>
        <v>8.0492323472517325E-3</v>
      </c>
      <c r="J977">
        <f t="shared" si="165"/>
        <v>0.54628043515482672</v>
      </c>
      <c r="K977">
        <f t="shared" si="159"/>
        <v>23.987970670149078</v>
      </c>
      <c r="L977">
        <f>0.5*Z977*K977/J977/$B$7</f>
        <v>21.955729261428164</v>
      </c>
      <c r="M977">
        <f t="shared" si="162"/>
        <v>0.60462281759387015</v>
      </c>
      <c r="N977" s="21">
        <f t="shared" si="166"/>
        <v>6.0744074547742957E-2</v>
      </c>
      <c r="O977" s="21">
        <f t="shared" si="167"/>
        <v>18.150518498124224</v>
      </c>
      <c r="P977">
        <f t="shared" si="163"/>
        <v>0.67254106357097077</v>
      </c>
      <c r="Q977">
        <f t="shared" si="160"/>
        <v>0.54628043515482672</v>
      </c>
      <c r="R977">
        <f t="shared" si="161"/>
        <v>1.0135228813439094</v>
      </c>
      <c r="T977" s="21">
        <f>(M977-M976)/(H977-H976)</f>
        <v>4.8886104899248384E-4</v>
      </c>
      <c r="W977">
        <v>862</v>
      </c>
      <c r="X977">
        <v>18.238374999999998</v>
      </c>
      <c r="Y977">
        <v>1</v>
      </c>
      <c r="Z977">
        <f t="shared" si="158"/>
        <v>1</v>
      </c>
      <c r="AA977" s="21">
        <f>IF(X977&gt;$B$8+$B$9,0,ABS(X977-O977)/X977)</f>
        <v>4.8171233388815248E-3</v>
      </c>
      <c r="AB977">
        <f>IF(OR(Z974&lt;&gt;Z980,X977&gt;$B$8+$B$9),0,((X980-X974)/(W980-W974)-(O980-O974)/(W980-W974))^2)</f>
        <v>1.6959397278861136E-5</v>
      </c>
    </row>
    <row r="978" spans="7:28" x14ac:dyDescent="0.2">
      <c r="G978" s="21"/>
      <c r="H978" s="21">
        <v>863</v>
      </c>
      <c r="I978">
        <f t="shared" si="164"/>
        <v>8.0517182256035786E-3</v>
      </c>
      <c r="J978">
        <f t="shared" si="165"/>
        <v>0.54601327303953773</v>
      </c>
      <c r="K978">
        <f t="shared" si="159"/>
        <v>23.984053827644914</v>
      </c>
      <c r="L978">
        <f>0.5*Z978*K978/J978/$B$7</f>
        <v>21.962885347210403</v>
      </c>
      <c r="M978">
        <f t="shared" si="162"/>
        <v>0.60511199393648252</v>
      </c>
      <c r="N978" s="21">
        <f t="shared" si="166"/>
        <v>6.0764485155112131E-2</v>
      </c>
      <c r="O978" s="21">
        <f t="shared" si="167"/>
        <v>18.15857021634983</v>
      </c>
      <c r="P978">
        <f t="shared" si="163"/>
        <v>0.67293707358923749</v>
      </c>
      <c r="Q978">
        <f t="shared" si="160"/>
        <v>0.54601327303953773</v>
      </c>
      <c r="R978">
        <f t="shared" si="161"/>
        <v>1.0109371094751418</v>
      </c>
      <c r="T978" s="21">
        <f>(M978-M977)/(H978-H977)</f>
        <v>4.8917634261236298E-4</v>
      </c>
      <c r="W978">
        <v>863</v>
      </c>
      <c r="X978">
        <v>18.251355</v>
      </c>
      <c r="Y978">
        <v>1</v>
      </c>
      <c r="Z978">
        <f t="shared" si="158"/>
        <v>1</v>
      </c>
      <c r="AA978" s="21">
        <f>IF(X978&gt;$B$8+$B$9,0,ABS(X978-O978)/X978)</f>
        <v>5.0837202854347261E-3</v>
      </c>
      <c r="AB978">
        <f>IF(OR(Z975&lt;&gt;Z981,X978&gt;$B$8+$B$9),0,((X981-X975)/(W981-W975)-(O981-O975)/(W981-W975))^2)</f>
        <v>2.8286361082727163E-6</v>
      </c>
    </row>
    <row r="979" spans="7:28" x14ac:dyDescent="0.2">
      <c r="G979" s="21"/>
      <c r="H979" s="21">
        <v>864</v>
      </c>
      <c r="I979">
        <f t="shared" si="164"/>
        <v>8.0542134858169988E-3</v>
      </c>
      <c r="J979">
        <f t="shared" si="165"/>
        <v>0.5457460691187288</v>
      </c>
      <c r="K979">
        <f t="shared" si="159"/>
        <v>23.980142815215615</v>
      </c>
      <c r="L979">
        <f>0.5*Z979*K979/J979/$B$7</f>
        <v>21.970055463650677</v>
      </c>
      <c r="M979">
        <f t="shared" si="162"/>
        <v>0.60560148629221711</v>
      </c>
      <c r="N979" s="21">
        <f t="shared" si="166"/>
        <v>6.0784901723268538E-2</v>
      </c>
      <c r="O979" s="21">
        <f t="shared" si="167"/>
        <v>18.166624429835647</v>
      </c>
      <c r="P979">
        <f t="shared" si="163"/>
        <v>0.67333314557514012</v>
      </c>
      <c r="Q979">
        <f t="shared" si="160"/>
        <v>0.5457460691187288</v>
      </c>
      <c r="R979">
        <f t="shared" si="161"/>
        <v>1.0083640965042291</v>
      </c>
      <c r="T979" s="21">
        <f>(M979-M978)/(H979-H978)</f>
        <v>4.8949235573458871E-4</v>
      </c>
      <c r="W979">
        <v>864</v>
      </c>
      <c r="X979">
        <v>18.259467000000001</v>
      </c>
      <c r="Y979">
        <v>1</v>
      </c>
      <c r="Z979">
        <f t="shared" si="158"/>
        <v>1</v>
      </c>
      <c r="AA979" s="21">
        <f>IF(X979&gt;$B$8+$B$9,0,ABS(X979-O979)/X979)</f>
        <v>5.0846265208263769E-3</v>
      </c>
      <c r="AB979">
        <f>IF(OR(Z976&lt;&gt;Z982,X979&gt;$B$8+$B$9),0,((X982-X976)/(W982-W976)-(O982-O976)/(W982-W976))^2)</f>
        <v>1.9853420221170858E-6</v>
      </c>
    </row>
    <row r="980" spans="7:28" x14ac:dyDescent="0.2">
      <c r="G980" s="21"/>
      <c r="H980" s="21">
        <v>865</v>
      </c>
      <c r="I980">
        <f t="shared" si="164"/>
        <v>8.0567181397644232E-3</v>
      </c>
      <c r="J980">
        <f t="shared" si="165"/>
        <v>0.54547882318833008</v>
      </c>
      <c r="K980">
        <f t="shared" si="159"/>
        <v>23.976237625489357</v>
      </c>
      <c r="L980">
        <f>0.5*Z980*K980/J980/$B$7</f>
        <v>21.977239634481105</v>
      </c>
      <c r="M980">
        <f t="shared" si="162"/>
        <v>0.60609129538221451</v>
      </c>
      <c r="N980" s="21">
        <f t="shared" si="166"/>
        <v>6.0805324289088997E-2</v>
      </c>
      <c r="O980" s="21">
        <f t="shared" si="167"/>
        <v>18.174681147975413</v>
      </c>
      <c r="P980">
        <f t="shared" si="163"/>
        <v>0.67372927983116837</v>
      </c>
      <c r="Q980">
        <f t="shared" si="160"/>
        <v>0.54547882318833008</v>
      </c>
      <c r="R980">
        <f t="shared" si="161"/>
        <v>1.0058037463734477</v>
      </c>
      <c r="T980" s="21">
        <f>(M980-M979)/(H980-H979)</f>
        <v>4.8980908999740613E-4</v>
      </c>
      <c r="W980">
        <v>865</v>
      </c>
      <c r="X980">
        <v>18.267579999999999</v>
      </c>
      <c r="Y980">
        <v>1</v>
      </c>
      <c r="Z980">
        <f t="shared" si="158"/>
        <v>1</v>
      </c>
      <c r="AA980" s="21">
        <f>IF(X980&gt;$B$8+$B$9,0,ABS(X980-O980)/X980)</f>
        <v>5.0854493055230042E-3</v>
      </c>
      <c r="AB980">
        <f>IF(OR(Z977&lt;&gt;Z983,X980&gt;$B$8+$B$9),0,((X983-X977)/(W983-W977)-(O983-O977)/(W983-W977))^2)</f>
        <v>1.2905239036537383E-6</v>
      </c>
    </row>
    <row r="981" spans="7:28" x14ac:dyDescent="0.2">
      <c r="G981" s="21"/>
      <c r="H981" s="21">
        <v>866</v>
      </c>
      <c r="I981">
        <f t="shared" si="164"/>
        <v>8.0592321993935116E-3</v>
      </c>
      <c r="J981">
        <f t="shared" si="165"/>
        <v>0.54521153504409303</v>
      </c>
      <c r="K981">
        <f t="shared" si="159"/>
        <v>23.972338251122565</v>
      </c>
      <c r="L981">
        <f>0.5*Z981*K981/J981/$B$7</f>
        <v>21.984437883530696</v>
      </c>
      <c r="M981">
        <f t="shared" si="162"/>
        <v>0.60658142192925935</v>
      </c>
      <c r="N981" s="21">
        <f t="shared" si="166"/>
        <v>6.0825752889514466E-2</v>
      </c>
      <c r="O981" s="21">
        <f t="shared" si="167"/>
        <v>18.182740380174806</v>
      </c>
      <c r="P981">
        <f t="shared" si="163"/>
        <v>0.67412547666007627</v>
      </c>
      <c r="Q981">
        <f t="shared" si="160"/>
        <v>0.54521153504409303</v>
      </c>
      <c r="R981">
        <f t="shared" si="161"/>
        <v>1.0032559639860441</v>
      </c>
      <c r="T981" s="21">
        <f>(M981-M980)/(H981-H980)</f>
        <v>4.9012654704483349E-4</v>
      </c>
      <c r="W981">
        <v>866</v>
      </c>
      <c r="X981">
        <v>18.278936999999999</v>
      </c>
      <c r="Y981">
        <v>1</v>
      </c>
      <c r="Z981">
        <f t="shared" si="158"/>
        <v>1</v>
      </c>
      <c r="AA981" s="21">
        <f>IF(X981&gt;$B$8+$B$9,0,ABS(X981-O981)/X981)</f>
        <v>5.2627031771701437E-3</v>
      </c>
      <c r="AB981">
        <f>IF(OR(Z978&lt;&gt;Z984,X981&gt;$B$8+$B$9),0,((X984-X978)/(W984-W978)-(O984-O978)/(W984-W978))^2)</f>
        <v>2.3912736006563982E-7</v>
      </c>
    </row>
    <row r="982" spans="7:28" x14ac:dyDescent="0.2">
      <c r="G982" s="21"/>
      <c r="H982" s="21">
        <v>867</v>
      </c>
      <c r="I982">
        <f t="shared" si="164"/>
        <v>8.0617556767273724E-3</v>
      </c>
      <c r="J982">
        <f t="shared" si="165"/>
        <v>0.54494420448158865</v>
      </c>
      <c r="K982">
        <f t="shared" si="159"/>
        <v>23.96844468479981</v>
      </c>
      <c r="L982">
        <f>0.5*Z982*K982/J982/$B$7</f>
        <v>21.991650234725636</v>
      </c>
      <c r="M982">
        <f t="shared" si="162"/>
        <v>0.60707186665778823</v>
      </c>
      <c r="N982" s="21">
        <f t="shared" si="166"/>
        <v>6.0846187561550517E-2</v>
      </c>
      <c r="O982" s="21">
        <f t="shared" si="167"/>
        <v>18.190802135851534</v>
      </c>
      <c r="P982">
        <f t="shared" si="163"/>
        <v>0.67452173636488544</v>
      </c>
      <c r="Q982">
        <f t="shared" si="160"/>
        <v>0.54494420448158865</v>
      </c>
      <c r="R982">
        <f t="shared" si="161"/>
        <v>1.0007206551942314</v>
      </c>
      <c r="T982" s="21">
        <f>(M982-M981)/(H982-H981)</f>
        <v>4.9044472852888266E-4</v>
      </c>
      <c r="W982">
        <v>867</v>
      </c>
      <c r="X982">
        <v>18.285426999999999</v>
      </c>
      <c r="Y982">
        <v>1</v>
      </c>
      <c r="Z982">
        <f t="shared" si="158"/>
        <v>1</v>
      </c>
      <c r="AA982" s="21">
        <f>IF(X982&gt;$B$8+$B$9,0,ABS(X982-O982)/X982)</f>
        <v>5.1748785603127779E-3</v>
      </c>
      <c r="AB982">
        <f>IF(OR(Z979&lt;&gt;Z985,X982&gt;$B$8+$B$9),0,((X985-X979)/(W985-W979)-(O985-O979)/(W985-W979))^2)</f>
        <v>4.8856343692009253E-8</v>
      </c>
    </row>
    <row r="983" spans="7:28" x14ac:dyDescent="0.2">
      <c r="G983" s="21"/>
      <c r="H983" s="21">
        <v>868</v>
      </c>
      <c r="I983">
        <f t="shared" si="164"/>
        <v>8.0642885838647111E-3</v>
      </c>
      <c r="J983">
        <f t="shared" si="165"/>
        <v>0.54467683129620692</v>
      </c>
      <c r="K983">
        <f t="shared" si="159"/>
        <v>23.964556919233793</v>
      </c>
      <c r="L983">
        <f>0.5*Z983*K983/J983/$B$7</f>
        <v>21.998876712089626</v>
      </c>
      <c r="M983">
        <f t="shared" si="162"/>
        <v>0.60756263029389457</v>
      </c>
      <c r="N983" s="21">
        <f t="shared" si="166"/>
        <v>6.0866628342267581E-2</v>
      </c>
      <c r="O983" s="21">
        <f t="shared" si="167"/>
        <v>18.198866424435398</v>
      </c>
      <c r="P983">
        <f t="shared" si="163"/>
        <v>0.67491805924888626</v>
      </c>
      <c r="Q983">
        <f t="shared" si="160"/>
        <v>0.54467683129620692</v>
      </c>
      <c r="R983">
        <f t="shared" si="161"/>
        <v>0.99819772678738083</v>
      </c>
      <c r="T983" s="21">
        <f>(M983-M982)/(H983-H982)</f>
        <v>4.9076363610633944E-4</v>
      </c>
      <c r="W983">
        <v>868</v>
      </c>
      <c r="X983">
        <v>18.293538999999999</v>
      </c>
      <c r="Y983">
        <v>1</v>
      </c>
      <c r="Z983">
        <f t="shared" si="158"/>
        <v>1</v>
      </c>
      <c r="AA983" s="21">
        <f>IF(X983&gt;$B$8+$B$9,0,ABS(X983-O983)/X983)</f>
        <v>5.1751919387823982E-3</v>
      </c>
      <c r="AB983">
        <f>IF(OR(Z980&lt;&gt;Z986,X983&gt;$B$8+$B$9),0,((X986-X980)/(W986-W980)-(O986-O980)/(W986-W980))^2)</f>
        <v>3.4526707402436172E-7</v>
      </c>
    </row>
    <row r="984" spans="7:28" x14ac:dyDescent="0.2">
      <c r="G984" s="21"/>
      <c r="H984" s="21">
        <v>869</v>
      </c>
      <c r="I984">
        <f t="shared" si="164"/>
        <v>8.066830932980067E-3</v>
      </c>
      <c r="J984">
        <f t="shared" si="165"/>
        <v>0.54440941528315401</v>
      </c>
      <c r="K984">
        <f t="shared" si="159"/>
        <v>23.96067494716522</v>
      </c>
      <c r="L984">
        <f>0.5*Z984*K984/J984/$B$7</f>
        <v>22.00611733974419</v>
      </c>
      <c r="M984">
        <f t="shared" si="162"/>
        <v>0.60805371356533799</v>
      </c>
      <c r="N984" s="21">
        <f t="shared" si="166"/>
        <v>6.0887075268801528E-2</v>
      </c>
      <c r="O984" s="21">
        <f t="shared" si="167"/>
        <v>18.206933255368376</v>
      </c>
      <c r="P984">
        <f t="shared" si="163"/>
        <v>0.6753144456156408</v>
      </c>
      <c r="Q984">
        <f t="shared" si="160"/>
        <v>0.54440941528315401</v>
      </c>
      <c r="R984">
        <f t="shared" si="161"/>
        <v>0.99568708648037541</v>
      </c>
      <c r="T984" s="21">
        <f>(M984-M983)/(H984-H983)</f>
        <v>4.9108327144342656E-4</v>
      </c>
      <c r="W984">
        <v>869</v>
      </c>
      <c r="X984">
        <v>18.296783999999999</v>
      </c>
      <c r="Y984">
        <v>1</v>
      </c>
      <c r="Z984">
        <f t="shared" si="158"/>
        <v>1</v>
      </c>
      <c r="AA984" s="21">
        <f>IF(X984&gt;$B$8+$B$9,0,ABS(X984-O984)/X984)</f>
        <v>4.9107397579608719E-3</v>
      </c>
      <c r="AB984">
        <f>IF(OR(Z981&lt;&gt;Z987,X984&gt;$B$8+$B$9),0,((X987-X981)/(W987-W981)-(O987-O981)/(W987-W981))^2)</f>
        <v>9.9044829286429643E-8</v>
      </c>
    </row>
    <row r="985" spans="7:28" x14ac:dyDescent="0.2">
      <c r="G985" s="21"/>
      <c r="H985" s="21">
        <v>870</v>
      </c>
      <c r="I985">
        <f t="shared" si="164"/>
        <v>8.0693827363239549E-3</v>
      </c>
      <c r="J985">
        <f t="shared" si="165"/>
        <v>0.54414195623745232</v>
      </c>
      <c r="K985">
        <f t="shared" si="159"/>
        <v>23.956798761362784</v>
      </c>
      <c r="L985">
        <f>0.5*Z985*K985/J985/$B$7</f>
        <v>22.013372141908988</v>
      </c>
      <c r="M985">
        <f t="shared" si="162"/>
        <v>0.60854511720154891</v>
      </c>
      <c r="N985" s="21">
        <f t="shared" si="166"/>
        <v>6.0907528378353976E-2</v>
      </c>
      <c r="O985" s="21">
        <f t="shared" si="167"/>
        <v>18.2150026381047</v>
      </c>
      <c r="P985">
        <f t="shared" si="163"/>
        <v>0.67571089576898458</v>
      </c>
      <c r="Q985">
        <f t="shared" si="160"/>
        <v>0.54414195623745232</v>
      </c>
      <c r="R985">
        <f t="shared" si="161"/>
        <v>0.99318864290214615</v>
      </c>
      <c r="T985" s="21">
        <f>(M985-M984)/(H985-H984)</f>
        <v>4.9140363621091865E-4</v>
      </c>
      <c r="W985">
        <v>870</v>
      </c>
      <c r="X985">
        <v>18.306518999999998</v>
      </c>
      <c r="Y985">
        <v>1</v>
      </c>
      <c r="Z985">
        <f t="shared" si="158"/>
        <v>1</v>
      </c>
      <c r="AA985" s="21">
        <f>IF(X985&gt;$B$8+$B$9,0,ABS(X985-O985)/X985)</f>
        <v>4.9991132609808623E-3</v>
      </c>
      <c r="AB985">
        <f>IF(OR(Z982&lt;&gt;Z988,X985&gt;$B$8+$B$9),0,((X988-X982)/(W988-W982)-(O988-O982)/(W988-W982))^2)</f>
        <v>3.392953748429786E-7</v>
      </c>
    </row>
    <row r="986" spans="7:28" x14ac:dyDescent="0.2">
      <c r="G986" s="21"/>
      <c r="H986" s="21">
        <v>871</v>
      </c>
      <c r="I986">
        <f t="shared" si="164"/>
        <v>8.0719440062230838E-3</v>
      </c>
      <c r="J986">
        <f t="shared" si="165"/>
        <v>0.54387445395393796</v>
      </c>
      <c r="K986">
        <f t="shared" si="159"/>
        <v>23.952928354623076</v>
      </c>
      <c r="L986">
        <f>0.5*Z986*K986/J986/$B$7</f>
        <v>22.020641142902171</v>
      </c>
      <c r="M986">
        <f t="shared" si="162"/>
        <v>0.60903684193363694</v>
      </c>
      <c r="N986" s="21">
        <f t="shared" si="166"/>
        <v>6.0927987708192737E-2</v>
      </c>
      <c r="O986" s="21">
        <f t="shared" si="167"/>
        <v>18.223074582110922</v>
      </c>
      <c r="P986">
        <f t="shared" si="163"/>
        <v>0.67610741001302832</v>
      </c>
      <c r="Q986">
        <f t="shared" si="160"/>
        <v>0.54387445395393796</v>
      </c>
      <c r="R986">
        <f t="shared" si="161"/>
        <v>0.99070230558437744</v>
      </c>
      <c r="T986" s="21">
        <f>(M986-M985)/(H986-H985)</f>
        <v>4.9172473208802803E-4</v>
      </c>
      <c r="W986">
        <v>871</v>
      </c>
      <c r="X986">
        <v>18.319499</v>
      </c>
      <c r="Y986">
        <v>1</v>
      </c>
      <c r="Z986">
        <f t="shared" si="158"/>
        <v>1</v>
      </c>
      <c r="AA986" s="21">
        <f>IF(X986&gt;$B$8+$B$9,0,ABS(X986-O986)/X986)</f>
        <v>5.2634855292210082E-3</v>
      </c>
      <c r="AB986">
        <f>IF(OR(Z983&lt;&gt;Z989,X986&gt;$B$8+$B$9),0,((X989-X983)/(W989-W983)-(O989-O983)/(W989-W983))^2)</f>
        <v>7.2322206671882955E-7</v>
      </c>
    </row>
    <row r="987" spans="7:28" x14ac:dyDescent="0.2">
      <c r="G987" s="21"/>
      <c r="H987" s="21">
        <v>872</v>
      </c>
      <c r="I987">
        <f t="shared" si="164"/>
        <v>8.0745147550805637E-3</v>
      </c>
      <c r="J987">
        <f t="shared" si="165"/>
        <v>0.54360690822725966</v>
      </c>
      <c r="K987">
        <f t="shared" si="159"/>
        <v>23.949063719770539</v>
      </c>
      <c r="L987">
        <f>0.5*Z987*K987/J987/$B$7</f>
        <v>22.027924367140695</v>
      </c>
      <c r="M987">
        <f t="shared" si="162"/>
        <v>0.60952888849439757</v>
      </c>
      <c r="N987" s="21">
        <f t="shared" si="166"/>
        <v>6.0948453295652259E-2</v>
      </c>
      <c r="O987" s="21">
        <f t="shared" si="167"/>
        <v>18.231149096866002</v>
      </c>
      <c r="P987">
        <f t="shared" si="163"/>
        <v>0.67650398865216066</v>
      </c>
      <c r="Q987">
        <f t="shared" si="160"/>
        <v>0.54360690822725966</v>
      </c>
      <c r="R987">
        <f t="shared" si="161"/>
        <v>0.98822798495037345</v>
      </c>
      <c r="T987" s="21">
        <f>(M987-M986)/(H987-H986)</f>
        <v>4.9204656076062836E-4</v>
      </c>
      <c r="W987">
        <v>872</v>
      </c>
      <c r="X987">
        <v>18.329234</v>
      </c>
      <c r="Y987">
        <v>1</v>
      </c>
      <c r="Z987">
        <f t="shared" si="158"/>
        <v>1</v>
      </c>
      <c r="AA987" s="21">
        <f>IF(X987&gt;$B$8+$B$9,0,ABS(X987-O987)/X987)</f>
        <v>5.3512821721844938E-3</v>
      </c>
      <c r="AB987">
        <f>IF(OR(Z984&lt;&gt;Z990,X987&gt;$B$8+$B$9),0,((X990-X984)/(W990-W984)-(O990-O984)/(W990-W984))^2)</f>
        <v>3.7230312010641418E-6</v>
      </c>
    </row>
    <row r="988" spans="7:28" x14ac:dyDescent="0.2">
      <c r="G988" s="21"/>
      <c r="H988" s="21">
        <v>873</v>
      </c>
      <c r="I988">
        <f t="shared" si="164"/>
        <v>8.0770949953760749E-3</v>
      </c>
      <c r="J988">
        <f t="shared" si="165"/>
        <v>0.54333931885187803</v>
      </c>
      <c r="K988">
        <f t="shared" si="159"/>
        <v>23.945204849657379</v>
      </c>
      <c r="L988">
        <f>0.5*Z988*K988/J988/$B$7</f>
        <v>22.035221839140618</v>
      </c>
      <c r="M988">
        <f t="shared" si="162"/>
        <v>0.6100212576183176</v>
      </c>
      <c r="N988" s="21">
        <f t="shared" si="166"/>
        <v>6.0968925178133904E-2</v>
      </c>
      <c r="O988" s="21">
        <f t="shared" si="167"/>
        <v>18.239226191861377</v>
      </c>
      <c r="P988">
        <f t="shared" si="163"/>
        <v>0.67690063199104966</v>
      </c>
      <c r="Q988">
        <f t="shared" si="160"/>
        <v>0.54333931885187803</v>
      </c>
      <c r="R988">
        <f t="shared" si="161"/>
        <v>0.9857655923040971</v>
      </c>
      <c r="T988" s="21">
        <f>(M988-M987)/(H988-H987)</f>
        <v>4.923691239200334E-4</v>
      </c>
      <c r="W988">
        <v>873</v>
      </c>
      <c r="X988">
        <v>18.337346</v>
      </c>
      <c r="Y988">
        <v>1</v>
      </c>
      <c r="Z988">
        <f t="shared" si="158"/>
        <v>1</v>
      </c>
      <c r="AA988" s="21">
        <f>IF(X988&gt;$B$8+$B$9,0,ABS(X988-O988)/X988)</f>
        <v>5.3508183866205717E-3</v>
      </c>
      <c r="AB988">
        <f>IF(OR(Z985&lt;&gt;Z991,X988&gt;$B$8+$B$9),0,((X991-X985)/(W991-W985)-(O991-O985)/(W991-W985))^2)</f>
        <v>1.2445576749960857E-6</v>
      </c>
    </row>
    <row r="989" spans="7:28" x14ac:dyDescent="0.2">
      <c r="G989" s="21"/>
      <c r="H989" s="21">
        <v>874</v>
      </c>
      <c r="I989">
        <f t="shared" si="164"/>
        <v>8.0796847396660907E-3</v>
      </c>
      <c r="J989">
        <f t="shared" si="165"/>
        <v>0.54307168562206276</v>
      </c>
      <c r="K989">
        <f t="shared" si="159"/>
        <v>23.941351737163515</v>
      </c>
      <c r="L989">
        <f>0.5*Z989*K989/J989/$B$7</f>
        <v>22.042533583517464</v>
      </c>
      <c r="M989">
        <f t="shared" si="162"/>
        <v>0.61051395004158471</v>
      </c>
      <c r="N989" s="21">
        <f t="shared" si="166"/>
        <v>6.098940339310658E-2</v>
      </c>
      <c r="O989" s="21">
        <f t="shared" si="167"/>
        <v>18.247305876601043</v>
      </c>
      <c r="P989">
        <f t="shared" si="163"/>
        <v>0.67729734033464595</v>
      </c>
      <c r="Q989">
        <f t="shared" si="160"/>
        <v>0.54307168562206276</v>
      </c>
      <c r="R989">
        <f t="shared" si="161"/>
        <v>0.98331503981935942</v>
      </c>
      <c r="T989" s="21">
        <f>(M989-M988)/(H989-H988)</f>
        <v>4.9269242326710483E-4</v>
      </c>
      <c r="W989">
        <v>874</v>
      </c>
      <c r="X989">
        <v>18.347080999999999</v>
      </c>
      <c r="Y989">
        <v>1</v>
      </c>
      <c r="Z989">
        <f t="shared" si="158"/>
        <v>1</v>
      </c>
      <c r="AA989" s="21">
        <f>IF(X989&gt;$B$8+$B$9,0,ABS(X989-O989)/X989)</f>
        <v>5.4382014991352636E-3</v>
      </c>
      <c r="AB989">
        <f>IF(OR(Z986&lt;&gt;Z992,X989&gt;$B$8+$B$9),0,((X992-X986)/(W992-W986)-(O992-O986)/(W992-W986))^2)</f>
        <v>7.0981119133537264E-7</v>
      </c>
    </row>
    <row r="990" spans="7:28" x14ac:dyDescent="0.2">
      <c r="G990" s="21"/>
      <c r="H990" s="21">
        <v>875</v>
      </c>
      <c r="I990">
        <f t="shared" si="164"/>
        <v>8.0822840005840332E-3</v>
      </c>
      <c r="J990">
        <f t="shared" si="165"/>
        <v>0.54280400833189213</v>
      </c>
      <c r="K990">
        <f t="shared" si="159"/>
        <v>23.937504375196518</v>
      </c>
      <c r="L990">
        <f>0.5*Z990*K990/J990/$B$7</f>
        <v>22.049859624986563</v>
      </c>
      <c r="M990">
        <f t="shared" si="162"/>
        <v>0.61100696650209296</v>
      </c>
      <c r="N990" s="21">
        <f t="shared" si="166"/>
        <v>6.1009887978107025E-2</v>
      </c>
      <c r="O990" s="21">
        <f t="shared" si="167"/>
        <v>18.255388160601626</v>
      </c>
      <c r="P990">
        <f t="shared" si="163"/>
        <v>0.67769411398818369</v>
      </c>
      <c r="Q990">
        <f t="shared" si="160"/>
        <v>0.54280400833189213</v>
      </c>
      <c r="R990">
        <f t="shared" si="161"/>
        <v>0.98087624052918143</v>
      </c>
      <c r="T990" s="21">
        <f>(M990-M989)/(H990-H989)</f>
        <v>4.9301646050825543E-4</v>
      </c>
      <c r="W990">
        <v>875</v>
      </c>
      <c r="X990">
        <v>18.356815999999998</v>
      </c>
      <c r="Y990">
        <v>1</v>
      </c>
      <c r="Z990">
        <f t="shared" si="158"/>
        <v>1</v>
      </c>
      <c r="AA990" s="21">
        <f>IF(X990&gt;$B$8+$B$9,0,ABS(X990-O990)/X990)</f>
        <v>5.525350332997417E-3</v>
      </c>
      <c r="AB990">
        <f>IF(OR(Z987&lt;&gt;Z993,X990&gt;$B$8+$B$9),0,((X993-X987)/(W993-W987)-(O993-O987)/(W993-W987))^2)</f>
        <v>1.9064214724178907E-6</v>
      </c>
    </row>
    <row r="991" spans="7:28" x14ac:dyDescent="0.2">
      <c r="G991" s="21"/>
      <c r="H991" s="21">
        <v>876</v>
      </c>
      <c r="I991">
        <f t="shared" si="164"/>
        <v>8.0848927908405439E-3</v>
      </c>
      <c r="J991">
        <f t="shared" si="165"/>
        <v>0.54253628677525145</v>
      </c>
      <c r="K991">
        <f t="shared" si="159"/>
        <v>23.93366275669155</v>
      </c>
      <c r="L991">
        <f>0.5*Z991*K991/J991/$B$7</f>
        <v>22.057199988363358</v>
      </c>
      <c r="M991">
        <f t="shared" si="162"/>
        <v>0.61150030773944963</v>
      </c>
      <c r="N991" s="21">
        <f t="shared" si="166"/>
        <v>6.1030378970740207E-2</v>
      </c>
      <c r="O991" s="21">
        <f t="shared" si="167"/>
        <v>18.263473053392467</v>
      </c>
      <c r="P991">
        <f t="shared" si="163"/>
        <v>0.67809095325718327</v>
      </c>
      <c r="Q991">
        <f t="shared" si="160"/>
        <v>0.54253628677525145</v>
      </c>
      <c r="R991">
        <f t="shared" si="161"/>
        <v>0.97844910831530163</v>
      </c>
      <c r="T991" s="21">
        <f>(M991-M990)/(H991-H990)</f>
        <v>4.9334123735667035E-4</v>
      </c>
      <c r="W991">
        <v>876</v>
      </c>
      <c r="X991">
        <v>18.361682999999999</v>
      </c>
      <c r="Y991">
        <v>1</v>
      </c>
      <c r="Z991">
        <f t="shared" si="158"/>
        <v>1</v>
      </c>
      <c r="AA991" s="21">
        <f>IF(X991&gt;$B$8+$B$9,0,ABS(X991-O991)/X991)</f>
        <v>5.3486353406456575E-3</v>
      </c>
      <c r="AB991">
        <f>IF(OR(Z988&lt;&gt;Z994,X991&gt;$B$8+$B$9),0,((X994-X988)/(W994-W988)-(O994-O988)/(W994-W988))^2)</f>
        <v>7.0132581578531369E-7</v>
      </c>
    </row>
    <row r="992" spans="7:28" x14ac:dyDescent="0.2">
      <c r="G992" s="21"/>
      <c r="H992" s="21">
        <v>877</v>
      </c>
      <c r="I992">
        <f t="shared" si="164"/>
        <v>8.0875111232236174E-3</v>
      </c>
      <c r="J992">
        <f t="shared" si="165"/>
        <v>0.54226852074583165</v>
      </c>
      <c r="K992">
        <f t="shared" si="159"/>
        <v>23.92982687461129</v>
      </c>
      <c r="L992">
        <f>0.5*Z992*K992/J992/$B$7</f>
        <v>22.064554698563732</v>
      </c>
      <c r="M992">
        <f t="shared" si="162"/>
        <v>0.61199397449498283</v>
      </c>
      <c r="N992" s="21">
        <f t="shared" si="166"/>
        <v>6.1050876408679809E-2</v>
      </c>
      <c r="O992" s="21">
        <f t="shared" si="167"/>
        <v>18.271560564515692</v>
      </c>
      <c r="P992">
        <f t="shared" si="163"/>
        <v>0.67848785844745341</v>
      </c>
      <c r="Q992">
        <f t="shared" si="160"/>
        <v>0.54226852074583165</v>
      </c>
      <c r="R992">
        <f t="shared" si="161"/>
        <v>0.9760335578978403</v>
      </c>
      <c r="T992" s="21">
        <f>(M992-M991)/(H992-H991)</f>
        <v>4.9366675553319528E-4</v>
      </c>
      <c r="W992">
        <v>877</v>
      </c>
      <c r="X992">
        <v>18.37304</v>
      </c>
      <c r="Y992">
        <v>1</v>
      </c>
      <c r="Z992">
        <f t="shared" si="158"/>
        <v>1</v>
      </c>
      <c r="AA992" s="21">
        <f>IF(X992&gt;$B$8+$B$9,0,ABS(X992-O992)/X992)</f>
        <v>5.523279516308004E-3</v>
      </c>
      <c r="AB992">
        <f>IF(OR(Z989&lt;&gt;Z995,X992&gt;$B$8+$B$9),0,((X995-X989)/(W995-W989)-(O995-O989)/(W995-W989))^2)</f>
        <v>3.1846705219711734E-7</v>
      </c>
    </row>
    <row r="993" spans="7:28" x14ac:dyDescent="0.2">
      <c r="G993" s="21"/>
      <c r="H993" s="21">
        <v>878</v>
      </c>
      <c r="I993">
        <f t="shared" si="164"/>
        <v>8.0901390105988409E-3</v>
      </c>
      <c r="J993">
        <f t="shared" si="165"/>
        <v>0.54200071003712758</v>
      </c>
      <c r="K993">
        <f t="shared" si="159"/>
        <v>23.925996721945879</v>
      </c>
      <c r="L993">
        <f>0.5*Z993*K993/J993/$B$7</f>
        <v>22.071923780604386</v>
      </c>
      <c r="M993">
        <f t="shared" si="162"/>
        <v>0.61248796751174828</v>
      </c>
      <c r="N993" s="21">
        <f t="shared" si="166"/>
        <v>6.1071380329668648E-2</v>
      </c>
      <c r="O993" s="21">
        <f t="shared" si="167"/>
        <v>18.27965070352629</v>
      </c>
      <c r="P993">
        <f t="shared" si="163"/>
        <v>0.67888482986509335</v>
      </c>
      <c r="Q993">
        <f t="shared" si="160"/>
        <v>0.54200071003712758</v>
      </c>
      <c r="R993">
        <f t="shared" si="161"/>
        <v>0.9736295048251129</v>
      </c>
      <c r="T993" s="21">
        <f>(M993-M992)/(H993-H992)</f>
        <v>4.9399301676544827E-4</v>
      </c>
      <c r="W993">
        <v>878</v>
      </c>
      <c r="X993">
        <v>18.386019999999998</v>
      </c>
      <c r="Y993">
        <v>1</v>
      </c>
      <c r="Z993">
        <f t="shared" si="158"/>
        <v>1</v>
      </c>
      <c r="AA993" s="21">
        <f>IF(X993&gt;$B$8+$B$9,0,ABS(X993-O993)/X993)</f>
        <v>5.7853356231369613E-3</v>
      </c>
      <c r="AB993">
        <f>IF(OR(Z990&lt;&gt;Z996,X993&gt;$B$8+$B$9),0,((X996-X990)/(W996-W990)-(O996-O990)/(W996-W990))^2)</f>
        <v>7.4257857529350389E-6</v>
      </c>
    </row>
    <row r="994" spans="7:28" x14ac:dyDescent="0.2">
      <c r="G994" s="21"/>
      <c r="H994" s="21">
        <v>879</v>
      </c>
      <c r="I994">
        <f t="shared" si="164"/>
        <v>8.0927764659096089E-3</v>
      </c>
      <c r="J994">
        <f t="shared" si="165"/>
        <v>0.54173285444243657</v>
      </c>
      <c r="K994">
        <f t="shared" si="159"/>
        <v>23.922172291712865</v>
      </c>
      <c r="L994">
        <f>0.5*Z994*K994/J994/$B$7</f>
        <v>22.079307259603162</v>
      </c>
      <c r="M994">
        <f t="shared" si="162"/>
        <v>0.61298228753453698</v>
      </c>
      <c r="N994" s="21">
        <f t="shared" si="166"/>
        <v>6.1091890771519011E-2</v>
      </c>
      <c r="O994" s="21">
        <f t="shared" si="167"/>
        <v>18.287743479992198</v>
      </c>
      <c r="P994">
        <f t="shared" si="163"/>
        <v>0.6792818678164948</v>
      </c>
      <c r="Q994">
        <f t="shared" si="160"/>
        <v>0.54173285444243657</v>
      </c>
      <c r="R994">
        <f t="shared" si="161"/>
        <v>0.97123686546359511</v>
      </c>
      <c r="T994" s="21">
        <f>(M994-M993)/(H994-H993)</f>
        <v>4.943200227887079E-4</v>
      </c>
      <c r="W994">
        <v>879</v>
      </c>
      <c r="X994">
        <v>18.390888</v>
      </c>
      <c r="Y994">
        <v>1</v>
      </c>
      <c r="Z994">
        <f t="shared" si="158"/>
        <v>1</v>
      </c>
      <c r="AA994" s="21">
        <f>IF(X994&gt;$B$8+$B$9,0,ABS(X994-O994)/X994)</f>
        <v>5.6084578410679512E-3</v>
      </c>
      <c r="AB994">
        <f>IF(OR(Z991&lt;&gt;Z997,X994&gt;$B$8+$B$9),0,((X997-X991)/(W997-W991)-(O997-O991)/(W997-W991))^2)</f>
        <v>8.9563763856911625E-6</v>
      </c>
    </row>
    <row r="995" spans="7:28" x14ac:dyDescent="0.2">
      <c r="G995" s="21"/>
      <c r="H995" s="21">
        <v>880</v>
      </c>
      <c r="I995">
        <f t="shared" si="164"/>
        <v>8.0954235021773076E-3</v>
      </c>
      <c r="J995">
        <f t="shared" si="165"/>
        <v>0.54146495375485726</v>
      </c>
      <c r="K995">
        <f t="shared" si="159"/>
        <v>23.918353576957124</v>
      </c>
      <c r="L995">
        <f>0.5*Z995*K995/J995/$B$7</f>
        <v>22.086705160779356</v>
      </c>
      <c r="M995">
        <f t="shared" si="162"/>
        <v>0.61347693530988212</v>
      </c>
      <c r="N995" s="21">
        <f t="shared" si="166"/>
        <v>6.1112407772113256E-2</v>
      </c>
      <c r="O995" s="21">
        <f t="shared" si="167"/>
        <v>18.295838903494374</v>
      </c>
      <c r="P995">
        <f t="shared" si="163"/>
        <v>0.67967897260834453</v>
      </c>
      <c r="Q995">
        <f t="shared" si="160"/>
        <v>0.54146495375485726</v>
      </c>
      <c r="R995">
        <f t="shared" si="161"/>
        <v>0.96885555698802772</v>
      </c>
      <c r="T995" s="21">
        <f>(M995-M994)/(H995-H994)</f>
        <v>4.9464777534513615E-4</v>
      </c>
      <c r="W995">
        <v>880</v>
      </c>
      <c r="X995">
        <v>18.399000000000001</v>
      </c>
      <c r="Y995">
        <v>1</v>
      </c>
      <c r="Z995">
        <f t="shared" si="158"/>
        <v>1</v>
      </c>
      <c r="AA995" s="21">
        <f>IF(X995&gt;$B$8+$B$9,0,ABS(X995-O995)/X995)</f>
        <v>5.6068860538956823E-3</v>
      </c>
      <c r="AB995">
        <f>IF(OR(Z992&lt;&gt;Z998,X995&gt;$B$8+$B$9),0,((X998-X992)/(W998-W992)-(O998-O992)/(W998-W992))^2)</f>
        <v>6.8376699771538597E-7</v>
      </c>
    </row>
    <row r="996" spans="7:28" x14ac:dyDescent="0.2">
      <c r="G996" s="21"/>
      <c r="H996" s="21">
        <v>881</v>
      </c>
      <c r="I996">
        <f t="shared" si="164"/>
        <v>8.0980801325015311E-3</v>
      </c>
      <c r="J996">
        <f t="shared" si="165"/>
        <v>0.54119700776728785</v>
      </c>
      <c r="K996">
        <f t="shared" si="159"/>
        <v>23.914540570750816</v>
      </c>
      <c r="L996">
        <f>0.5*Z996*K996/J996/$B$7</f>
        <v>22.094117509454112</v>
      </c>
      <c r="M996">
        <f t="shared" si="162"/>
        <v>0.6139719115860659</v>
      </c>
      <c r="N996" s="21">
        <f t="shared" si="166"/>
        <v>6.1132931369404037E-2</v>
      </c>
      <c r="O996" s="21">
        <f t="shared" si="167"/>
        <v>18.303936983626876</v>
      </c>
      <c r="P996">
        <f t="shared" si="163"/>
        <v>0.68007614454762599</v>
      </c>
      <c r="Q996">
        <f t="shared" si="160"/>
        <v>0.54119700776728785</v>
      </c>
      <c r="R996">
        <f t="shared" si="161"/>
        <v>0.966485497371672</v>
      </c>
      <c r="T996" s="21">
        <f>(M996-M995)/(H996-H995)</f>
        <v>4.9497627618377837E-4</v>
      </c>
      <c r="W996">
        <v>881</v>
      </c>
      <c r="X996">
        <v>18.421714999999999</v>
      </c>
      <c r="Y996">
        <v>1</v>
      </c>
      <c r="Z996">
        <f t="shared" si="158"/>
        <v>1</v>
      </c>
      <c r="AA996" s="21">
        <f>IF(X996&gt;$B$8+$B$9,0,ABS(X996-O996)/X996)</f>
        <v>6.393433856355003E-3</v>
      </c>
      <c r="AB996">
        <f>IF(OR(Z993&lt;&gt;Z999,X996&gt;$B$8+$B$9),0,((X999-X993)/(W999-W993)-(O999-O993)/(W999-W993))^2)</f>
        <v>6.7937256153860549E-7</v>
      </c>
    </row>
    <row r="997" spans="7:28" x14ac:dyDescent="0.2">
      <c r="G997" s="21"/>
      <c r="H997" s="21">
        <v>882</v>
      </c>
      <c r="I997">
        <f t="shared" si="164"/>
        <v>8.1007463700602973E-3</v>
      </c>
      <c r="J997">
        <f t="shared" si="165"/>
        <v>0.54092901627242485</v>
      </c>
      <c r="K997">
        <f t="shared" si="159"/>
        <v>23.910733266193315</v>
      </c>
      <c r="L997">
        <f>0.5*Z997*K997/J997/$B$7</f>
        <v>22.101544331050725</v>
      </c>
      <c r="M997">
        <f t="shared" si="162"/>
        <v>0.61446721711312702</v>
      </c>
      <c r="N997" s="21">
        <f t="shared" si="166"/>
        <v>6.1153461601414875E-2</v>
      </c>
      <c r="O997" s="21">
        <f t="shared" si="167"/>
        <v>18.312037729996938</v>
      </c>
      <c r="P997">
        <f t="shared" si="163"/>
        <v>0.68047338394162182</v>
      </c>
      <c r="Q997">
        <f t="shared" si="160"/>
        <v>0.54092901627242485</v>
      </c>
      <c r="R997">
        <f t="shared" si="161"/>
        <v>0.96412660537669925</v>
      </c>
      <c r="T997" s="21">
        <f>(M997-M996)/(H997-H996)</f>
        <v>4.9530552706111841E-4</v>
      </c>
      <c r="W997">
        <v>882</v>
      </c>
      <c r="X997">
        <v>18.428204000000001</v>
      </c>
      <c r="Y997">
        <v>1</v>
      </c>
      <c r="Z997">
        <f t="shared" si="158"/>
        <v>1</v>
      </c>
      <c r="AA997" s="21">
        <f>IF(X997&gt;$B$8+$B$9,0,ABS(X997-O997)/X997)</f>
        <v>6.303721730183974E-3</v>
      </c>
      <c r="AB997">
        <f>IF(OR(Z994&lt;&gt;Z1000,X997&gt;$B$8+$B$9),0,((X1000-X994)/(W1000-W994)-(O1000-O994)/(W1000-W994))^2)</f>
        <v>2.6658274922901047E-6</v>
      </c>
    </row>
    <row r="998" spans="7:28" x14ac:dyDescent="0.2">
      <c r="G998" s="21"/>
      <c r="H998" s="21">
        <v>883</v>
      </c>
      <c r="I998">
        <f t="shared" si="164"/>
        <v>8.1034222281102398E-3</v>
      </c>
      <c r="J998">
        <f t="shared" si="165"/>
        <v>0.54066097906276156</v>
      </c>
      <c r="K998">
        <f t="shared" si="159"/>
        <v>23.906931656411153</v>
      </c>
      <c r="L998">
        <f>0.5*Z998*K998/J998/$B$7</f>
        <v>22.108985651095011</v>
      </c>
      <c r="M998">
        <f t="shared" si="162"/>
        <v>0.61496285264286821</v>
      </c>
      <c r="N998" s="21">
        <f t="shared" si="166"/>
        <v>6.1173998506240577E-2</v>
      </c>
      <c r="O998" s="21">
        <f t="shared" si="167"/>
        <v>18.320141152225048</v>
      </c>
      <c r="P998">
        <f t="shared" si="163"/>
        <v>0.68087069109791576</v>
      </c>
      <c r="Q998">
        <f t="shared" si="160"/>
        <v>0.54066097906276156</v>
      </c>
      <c r="R998">
        <f t="shared" si="161"/>
        <v>0.9617788005447232</v>
      </c>
      <c r="T998" s="21">
        <f>(M998-M997)/(H998-H997)</f>
        <v>4.9563552974118963E-4</v>
      </c>
      <c r="W998">
        <v>883</v>
      </c>
      <c r="X998">
        <v>18.426582</v>
      </c>
      <c r="Y998">
        <v>1</v>
      </c>
      <c r="Z998">
        <f t="shared" si="158"/>
        <v>1</v>
      </c>
      <c r="AA998" s="21">
        <f>IF(X998&gt;$B$8+$B$9,0,ABS(X998-O998)/X998)</f>
        <v>5.7764835483298891E-3</v>
      </c>
      <c r="AB998">
        <f>IF(OR(Z995&lt;&gt;Z1001,X998&gt;$B$8+$B$9),0,((X1001-X995)/(W1001-W995)-(O1001-O995)/(W1001-W995))^2)</f>
        <v>1.8483911717549145E-6</v>
      </c>
    </row>
    <row r="999" spans="7:28" x14ac:dyDescent="0.2">
      <c r="G999" s="21"/>
      <c r="H999" s="21">
        <v>884</v>
      </c>
      <c r="I999">
        <f t="shared" si="164"/>
        <v>8.1061077199868631E-3</v>
      </c>
      <c r="J999">
        <f t="shared" si="165"/>
        <v>0.54039289593058659</v>
      </c>
      <c r="K999">
        <f t="shared" si="159"/>
        <v>23.903135734557964</v>
      </c>
      <c r="L999">
        <f>0.5*Z999*K999/J999/$B$7</f>
        <v>22.116441495215657</v>
      </c>
      <c r="M999">
        <f t="shared" si="162"/>
        <v>0.61545881892886278</v>
      </c>
      <c r="N999" s="21">
        <f t="shared" si="166"/>
        <v>6.1194542122047529E-2</v>
      </c>
      <c r="O999" s="21">
        <f t="shared" si="167"/>
        <v>18.328247259945034</v>
      </c>
      <c r="P999">
        <f t="shared" si="163"/>
        <v>0.68126806632439496</v>
      </c>
      <c r="Q999">
        <f t="shared" si="160"/>
        <v>0.54039289593058659</v>
      </c>
      <c r="R999">
        <f t="shared" si="161"/>
        <v>0.95944200318746564</v>
      </c>
      <c r="T999" s="21">
        <f>(M999-M998)/(H999-H998)</f>
        <v>4.9596628599457571E-4</v>
      </c>
      <c r="W999">
        <v>884</v>
      </c>
      <c r="X999">
        <v>18.439561999999999</v>
      </c>
      <c r="Y999">
        <v>1</v>
      </c>
      <c r="Z999">
        <f t="shared" si="158"/>
        <v>1</v>
      </c>
      <c r="AA999" s="21">
        <f>IF(X999&gt;$B$8+$B$9,0,ABS(X999-O999)/X999)</f>
        <v>6.036734498084337E-3</v>
      </c>
      <c r="AB999">
        <f>IF(OR(Z996&lt;&gt;Z1002,X999&gt;$B$8+$B$9),0,((X1002-X996)/(W1002-W996)-(O1002-O996)/(W1002-W996))^2)</f>
        <v>2.8726187020186526E-7</v>
      </c>
    </row>
    <row r="1000" spans="7:28" x14ac:dyDescent="0.2">
      <c r="G1000" s="21"/>
      <c r="H1000" s="21">
        <v>885</v>
      </c>
      <c r="I1000">
        <f t="shared" si="164"/>
        <v>8.1088028591047336E-3</v>
      </c>
      <c r="J1000">
        <f t="shared" si="165"/>
        <v>0.54012476666798226</v>
      </c>
      <c r="K1000">
        <f t="shared" si="159"/>
        <v>23.899345493814408</v>
      </c>
      <c r="L1000">
        <f>0.5*Z1000*K1000/J1000/$B$7</f>
        <v>22.123911889144559</v>
      </c>
      <c r="M1000">
        <f t="shared" si="162"/>
        <v>0.61595511672646308</v>
      </c>
      <c r="N1000" s="21">
        <f t="shared" si="166"/>
        <v>6.1215092487074317E-2</v>
      </c>
      <c r="O1000" s="21">
        <f t="shared" si="167"/>
        <v>18.336356062804139</v>
      </c>
      <c r="P1000">
        <f t="shared" si="163"/>
        <v>0.68166550992925246</v>
      </c>
      <c r="Q1000">
        <f t="shared" si="160"/>
        <v>0.54012476666798226</v>
      </c>
      <c r="R1000">
        <f t="shared" si="161"/>
        <v>0.95711613437755561</v>
      </c>
      <c r="T1000" s="21">
        <f>(M1000-M999)/(H1000-H999)</f>
        <v>4.9629779760029802E-4</v>
      </c>
      <c r="W1000">
        <v>885</v>
      </c>
      <c r="X1000">
        <v>18.449296999999998</v>
      </c>
      <c r="Y1000">
        <v>1</v>
      </c>
      <c r="Z1000">
        <f t="shared" si="158"/>
        <v>1</v>
      </c>
      <c r="AA1000" s="21">
        <f>IF(X1000&gt;$B$8+$B$9,0,ABS(X1000-O1000)/X1000)</f>
        <v>6.1216932653780113E-3</v>
      </c>
      <c r="AB1000">
        <f>IF(OR(Z997&lt;&gt;Z1003,X1000&gt;$B$8+$B$9),0,((X1003-X997)/(W1003-W997)-(O1003-O997)/(W1003-W997))^2)</f>
        <v>1.8220540298207716E-6</v>
      </c>
    </row>
    <row r="1001" spans="7:28" x14ac:dyDescent="0.2">
      <c r="G1001" s="21"/>
      <c r="H1001" s="21">
        <v>886</v>
      </c>
      <c r="I1001">
        <f t="shared" si="164"/>
        <v>8.1115076589576857E-3</v>
      </c>
      <c r="J1001">
        <f t="shared" si="165"/>
        <v>0.53985659106682327</v>
      </c>
      <c r="K1001">
        <f t="shared" si="159"/>
        <v>23.895560927388139</v>
      </c>
      <c r="L1001">
        <f>0.5*Z1001*K1001/J1001/$B$7</f>
        <v>22.131396858717203</v>
      </c>
      <c r="M1001">
        <f t="shared" si="162"/>
        <v>0.6164517467928069</v>
      </c>
      <c r="N1001" s="21">
        <f t="shared" si="166"/>
        <v>6.1235649639632114E-2</v>
      </c>
      <c r="O1001" s="21">
        <f t="shared" si="167"/>
        <v>18.344467570463095</v>
      </c>
      <c r="P1001">
        <f t="shared" si="163"/>
        <v>0.6820630222209888</v>
      </c>
      <c r="Q1001">
        <f t="shared" si="160"/>
        <v>0.53985659106682327</v>
      </c>
      <c r="R1001">
        <f t="shared" si="161"/>
        <v>0.95480111593946382</v>
      </c>
      <c r="T1001" s="21">
        <f>(M1001-M1000)/(H1001-H1000)</f>
        <v>4.9663006634381723E-4</v>
      </c>
      <c r="W1001">
        <v>886</v>
      </c>
      <c r="X1001">
        <v>18.455786</v>
      </c>
      <c r="Y1001">
        <v>1</v>
      </c>
      <c r="Z1001">
        <f t="shared" si="158"/>
        <v>1</v>
      </c>
      <c r="AA1001" s="21">
        <f>IF(X1001&gt;$B$8+$B$9,0,ABS(X1001-O1001)/X1001)</f>
        <v>6.0316276715012039E-3</v>
      </c>
      <c r="AB1001">
        <f>IF(OR(Z998&lt;&gt;Z1004,X1001&gt;$B$8+$B$9),0,((X1004-X998)/(W1004-W998)-(O1004-O998)/(W1004-W998))^2)</f>
        <v>1.168825202155304E-6</v>
      </c>
    </row>
    <row r="1002" spans="7:28" x14ac:dyDescent="0.2">
      <c r="G1002" s="21"/>
      <c r="H1002" s="21">
        <v>887</v>
      </c>
      <c r="I1002">
        <f t="shared" si="164"/>
        <v>8.1142221331190565E-3</v>
      </c>
      <c r="J1002">
        <f t="shared" si="165"/>
        <v>0.53958836891877526</v>
      </c>
      <c r="K1002">
        <f t="shared" si="159"/>
        <v>23.89178202851372</v>
      </c>
      <c r="L1002">
        <f>0.5*Z1002*K1002/J1002/$B$7</f>
        <v>22.138896429872982</v>
      </c>
      <c r="M1002">
        <f t="shared" si="162"/>
        <v>0.61694870988682493</v>
      </c>
      <c r="N1002" s="21">
        <f t="shared" si="166"/>
        <v>6.1256213618104967E-2</v>
      </c>
      <c r="O1002" s="21">
        <f t="shared" si="167"/>
        <v>18.352581792596215</v>
      </c>
      <c r="P1002">
        <f t="shared" si="163"/>
        <v>0.68246060350841475</v>
      </c>
      <c r="Q1002">
        <f t="shared" si="160"/>
        <v>0.53958836891877526</v>
      </c>
      <c r="R1002">
        <f t="shared" si="161"/>
        <v>0.95249687044056175</v>
      </c>
      <c r="T1002" s="21">
        <f>(M1002-M1001)/(H1002-H1001)</f>
        <v>4.9696309401803251E-4</v>
      </c>
      <c r="W1002">
        <v>887</v>
      </c>
      <c r="X1002">
        <v>18.467144000000001</v>
      </c>
      <c r="Y1002">
        <v>1</v>
      </c>
      <c r="Z1002">
        <f t="shared" si="158"/>
        <v>1</v>
      </c>
      <c r="AA1002" s="21">
        <f>IF(X1002&gt;$B$8+$B$9,0,ABS(X1002-O1002)/X1002)</f>
        <v>6.2035692906161326E-3</v>
      </c>
      <c r="AB1002">
        <f>IF(OR(Z999&lt;&gt;Z1005,X1002&gt;$B$8+$B$9),0,((X1005-X999)/(W1005-W999)-(O1005-O999)/(W1005-W999))^2)</f>
        <v>1.0508853542988382E-5</v>
      </c>
    </row>
    <row r="1003" spans="7:28" x14ac:dyDescent="0.2">
      <c r="G1003" s="21"/>
      <c r="H1003" s="21">
        <v>888</v>
      </c>
      <c r="I1003">
        <f t="shared" si="164"/>
        <v>8.116946295241902E-3</v>
      </c>
      <c r="J1003">
        <f t="shared" si="165"/>
        <v>0.5393201000152934</v>
      </c>
      <c r="K1003">
        <f t="shared" si="159"/>
        <v>23.888008790452584</v>
      </c>
      <c r="L1003">
        <f>0.5*Z1003*K1003/J1003/$B$7</f>
        <v>22.146410628655595</v>
      </c>
      <c r="M1003">
        <f t="shared" si="162"/>
        <v>0.61744600676924821</v>
      </c>
      <c r="N1003" s="21">
        <f t="shared" si="166"/>
        <v>6.1276784460950438E-2</v>
      </c>
      <c r="O1003" s="21">
        <f t="shared" si="167"/>
        <v>18.360698738891458</v>
      </c>
      <c r="P1003">
        <f t="shared" si="163"/>
        <v>0.68285825410065282</v>
      </c>
      <c r="Q1003">
        <f t="shared" si="160"/>
        <v>0.5393201000152934</v>
      </c>
      <c r="R1003">
        <f t="shared" si="161"/>
        <v>0.95020332118231365</v>
      </c>
      <c r="T1003" s="21">
        <f>(M1003-M1002)/(H1003-H1002)</f>
        <v>4.9729688242328152E-4</v>
      </c>
      <c r="W1003">
        <v>888</v>
      </c>
      <c r="X1003">
        <v>18.468765999999999</v>
      </c>
      <c r="Y1003">
        <v>1</v>
      </c>
      <c r="Z1003">
        <f t="shared" si="158"/>
        <v>1</v>
      </c>
      <c r="AA1003" s="21">
        <f>IF(X1003&gt;$B$8+$B$9,0,ABS(X1003-O1003)/X1003)</f>
        <v>5.8513525542822492E-3</v>
      </c>
      <c r="AB1003">
        <f>IF(OR(Z1000&lt;&gt;Z1006,X1003&gt;$B$8+$B$9),0,((X1006-X1000)/(W1006-W1000)-(O1006-O1000)/(W1006-W1000))^2)</f>
        <v>3.5601670523963273E-6</v>
      </c>
    </row>
    <row r="1004" spans="7:28" x14ac:dyDescent="0.2">
      <c r="G1004" s="21"/>
      <c r="H1004" s="21">
        <v>889</v>
      </c>
      <c r="I1004">
        <f t="shared" si="164"/>
        <v>8.1196801590592369E-3</v>
      </c>
      <c r="J1004">
        <f t="shared" si="165"/>
        <v>0.53905178414762056</v>
      </c>
      <c r="K1004">
        <f t="shared" si="159"/>
        <v>23.884241206492959</v>
      </c>
      <c r="L1004">
        <f>0.5*Z1004*K1004/J1004/$B$7</f>
        <v>22.153939481213371</v>
      </c>
      <c r="M1004">
        <f t="shared" si="162"/>
        <v>0.61794363820261633</v>
      </c>
      <c r="N1004" s="21">
        <f t="shared" si="166"/>
        <v>6.1297362206699943E-2</v>
      </c>
      <c r="O1004" s="21">
        <f t="shared" si="167"/>
        <v>18.368818419050516</v>
      </c>
      <c r="P1004">
        <f t="shared" si="163"/>
        <v>0.68325597430714036</v>
      </c>
      <c r="Q1004">
        <f t="shared" si="160"/>
        <v>0.53905178414762056</v>
      </c>
      <c r="R1004">
        <f t="shared" si="161"/>
        <v>0.94792039219158475</v>
      </c>
      <c r="T1004" s="21">
        <f>(M1004-M1003)/(H1004-H1003)</f>
        <v>4.9763143336811755E-4</v>
      </c>
      <c r="W1004">
        <v>889</v>
      </c>
      <c r="X1004">
        <v>18.481746000000001</v>
      </c>
      <c r="Y1004">
        <v>1</v>
      </c>
      <c r="Z1004">
        <f t="shared" si="158"/>
        <v>1</v>
      </c>
      <c r="AA1004" s="21">
        <f>IF(X1004&gt;$B$8+$B$9,0,ABS(X1004-O1004)/X1004)</f>
        <v>6.1102225379293142E-3</v>
      </c>
      <c r="AB1004">
        <f>IF(OR(Z1001&lt;&gt;Z1007,X1004&gt;$B$8+$B$9),0,((X1007-X1001)/(W1007-W1001)-(O1007-O1001)/(W1007-W1001))^2)</f>
        <v>1.8048178356131376E-6</v>
      </c>
    </row>
    <row r="1005" spans="7:28" x14ac:dyDescent="0.2">
      <c r="G1005" s="21"/>
      <c r="H1005" s="21">
        <v>890</v>
      </c>
      <c r="I1005">
        <f t="shared" si="164"/>
        <v>8.1224237383842272E-3</v>
      </c>
      <c r="J1005">
        <f t="shared" si="165"/>
        <v>0.53878342110678634</v>
      </c>
      <c r="K1005">
        <f t="shared" si="159"/>
        <v>23.880479269949831</v>
      </c>
      <c r="L1005">
        <f>0.5*Z1005*K1005/J1005/$B$7</f>
        <v>22.161483013799661</v>
      </c>
      <c r="M1005">
        <f t="shared" si="162"/>
        <v>0.61844160495128342</v>
      </c>
      <c r="N1005" s="21">
        <f t="shared" si="166"/>
        <v>6.1317946893959176E-2</v>
      </c>
      <c r="O1005" s="21">
        <f t="shared" si="167"/>
        <v>18.376940842788901</v>
      </c>
      <c r="P1005">
        <f t="shared" si="163"/>
        <v>0.68365376443763082</v>
      </c>
      <c r="Q1005">
        <f t="shared" si="160"/>
        <v>0.53878342110678634</v>
      </c>
      <c r="R1005">
        <f t="shared" si="161"/>
        <v>0.94564800821208372</v>
      </c>
      <c r="T1005" s="21">
        <f>(M1005-M1004)/(H1005-H1004)</f>
        <v>4.9796674866708912E-4</v>
      </c>
      <c r="W1005">
        <v>890</v>
      </c>
      <c r="X1005">
        <v>18.507705999999999</v>
      </c>
      <c r="Y1005">
        <v>1</v>
      </c>
      <c r="Z1005">
        <f t="shared" si="158"/>
        <v>1</v>
      </c>
      <c r="AA1005" s="21">
        <f>IF(X1005&gt;$B$8+$B$9,0,ABS(X1005-O1005)/X1005)</f>
        <v>7.0654438324824114E-3</v>
      </c>
      <c r="AB1005">
        <f>IF(OR(Z1002&lt;&gt;Z1008,X1005&gt;$B$8+$B$9),0,((X1008-X1002)/(W1008-W1002)-(O1008-O1002)/(W1008-W1002))^2)</f>
        <v>4.6304725904678585E-6</v>
      </c>
    </row>
    <row r="1006" spans="7:28" x14ac:dyDescent="0.2">
      <c r="G1006" s="21"/>
      <c r="H1006" s="21">
        <v>891</v>
      </c>
      <c r="I1006">
        <f t="shared" si="164"/>
        <v>8.1251770471104465E-3</v>
      </c>
      <c r="J1006">
        <f t="shared" si="165"/>
        <v>0.53851501068360486</v>
      </c>
      <c r="K1006">
        <f t="shared" si="159"/>
        <v>23.876722974164871</v>
      </c>
      <c r="L1006">
        <f>0.5*Z1006*K1006/J1006/$B$7</f>
        <v>22.169041252773198</v>
      </c>
      <c r="M1006">
        <f t="shared" si="162"/>
        <v>0.61893990778142749</v>
      </c>
      <c r="N1006" s="21">
        <f t="shared" si="166"/>
        <v>6.1338538561408612E-2</v>
      </c>
      <c r="O1006" s="21">
        <f t="shared" si="167"/>
        <v>18.38506601983601</v>
      </c>
      <c r="P1006">
        <f t="shared" si="163"/>
        <v>0.68405162480219672</v>
      </c>
      <c r="Q1006">
        <f t="shared" si="160"/>
        <v>0.53851501068360486</v>
      </c>
      <c r="R1006">
        <f t="shared" si="161"/>
        <v>0.94338609469591628</v>
      </c>
      <c r="T1006" s="21">
        <f>(M1006-M1005)/(H1006-H1005)</f>
        <v>4.9830283014407062E-4</v>
      </c>
      <c r="W1006">
        <v>891</v>
      </c>
      <c r="X1006">
        <v>18.509328</v>
      </c>
      <c r="Y1006">
        <v>1</v>
      </c>
      <c r="Z1006">
        <f t="shared" si="158"/>
        <v>1</v>
      </c>
      <c r="AA1006" s="21">
        <f>IF(X1006&gt;$B$8+$B$9,0,ABS(X1006-O1006)/X1006)</f>
        <v>6.7134787477962305E-3</v>
      </c>
      <c r="AB1006">
        <f>IF(OR(Z1003&lt;&gt;Z1009,X1006&gt;$B$8+$B$9),0,((X1009-X1003)/(W1009-W1003)-(O1009-O1003)/(W1009-W1003))^2)</f>
        <v>2.9096261871691507E-5</v>
      </c>
    </row>
    <row r="1007" spans="7:28" x14ac:dyDescent="0.2">
      <c r="G1007" s="21"/>
      <c r="H1007" s="21">
        <v>892</v>
      </c>
      <c r="I1007">
        <f t="shared" si="164"/>
        <v>8.1279400992120866E-3</v>
      </c>
      <c r="J1007">
        <f t="shared" si="165"/>
        <v>0.53824655266867394</v>
      </c>
      <c r="K1007">
        <f t="shared" si="159"/>
        <v>23.872972312506377</v>
      </c>
      <c r="L1007">
        <f>0.5*Z1007*K1007/J1007/$B$7</f>
        <v>22.176614224598442</v>
      </c>
      <c r="M1007">
        <f t="shared" si="162"/>
        <v>0.61943854746105653</v>
      </c>
      <c r="N1007" s="21">
        <f t="shared" si="166"/>
        <v>6.135913724780398E-2</v>
      </c>
      <c r="O1007" s="21">
        <f t="shared" si="167"/>
        <v>18.393193959935221</v>
      </c>
      <c r="P1007">
        <f t="shared" si="163"/>
        <v>0.68444955571123167</v>
      </c>
      <c r="Q1007">
        <f t="shared" si="160"/>
        <v>0.53824655266867394</v>
      </c>
      <c r="R1007">
        <f t="shared" si="161"/>
        <v>0.94113457779526211</v>
      </c>
      <c r="T1007" s="21">
        <f>(M1007-M1006)/(H1007-H1006)</f>
        <v>4.9863967962904265E-4</v>
      </c>
      <c r="W1007">
        <v>892</v>
      </c>
      <c r="X1007">
        <v>18.512573</v>
      </c>
      <c r="Y1007">
        <v>1</v>
      </c>
      <c r="Z1007">
        <f t="shared" si="158"/>
        <v>1</v>
      </c>
      <c r="AA1007" s="21">
        <f>IF(X1007&gt;$B$8+$B$9,0,ABS(X1007-O1007)/X1007)</f>
        <v>6.4485385183776726E-3</v>
      </c>
      <c r="AB1007">
        <f>IF(OR(Z1004&lt;&gt;Z1010,X1007&gt;$B$8+$B$9),0,((X1010-X1004)/(W1010-W1004)-(O1010-O1004)/(W1010-W1004))^2)</f>
        <v>7.2208314273394689E-6</v>
      </c>
    </row>
    <row r="1008" spans="7:28" x14ac:dyDescent="0.2">
      <c r="G1008" s="21"/>
      <c r="H1008" s="21">
        <v>893</v>
      </c>
      <c r="I1008">
        <f t="shared" si="164"/>
        <v>8.1307129087441841E-3</v>
      </c>
      <c r="J1008">
        <f t="shared" si="165"/>
        <v>0.53797804685237349</v>
      </c>
      <c r="K1008">
        <f t="shared" si="159"/>
        <v>23.869227278369241</v>
      </c>
      <c r="L1008">
        <f>0.5*Z1008*K1008/J1008/$B$7</f>
        <v>22.184201955845975</v>
      </c>
      <c r="M1008">
        <f t="shared" si="162"/>
        <v>0.61993752476001618</v>
      </c>
      <c r="N1008" s="21">
        <f t="shared" si="166"/>
        <v>6.1379742991976523E-2</v>
      </c>
      <c r="O1008" s="21">
        <f t="shared" si="167"/>
        <v>18.401324672843966</v>
      </c>
      <c r="P1008">
        <f t="shared" si="163"/>
        <v>0.68484755747545212</v>
      </c>
      <c r="Q1008">
        <f t="shared" si="160"/>
        <v>0.53797804685237349</v>
      </c>
      <c r="R1008">
        <f t="shared" si="161"/>
        <v>0.93889338435417202</v>
      </c>
      <c r="T1008" s="21">
        <f>(M1008-M1007)/(H1008-H1007)</f>
        <v>4.9897729895964638E-4</v>
      </c>
      <c r="W1008">
        <v>893</v>
      </c>
      <c r="X1008">
        <v>18.528797999999998</v>
      </c>
      <c r="Y1008">
        <v>1</v>
      </c>
      <c r="Z1008">
        <f t="shared" si="158"/>
        <v>1</v>
      </c>
      <c r="AA1008" s="21">
        <f>IF(X1008&gt;$B$8+$B$9,0,ABS(X1008-O1008)/X1008)</f>
        <v>6.8797407773581549E-3</v>
      </c>
      <c r="AB1008">
        <f>IF(OR(Z1005&lt;&gt;Z1011,X1008&gt;$B$8+$B$9),0,((X1011-X1005)/(W1011-W1005)-(O1011-O1005)/(W1011-W1005))^2)</f>
        <v>6.9075586255937198E-7</v>
      </c>
    </row>
    <row r="1009" spans="7:28" x14ac:dyDescent="0.2">
      <c r="G1009" s="21"/>
      <c r="H1009" s="21">
        <v>894</v>
      </c>
      <c r="I1009">
        <f t="shared" si="164"/>
        <v>8.1334954898428739E-3</v>
      </c>
      <c r="J1009">
        <f t="shared" si="165"/>
        <v>0.53770949302486359</v>
      </c>
      <c r="K1009">
        <f t="shared" si="159"/>
        <v>23.865487865174863</v>
      </c>
      <c r="L1009">
        <f>0.5*Z1009*K1009/J1009/$B$7</f>
        <v>22.191804473192857</v>
      </c>
      <c r="M1009">
        <f t="shared" si="162"/>
        <v>0.62043684044999825</v>
      </c>
      <c r="N1009" s="21">
        <f t="shared" si="166"/>
        <v>6.1400355832833695E-2</v>
      </c>
      <c r="O1009" s="21">
        <f t="shared" si="167"/>
        <v>18.40945816833381</v>
      </c>
      <c r="P1009">
        <f t="shared" si="163"/>
        <v>0.68524563040590014</v>
      </c>
      <c r="Q1009">
        <f t="shared" si="160"/>
        <v>0.53770949302486359</v>
      </c>
      <c r="R1009">
        <f t="shared" si="161"/>
        <v>0.93666244190047354</v>
      </c>
      <c r="T1009" s="21">
        <f>(M1009-M1008)/(H1009-H1008)</f>
        <v>4.9931568998207165E-4</v>
      </c>
      <c r="W1009">
        <v>894</v>
      </c>
      <c r="X1009">
        <v>18.549889999999998</v>
      </c>
      <c r="Y1009">
        <v>1</v>
      </c>
      <c r="Z1009">
        <f t="shared" si="158"/>
        <v>1</v>
      </c>
      <c r="AA1009" s="21">
        <f>IF(X1009&gt;$B$8+$B$9,0,ABS(X1009-O1009)/X1009)</f>
        <v>7.5704940388427048E-3</v>
      </c>
      <c r="AB1009">
        <f>IF(OR(Z1006&lt;&gt;Z1012,X1009&gt;$B$8+$B$9),0,((X1012-X1006)/(W1012-W1006)-(O1012-O1006)/(W1012-W1006))^2)</f>
        <v>1.7678235805277232E-6</v>
      </c>
    </row>
    <row r="1010" spans="7:28" x14ac:dyDescent="0.2">
      <c r="G1010" s="21"/>
      <c r="H1010" s="21">
        <v>895</v>
      </c>
      <c r="I1010">
        <f t="shared" si="164"/>
        <v>8.1362878567255974E-3</v>
      </c>
      <c r="J1010">
        <f t="shared" si="165"/>
        <v>0.53744089097608372</v>
      </c>
      <c r="K1010">
        <f t="shared" si="159"/>
        <v>23.861754066371113</v>
      </c>
      <c r="L1010">
        <f>0.5*Z1010*K1010/J1010/$B$7</f>
        <v>22.199421803423</v>
      </c>
      <c r="M1010">
        <f t="shared" si="162"/>
        <v>0.62093649530454698</v>
      </c>
      <c r="N1010" s="21">
        <f t="shared" si="166"/>
        <v>6.1420975809359464E-2</v>
      </c>
      <c r="O1010" s="21">
        <f t="shared" si="167"/>
        <v>18.417594456190535</v>
      </c>
      <c r="P1010">
        <f t="shared" si="163"/>
        <v>0.68564377481394534</v>
      </c>
      <c r="Q1010">
        <f t="shared" si="160"/>
        <v>0.53744089097608372</v>
      </c>
      <c r="R1010">
        <f t="shared" si="161"/>
        <v>0.9344416786377947</v>
      </c>
      <c r="T1010" s="21">
        <f>(M1010-M1009)/(H1010-H1009)</f>
        <v>4.996548545487256E-4</v>
      </c>
      <c r="W1010">
        <v>895</v>
      </c>
      <c r="X1010">
        <v>18.546644999999998</v>
      </c>
      <c r="Y1010">
        <v>1</v>
      </c>
      <c r="Z1010">
        <f t="shared" si="158"/>
        <v>1</v>
      </c>
      <c r="AA1010" s="21">
        <f>IF(X1010&gt;$B$8+$B$9,0,ABS(X1010-O1010)/X1010)</f>
        <v>6.9581611018846102E-3</v>
      </c>
      <c r="AB1010">
        <f>IF(OR(Z1007&lt;&gt;Z1013,X1010&gt;$B$8+$B$9),0,((X1013-X1007)/(W1013-W1007)-(O1013-O1007)/(W1013-W1007))^2)</f>
        <v>4.5708928449338594E-6</v>
      </c>
    </row>
    <row r="1011" spans="7:28" x14ac:dyDescent="0.2">
      <c r="G1011" s="21"/>
      <c r="H1011" s="21">
        <v>896</v>
      </c>
      <c r="I1011">
        <f t="shared" si="164"/>
        <v>8.1390900236913578E-3</v>
      </c>
      <c r="J1011">
        <f t="shared" si="165"/>
        <v>0.53717224049575041</v>
      </c>
      <c r="K1011">
        <f t="shared" si="159"/>
        <v>23.858025875432276</v>
      </c>
      <c r="L1011">
        <f>0.5*Z1011*K1011/J1011/$B$7</f>
        <v>22.207053973427559</v>
      </c>
      <c r="M1011">
        <f t="shared" si="162"/>
        <v>0.62143649009906832</v>
      </c>
      <c r="N1011" s="21">
        <f t="shared" si="166"/>
        <v>6.144160296061478E-2</v>
      </c>
      <c r="O1011" s="21">
        <f t="shared" si="167"/>
        <v>18.425733546214225</v>
      </c>
      <c r="P1011">
        <f t="shared" si="163"/>
        <v>0.68604199101128704</v>
      </c>
      <c r="Q1011">
        <f t="shared" si="160"/>
        <v>0.53717224049575041</v>
      </c>
      <c r="R1011">
        <f t="shared" si="161"/>
        <v>0.9322310234376977</v>
      </c>
      <c r="T1011" s="21">
        <f>(M1011-M1010)/(H1011-H1010)</f>
        <v>4.9999479452134121E-4</v>
      </c>
      <c r="W1011">
        <v>896</v>
      </c>
      <c r="X1011">
        <v>18.551511999999999</v>
      </c>
      <c r="Y1011">
        <v>1</v>
      </c>
      <c r="Z1011">
        <f t="shared" si="158"/>
        <v>1</v>
      </c>
      <c r="AA1011" s="21">
        <f>IF(X1011&gt;$B$8+$B$9,0,ABS(X1011-O1011)/X1011)</f>
        <v>6.7799570075891278E-3</v>
      </c>
      <c r="AB1011">
        <f>IF(OR(Z1008&lt;&gt;Z1014,X1011&gt;$B$8+$B$9),0,((X1014-X1008)/(W1014-W1008)-(O1014-O1008)/(W1014-W1008))^2)</f>
        <v>8.9207219583450627E-8</v>
      </c>
    </row>
    <row r="1012" spans="7:28" x14ac:dyDescent="0.2">
      <c r="G1012" s="21"/>
      <c r="H1012" s="21">
        <v>897</v>
      </c>
      <c r="I1012">
        <f t="shared" si="164"/>
        <v>8.1419020051209344E-3</v>
      </c>
      <c r="J1012">
        <f t="shared" si="165"/>
        <v>0.53690354137335616</v>
      </c>
      <c r="K1012">
        <f t="shared" si="159"/>
        <v>23.854303285858983</v>
      </c>
      <c r="L1012">
        <f>0.5*Z1012*K1012/J1012/$B$7</f>
        <v>22.214701010205285</v>
      </c>
      <c r="M1012">
        <f t="shared" si="162"/>
        <v>0.62193682561083652</v>
      </c>
      <c r="N1012" s="21">
        <f t="shared" si="166"/>
        <v>6.1462237325738092E-2</v>
      </c>
      <c r="O1012" s="21">
        <f t="shared" si="167"/>
        <v>18.433875448219347</v>
      </c>
      <c r="P1012">
        <f t="shared" si="163"/>
        <v>0.68644027930995744</v>
      </c>
      <c r="Q1012">
        <f t="shared" si="160"/>
        <v>0.53690354137335616</v>
      </c>
      <c r="R1012">
        <f t="shared" si="161"/>
        <v>0.93003040583191798</v>
      </c>
      <c r="T1012" s="21">
        <f>(M1012-M1011)/(H1012-H1011)</f>
        <v>5.0033551176820179E-4</v>
      </c>
      <c r="W1012">
        <v>897</v>
      </c>
      <c r="X1012">
        <v>18.566115</v>
      </c>
      <c r="Y1012">
        <v>1</v>
      </c>
      <c r="Z1012">
        <f t="shared" si="158"/>
        <v>1</v>
      </c>
      <c r="AA1012" s="21">
        <f>IF(X1012&gt;$B$8+$B$9,0,ABS(X1012-O1012)/X1012)</f>
        <v>7.1226291435043569E-3</v>
      </c>
      <c r="AB1012">
        <f>IF(OR(Z1009&lt;&gt;Z1015,X1012&gt;$B$8+$B$9),0,((X1015-X1009)/(W1015-W1009)-(O1015-O1009)/(W1015-W1009))^2)</f>
        <v>2.7340380822474737E-6</v>
      </c>
    </row>
    <row r="1013" spans="7:28" x14ac:dyDescent="0.2">
      <c r="G1013" s="21"/>
      <c r="H1013" s="21">
        <v>898</v>
      </c>
      <c r="I1013">
        <f t="shared" si="164"/>
        <v>8.144723815477142E-3</v>
      </c>
      <c r="J1013">
        <f t="shared" si="165"/>
        <v>0.53663479339816811</v>
      </c>
      <c r="K1013">
        <f t="shared" si="159"/>
        <v>23.850586291178178</v>
      </c>
      <c r="L1013">
        <f>0.5*Z1013*K1013/J1013/$B$7</f>
        <v>22.222362940862936</v>
      </c>
      <c r="M1013">
        <f t="shared" si="162"/>
        <v>0.62243750261900188</v>
      </c>
      <c r="N1013" s="21">
        <f t="shared" si="166"/>
        <v>6.1482878943945704E-2</v>
      </c>
      <c r="O1013" s="21">
        <f t="shared" si="167"/>
        <v>18.442020172034823</v>
      </c>
      <c r="P1013">
        <f t="shared" si="163"/>
        <v>0.68683864002232198</v>
      </c>
      <c r="Q1013">
        <f t="shared" si="160"/>
        <v>0.53663479339816811</v>
      </c>
      <c r="R1013">
        <f t="shared" si="161"/>
        <v>0.92783975600472413</v>
      </c>
      <c r="T1013" s="21">
        <f>(M1013-M1012)/(H1013-H1012)</f>
        <v>5.006770081653622E-4</v>
      </c>
      <c r="W1013">
        <v>898</v>
      </c>
      <c r="X1013">
        <v>18.574227</v>
      </c>
      <c r="Y1013">
        <v>1</v>
      </c>
      <c r="Z1013">
        <f t="shared" si="158"/>
        <v>1</v>
      </c>
      <c r="AA1013" s="21">
        <f>IF(X1013&gt;$B$8+$B$9,0,ABS(X1013-O1013)/X1013)</f>
        <v>7.117756661699965E-3</v>
      </c>
      <c r="AB1013">
        <f>IF(OR(Z1010&lt;&gt;Z1016,X1013&gt;$B$8+$B$9),0,((X1016-X1010)/(W1016-W1010)-(O1016-O1010)/(W1016-W1010))^2)</f>
        <v>4.5348294071415382E-6</v>
      </c>
    </row>
    <row r="1014" spans="7:28" x14ac:dyDescent="0.2">
      <c r="G1014" s="21"/>
      <c r="H1014" s="21">
        <v>899</v>
      </c>
      <c r="I1014">
        <f t="shared" si="164"/>
        <v>8.1475554693050747E-3</v>
      </c>
      <c r="J1014">
        <f t="shared" si="165"/>
        <v>0.53636599635922644</v>
      </c>
      <c r="K1014">
        <f t="shared" si="159"/>
        <v>23.846874884943055</v>
      </c>
      <c r="L1014">
        <f>0.5*Z1014*K1014/J1014/$B$7</f>
        <v>22.230039792615617</v>
      </c>
      <c r="M1014">
        <f t="shared" si="162"/>
        <v>0.62293852190459864</v>
      </c>
      <c r="N1014" s="21">
        <f t="shared" si="166"/>
        <v>6.1503527854532281E-2</v>
      </c>
      <c r="O1014" s="21">
        <f t="shared" si="167"/>
        <v>18.450167727504127</v>
      </c>
      <c r="P1014">
        <f t="shared" si="163"/>
        <v>0.68723707346108343</v>
      </c>
      <c r="Q1014">
        <f t="shared" si="160"/>
        <v>0.53636599635922644</v>
      </c>
      <c r="R1014">
        <f t="shared" si="161"/>
        <v>0.92565900478536645</v>
      </c>
      <c r="T1014" s="21">
        <f>(M1014-M1013)/(H1014-H1013)</f>
        <v>5.010192855967599E-4</v>
      </c>
      <c r="W1014">
        <v>899</v>
      </c>
      <c r="X1014">
        <v>18.575848999999998</v>
      </c>
      <c r="Y1014">
        <v>1</v>
      </c>
      <c r="Z1014">
        <f t="shared" si="158"/>
        <v>1</v>
      </c>
      <c r="AA1014" s="21">
        <f>IF(X1014&gt;$B$8+$B$9,0,ABS(X1014-O1014)/X1014)</f>
        <v>6.7658427076938109E-3</v>
      </c>
      <c r="AB1014">
        <f>IF(OR(Z1011&lt;&gt;Z1017,X1014&gt;$B$8+$B$9),0,((X1017-X1011)/(W1017-W1011)-(O1017-O1011)/(W1017-W1011))^2)</f>
        <v>8.6319064077247074E-6</v>
      </c>
    </row>
    <row r="1015" spans="7:28" x14ac:dyDescent="0.2">
      <c r="G1015" s="21"/>
      <c r="H1015" s="21">
        <v>900</v>
      </c>
      <c r="I1015">
        <f t="shared" si="164"/>
        <v>8.1503969812323166E-3</v>
      </c>
      <c r="J1015">
        <f t="shared" si="165"/>
        <v>0.5360971500453422</v>
      </c>
      <c r="K1015">
        <f t="shared" si="159"/>
        <v>23.84316906073299</v>
      </c>
      <c r="L1015">
        <f>0.5*Z1015*K1015/J1015/$B$7</f>
        <v>22.237731592787217</v>
      </c>
      <c r="M1015">
        <f t="shared" si="162"/>
        <v>0.62343988425055352</v>
      </c>
      <c r="N1015" s="21">
        <f t="shared" si="166"/>
        <v>6.1524184096871395E-2</v>
      </c>
      <c r="O1015" s="21">
        <f t="shared" si="167"/>
        <v>18.458318124485359</v>
      </c>
      <c r="P1015">
        <f t="shared" si="163"/>
        <v>0.68763557993928337</v>
      </c>
      <c r="Q1015">
        <f t="shared" si="160"/>
        <v>0.5360971500453422</v>
      </c>
      <c r="R1015">
        <f t="shared" si="161"/>
        <v>0.9234880836406415</v>
      </c>
      <c r="T1015" s="21">
        <f>(M1015-M1014)/(H1015-H1014)</f>
        <v>5.0136234595488105E-4</v>
      </c>
      <c r="W1015">
        <v>900</v>
      </c>
      <c r="X1015">
        <v>18.588829</v>
      </c>
      <c r="Y1015">
        <v>1</v>
      </c>
      <c r="Z1015">
        <f t="shared" si="158"/>
        <v>1</v>
      </c>
      <c r="AA1015" s="21">
        <f>IF(X1015&gt;$B$8+$B$9,0,ABS(X1015-O1015)/X1015)</f>
        <v>7.0209304477781443E-3</v>
      </c>
      <c r="AB1015">
        <f>IF(OR(Z1012&lt;&gt;Z1018,X1015&gt;$B$8+$B$9),0,((X1018-X1012)/(W1018-W1012)-(O1018-O1012)/(W1018-W1012))^2)</f>
        <v>1.560448604696203E-9</v>
      </c>
    </row>
    <row r="1016" spans="7:28" x14ac:dyDescent="0.2">
      <c r="G1016" s="21"/>
      <c r="H1016" s="21">
        <v>901</v>
      </c>
      <c r="I1016">
        <f t="shared" si="164"/>
        <v>8.1532483659692359E-3</v>
      </c>
      <c r="J1016">
        <f t="shared" si="165"/>
        <v>0.53582825424509661</v>
      </c>
      <c r="K1016">
        <f t="shared" si="159"/>
        <v>23.839468812153509</v>
      </c>
      <c r="L1016">
        <f>0.5*Z1016*K1016/J1016/$B$7</f>
        <v>22.245438368810753</v>
      </c>
      <c r="M1016">
        <f t="shared" si="162"/>
        <v>0.62394159044169251</v>
      </c>
      <c r="N1016" s="21">
        <f t="shared" si="166"/>
        <v>6.1544847710415879E-2</v>
      </c>
      <c r="O1016" s="21">
        <f t="shared" si="167"/>
        <v>18.466471372851327</v>
      </c>
      <c r="P1016">
        <f t="shared" si="163"/>
        <v>0.68803415977030435</v>
      </c>
      <c r="Q1016">
        <f t="shared" si="160"/>
        <v>0.53582825424509661</v>
      </c>
      <c r="R1016">
        <f t="shared" si="161"/>
        <v>0.9213269246675575</v>
      </c>
      <c r="T1016" s="21">
        <f>(M1016-M1015)/(H1016-H1015)</f>
        <v>5.0170619113898418E-4</v>
      </c>
      <c r="W1016">
        <v>901</v>
      </c>
      <c r="X1016">
        <v>18.608298999999999</v>
      </c>
      <c r="Y1016">
        <v>1</v>
      </c>
      <c r="Z1016">
        <f t="shared" si="158"/>
        <v>1</v>
      </c>
      <c r="AA1016" s="21">
        <f>IF(X1016&gt;$B$8+$B$9,0,ABS(X1016-O1016)/X1016)</f>
        <v>7.6217405550433074E-3</v>
      </c>
      <c r="AB1016">
        <f>IF(OR(Z1013&lt;&gt;Z1019,X1016&gt;$B$8+$B$9),0,((X1019-X1013)/(W1019-W1013)-(O1019-O1013)/(W1019-W1013))^2)</f>
        <v>5.7183530155967403E-6</v>
      </c>
    </row>
    <row r="1017" spans="7:28" x14ac:dyDescent="0.2">
      <c r="G1017" s="21"/>
      <c r="H1017" s="21">
        <v>902</v>
      </c>
      <c r="I1017">
        <f t="shared" si="164"/>
        <v>8.1561096383091537E-3</v>
      </c>
      <c r="J1017">
        <f t="shared" si="165"/>
        <v>0.53555930874683955</v>
      </c>
      <c r="K1017">
        <f t="shared" si="159"/>
        <v>23.835774132836228</v>
      </c>
      <c r="L1017">
        <f>0.5*Z1017*K1017/J1017/$B$7</f>
        <v>22.253160148228762</v>
      </c>
      <c r="M1017">
        <f t="shared" si="162"/>
        <v>0.62444364126474883</v>
      </c>
      <c r="N1017" s="21">
        <f t="shared" si="166"/>
        <v>6.1565518734698232E-2</v>
      </c>
      <c r="O1017" s="21">
        <f t="shared" si="167"/>
        <v>18.474627482489637</v>
      </c>
      <c r="P1017">
        <f t="shared" si="163"/>
        <v>0.6884328132678722</v>
      </c>
      <c r="Q1017">
        <f t="shared" si="160"/>
        <v>0.53555930874683955</v>
      </c>
      <c r="R1017">
        <f t="shared" si="161"/>
        <v>0.91917546058609922</v>
      </c>
      <c r="T1017" s="21">
        <f>(M1017-M1016)/(H1017-H1016)</f>
        <v>5.0205082305632143E-4</v>
      </c>
      <c r="W1017">
        <v>902</v>
      </c>
      <c r="X1017">
        <v>18.618033999999998</v>
      </c>
      <c r="Y1017">
        <v>1</v>
      </c>
      <c r="Z1017">
        <f t="shared" si="158"/>
        <v>1</v>
      </c>
      <c r="AA1017" s="21">
        <f>IF(X1017&gt;$B$8+$B$9,0,ABS(X1017-O1017)/X1017)</f>
        <v>7.7025596532029374E-3</v>
      </c>
      <c r="AB1017">
        <f>IF(OR(Z1014&lt;&gt;Z1020,X1017&gt;$B$8+$B$9),0,((X1020-X1014)/(W1020-W1014)-(O1020-O1014)/(W1020-W1014))^2)</f>
        <v>2.4579274582526583E-7</v>
      </c>
    </row>
    <row r="1018" spans="7:28" x14ac:dyDescent="0.2">
      <c r="G1018" s="21"/>
      <c r="H1018" s="21">
        <v>903</v>
      </c>
      <c r="I1018">
        <f t="shared" si="164"/>
        <v>8.1589808131286926E-3</v>
      </c>
      <c r="J1018">
        <f t="shared" si="165"/>
        <v>0.53529031333868726</v>
      </c>
      <c r="K1018">
        <f t="shared" si="159"/>
        <v>23.8320850164388</v>
      </c>
      <c r="L1018">
        <f>0.5*Z1018*K1018/J1018/$B$7</f>
        <v>22.260896958693735</v>
      </c>
      <c r="M1018">
        <f t="shared" si="162"/>
        <v>0.6249460375083713</v>
      </c>
      <c r="N1018" s="21">
        <f t="shared" si="166"/>
        <v>6.1586197209331263E-2</v>
      </c>
      <c r="O1018" s="21">
        <f t="shared" si="167"/>
        <v>18.482786463302766</v>
      </c>
      <c r="P1018">
        <f t="shared" si="163"/>
        <v>0.68883154074605835</v>
      </c>
      <c r="Q1018">
        <f t="shared" si="160"/>
        <v>0.53529031333868726</v>
      </c>
      <c r="R1018">
        <f t="shared" si="161"/>
        <v>0.91703362473209216</v>
      </c>
      <c r="T1018" s="21">
        <f>(M1018-M1017)/(H1018-H1017)</f>
        <v>5.0239624362247159E-4</v>
      </c>
      <c r="W1018">
        <v>903</v>
      </c>
      <c r="X1018">
        <v>18.614788999999998</v>
      </c>
      <c r="Y1018">
        <v>1</v>
      </c>
      <c r="Z1018">
        <f t="shared" si="158"/>
        <v>1</v>
      </c>
      <c r="AA1018" s="21">
        <f>IF(X1018&gt;$B$8+$B$9,0,ABS(X1018-O1018)/X1018)</f>
        <v>7.0912722511779422E-3</v>
      </c>
      <c r="AB1018">
        <f>IF(OR(Z1015&lt;&gt;Z1021,X1018&gt;$B$8+$B$9),0,((X1021-X1015)/(W1021-W1015)-(O1021-O1015)/(W1021-W1015))^2)</f>
        <v>1.7005865868583712E-6</v>
      </c>
    </row>
    <row r="1019" spans="7:28" x14ac:dyDescent="0.2">
      <c r="G1019" s="21"/>
      <c r="H1019" s="21">
        <v>904</v>
      </c>
      <c r="I1019">
        <f t="shared" si="164"/>
        <v>8.1618619053879429E-3</v>
      </c>
      <c r="J1019">
        <f t="shared" si="165"/>
        <v>0.53502126780852122</v>
      </c>
      <c r="K1019">
        <f t="shared" si="159"/>
        <v>23.828401456644851</v>
      </c>
      <c r="L1019">
        <f>0.5*Z1019*K1019/J1019/$B$7</f>
        <v>22.268648827968459</v>
      </c>
      <c r="M1019">
        <f t="shared" si="162"/>
        <v>0.62544877996313286</v>
      </c>
      <c r="N1019" s="21">
        <f t="shared" si="166"/>
        <v>6.1606883174008475E-2</v>
      </c>
      <c r="O1019" s="21">
        <f t="shared" si="167"/>
        <v>18.490948325208155</v>
      </c>
      <c r="P1019">
        <f t="shared" si="163"/>
        <v>0.68923034251928272</v>
      </c>
      <c r="Q1019">
        <f t="shared" si="160"/>
        <v>0.53502126780852122</v>
      </c>
      <c r="R1019">
        <f t="shared" si="161"/>
        <v>0.91490135105016179</v>
      </c>
      <c r="T1019" s="21">
        <f>(M1019-M1018)/(H1019-H1018)</f>
        <v>5.0274245476156221E-4</v>
      </c>
      <c r="W1019">
        <v>904</v>
      </c>
      <c r="X1019">
        <v>18.637502999999999</v>
      </c>
      <c r="Y1019">
        <v>1</v>
      </c>
      <c r="Z1019">
        <f t="shared" si="158"/>
        <v>1</v>
      </c>
      <c r="AA1019" s="21">
        <f>IF(X1019&gt;$B$8+$B$9,0,ABS(X1019-O1019)/X1019)</f>
        <v>7.8634286358984801E-3</v>
      </c>
      <c r="AB1019">
        <f>IF(OR(Z1016&lt;&gt;Z1022,X1019&gt;$B$8+$B$9),0,((X1022-X1016)/(W1022-W1016)-(O1022-O1016)/(W1022-W1016))^2)</f>
        <v>3.5025170684109673E-7</v>
      </c>
    </row>
    <row r="1020" spans="7:28" x14ac:dyDescent="0.2">
      <c r="G1020" s="21"/>
      <c r="H1020" s="21">
        <v>905</v>
      </c>
      <c r="I1020">
        <f t="shared" si="164"/>
        <v>8.1647529301307597E-3</v>
      </c>
      <c r="J1020">
        <f t="shared" si="165"/>
        <v>0.53475217194398716</v>
      </c>
      <c r="K1020">
        <f t="shared" si="159"/>
        <v>23.824723447163958</v>
      </c>
      <c r="L1020">
        <f>0.5*Z1020*K1020/J1020/$B$7</f>
        <v>22.276415783926435</v>
      </c>
      <c r="M1020">
        <f t="shared" si="162"/>
        <v>0.62595186942153624</v>
      </c>
      <c r="N1020" s="21">
        <f t="shared" si="166"/>
        <v>6.162757666850445E-2</v>
      </c>
      <c r="O1020" s="21">
        <f t="shared" si="167"/>
        <v>18.499113078138286</v>
      </c>
      <c r="P1020">
        <f t="shared" si="163"/>
        <v>0.68962921890231466</v>
      </c>
      <c r="Q1020">
        <f t="shared" si="160"/>
        <v>0.53475217194398716</v>
      </c>
      <c r="R1020">
        <f t="shared" si="161"/>
        <v>0.91277857408679997</v>
      </c>
      <c r="T1020" s="21">
        <f>(M1020-M1019)/(H1020-H1019)</f>
        <v>5.0308945840338293E-4</v>
      </c>
      <c r="W1020">
        <v>905</v>
      </c>
      <c r="X1020">
        <v>18.627769000000001</v>
      </c>
      <c r="Y1020">
        <v>1</v>
      </c>
      <c r="Z1020">
        <f t="shared" si="158"/>
        <v>1</v>
      </c>
      <c r="AA1020" s="21">
        <f>IF(X1020&gt;$B$8+$B$9,0,ABS(X1020-O1020)/X1020)</f>
        <v>6.9066736795863346E-3</v>
      </c>
      <c r="AB1020">
        <f>IF(OR(Z1017&lt;&gt;Z1023,X1020&gt;$B$8+$B$9),0,((X1023-X1017)/(W1023-W1017)-(O1023-O1017)/(W1023-W1017))^2)</f>
        <v>1.0563385323971955E-6</v>
      </c>
    </row>
    <row r="1021" spans="7:28" x14ac:dyDescent="0.2">
      <c r="G1021" s="21"/>
      <c r="H1021" s="21">
        <v>906</v>
      </c>
      <c r="I1021">
        <f t="shared" si="164"/>
        <v>8.1676539024849743E-3</v>
      </c>
      <c r="J1021">
        <f t="shared" si="165"/>
        <v>0.53448302553249261</v>
      </c>
      <c r="K1021">
        <f t="shared" si="159"/>
        <v>23.821050981731567</v>
      </c>
      <c r="L1021">
        <f>0.5*Z1021*K1021/J1021/$B$7</f>
        <v>22.284197854552279</v>
      </c>
      <c r="M1021">
        <f t="shared" si="162"/>
        <v>0.62645530667802451</v>
      </c>
      <c r="N1021" s="21">
        <f t="shared" si="166"/>
        <v>6.1648277732675442E-2</v>
      </c>
      <c r="O1021" s="21">
        <f t="shared" si="167"/>
        <v>18.507280732040773</v>
      </c>
      <c r="P1021">
        <f t="shared" si="163"/>
        <v>0.69002817021027651</v>
      </c>
      <c r="Q1021">
        <f t="shared" si="160"/>
        <v>0.53448302553249261</v>
      </c>
      <c r="R1021">
        <f t="shared" si="161"/>
        <v>0.91066522898351054</v>
      </c>
      <c r="T1021" s="21">
        <f>(M1021-M1020)/(H1021-H1020)</f>
        <v>5.0343725648827053E-4</v>
      </c>
      <c r="W1021">
        <v>906</v>
      </c>
      <c r="X1021">
        <v>18.645616</v>
      </c>
      <c r="Y1021">
        <v>1</v>
      </c>
      <c r="Z1021">
        <f t="shared" si="158"/>
        <v>1</v>
      </c>
      <c r="AA1021" s="21">
        <f>IF(X1021&gt;$B$8+$B$9,0,ABS(X1021-O1021)/X1021)</f>
        <v>7.419184646901866E-3</v>
      </c>
      <c r="AB1021">
        <f>IF(OR(Z1018&lt;&gt;Z1024,X1021&gt;$B$8+$B$9),0,((X1024-X1018)/(W1024-W1018)-(O1024-O1018)/(W1024-W1018))^2)</f>
        <v>1.2960820580124845E-6</v>
      </c>
    </row>
    <row r="1022" spans="7:28" x14ac:dyDescent="0.2">
      <c r="G1022" s="21"/>
      <c r="H1022" s="21">
        <v>907</v>
      </c>
      <c r="I1022">
        <f t="shared" si="164"/>
        <v>8.1705648376627152E-3</v>
      </c>
      <c r="J1022">
        <f t="shared" si="165"/>
        <v>0.5342138283612059</v>
      </c>
      <c r="K1022">
        <f t="shared" si="159"/>
        <v>23.817384054108953</v>
      </c>
      <c r="L1022">
        <f>0.5*Z1022*K1022/J1022/$B$7</f>
        <v>22.291995067942114</v>
      </c>
      <c r="M1022">
        <f t="shared" si="162"/>
        <v>0.62695909252898763</v>
      </c>
      <c r="N1022" s="21">
        <f t="shared" si="166"/>
        <v>6.1668986406459785E-2</v>
      </c>
      <c r="O1022" s="21">
        <f t="shared" si="167"/>
        <v>18.515451296878435</v>
      </c>
      <c r="P1022">
        <f t="shared" si="163"/>
        <v>0.69042719675864517</v>
      </c>
      <c r="Q1022">
        <f t="shared" si="160"/>
        <v>0.5342138283612059</v>
      </c>
      <c r="R1022">
        <f t="shared" si="161"/>
        <v>0.9085612514700615</v>
      </c>
      <c r="T1022" s="21">
        <f>(M1022-M1021)/(H1022-H1021)</f>
        <v>5.0378585096311213E-4</v>
      </c>
      <c r="W1022">
        <v>907</v>
      </c>
      <c r="X1022">
        <v>18.653728000000001</v>
      </c>
      <c r="Y1022">
        <v>1</v>
      </c>
      <c r="Z1022">
        <f t="shared" ref="Z1022:Z1085" si="168">Y1022</f>
        <v>1</v>
      </c>
      <c r="AA1022" s="21">
        <f>IF(X1022&gt;$B$8+$B$9,0,ABS(X1022-O1022)/X1022)</f>
        <v>7.4128186666796948E-3</v>
      </c>
      <c r="AB1022">
        <f>IF(OR(Z1019&lt;&gt;Z1025,X1022&gt;$B$8+$B$9),0,((X1025-X1019)/(W1025-W1019)-(O1025-O1019)/(W1025-W1019))^2)</f>
        <v>1.3023494806511228E-6</v>
      </c>
    </row>
    <row r="1023" spans="7:28" x14ac:dyDescent="0.2">
      <c r="G1023" s="21"/>
      <c r="H1023" s="21">
        <v>908</v>
      </c>
      <c r="I1023">
        <f t="shared" si="164"/>
        <v>8.1734857509606004E-3</v>
      </c>
      <c r="J1023">
        <f t="shared" si="165"/>
        <v>0.53394458021705415</v>
      </c>
      <c r="K1023">
        <f t="shared" si="159"/>
        <v>23.813722658083179</v>
      </c>
      <c r="L1023">
        <f>0.5*Z1023*K1023/J1023/$B$7</f>
        <v>22.299807452303991</v>
      </c>
      <c r="M1023">
        <f t="shared" si="162"/>
        <v>0.62746322777277164</v>
      </c>
      <c r="N1023" s="21">
        <f t="shared" si="166"/>
        <v>6.1689702729878414E-2</v>
      </c>
      <c r="O1023" s="21">
        <f t="shared" si="167"/>
        <v>18.523624782629398</v>
      </c>
      <c r="P1023">
        <f t="shared" si="163"/>
        <v>0.69082629886325486</v>
      </c>
      <c r="Q1023">
        <f t="shared" si="160"/>
        <v>0.53394458021705415</v>
      </c>
      <c r="R1023">
        <f t="shared" si="161"/>
        <v>0.90646657785781948</v>
      </c>
      <c r="T1023" s="21">
        <f>(M1023-M1022)/(H1023-H1022)</f>
        <v>5.0413524378400965E-4</v>
      </c>
      <c r="W1023">
        <v>908</v>
      </c>
      <c r="X1023">
        <v>18.673197999999999</v>
      </c>
      <c r="Y1023">
        <v>1</v>
      </c>
      <c r="Z1023">
        <f t="shared" si="168"/>
        <v>1</v>
      </c>
      <c r="AA1023" s="21">
        <f>IF(X1023&gt;$B$8+$B$9,0,ABS(X1023-O1023)/X1023)</f>
        <v>8.0100482718922436E-3</v>
      </c>
      <c r="AB1023">
        <f>IF(OR(Z1020&lt;&gt;Z1026,X1023&gt;$B$8+$B$9),0,((X1026-X1020)/(W1026-W1020)-(O1026-O1020)/(W1026-W1020))^2)</f>
        <v>2.8396671815557539E-6</v>
      </c>
    </row>
    <row r="1024" spans="7:28" x14ac:dyDescent="0.2">
      <c r="G1024" s="21"/>
      <c r="H1024" s="21">
        <v>909</v>
      </c>
      <c r="I1024">
        <f t="shared" si="164"/>
        <v>8.1764166577600345E-3</v>
      </c>
      <c r="J1024">
        <f t="shared" si="165"/>
        <v>0.53367528088672267</v>
      </c>
      <c r="K1024">
        <f t="shared" si="159"/>
        <v>23.81006678746704</v>
      </c>
      <c r="L1024">
        <f>0.5*Z1024*K1024/J1024/$B$7</f>
        <v>22.30763503595826</v>
      </c>
      <c r="M1024">
        <f t="shared" si="162"/>
        <v>0.6279677132096847</v>
      </c>
      <c r="N1024" s="21">
        <f t="shared" si="166"/>
        <v>6.1710426743035257E-2</v>
      </c>
      <c r="O1024" s="21">
        <f t="shared" si="167"/>
        <v>18.531801199287159</v>
      </c>
      <c r="P1024">
        <f t="shared" si="163"/>
        <v>0.69122547684029867</v>
      </c>
      <c r="Q1024">
        <f t="shared" si="160"/>
        <v>0.53367528088672267</v>
      </c>
      <c r="R1024">
        <f t="shared" si="161"/>
        <v>0.90438114503318368</v>
      </c>
      <c r="T1024" s="21">
        <f>(M1024-M1023)/(H1024-H1023)</f>
        <v>5.0448543691306025E-4</v>
      </c>
      <c r="W1024">
        <v>909</v>
      </c>
      <c r="X1024">
        <v>18.656973000000001</v>
      </c>
      <c r="Y1024">
        <v>1</v>
      </c>
      <c r="Z1024">
        <f t="shared" si="168"/>
        <v>1</v>
      </c>
      <c r="AA1024" s="21">
        <f>IF(X1024&gt;$B$8+$B$9,0,ABS(X1024-O1024)/X1024)</f>
        <v>6.7091162490743664E-3</v>
      </c>
      <c r="AB1024">
        <f>IF(OR(Z1021&lt;&gt;Z1027,X1024&gt;$B$8+$B$9),0,((X1027-X1021)/(W1027-W1021)-(O1027-O1021)/(W1027-W1021))^2)</f>
        <v>3.338901748615064E-6</v>
      </c>
    </row>
    <row r="1025" spans="7:28" x14ac:dyDescent="0.2">
      <c r="G1025" s="21"/>
      <c r="H1025" s="21">
        <v>910</v>
      </c>
      <c r="I1025">
        <f t="shared" si="164"/>
        <v>8.179357573527446E-3</v>
      </c>
      <c r="J1025">
        <f t="shared" si="165"/>
        <v>0.53340593015665205</v>
      </c>
      <c r="K1025">
        <f t="shared" si="159"/>
        <v>23.806416436098996</v>
      </c>
      <c r="L1025">
        <f>0.5*Z1025*K1025/J1025/$B$7</f>
        <v>22.315477847338016</v>
      </c>
      <c r="M1025">
        <f t="shared" si="162"/>
        <v>0.62847254964200794</v>
      </c>
      <c r="N1025" s="21">
        <f t="shared" si="166"/>
        <v>6.1731158486117856E-2</v>
      </c>
      <c r="O1025" s="21">
        <f t="shared" si="167"/>
        <v>18.539980556860687</v>
      </c>
      <c r="P1025">
        <f t="shared" si="163"/>
        <v>0.69162473100633204</v>
      </c>
      <c r="Q1025">
        <f t="shared" si="160"/>
        <v>0.53340593015665205</v>
      </c>
      <c r="R1025">
        <f t="shared" si="161"/>
        <v>0.90230489045109652</v>
      </c>
      <c r="T1025" s="21">
        <f>(M1025-M1024)/(H1025-H1024)</f>
        <v>5.0483643232324127E-4</v>
      </c>
      <c r="W1025">
        <v>910</v>
      </c>
      <c r="X1025">
        <v>18.679687999999999</v>
      </c>
      <c r="Y1025">
        <v>1</v>
      </c>
      <c r="Z1025">
        <f t="shared" si="168"/>
        <v>1</v>
      </c>
      <c r="AA1025" s="21">
        <f>IF(X1025&gt;$B$8+$B$9,0,ABS(X1025-O1025)/X1025)</f>
        <v>7.4791100975193751E-3</v>
      </c>
      <c r="AB1025">
        <f>IF(OR(Z1022&lt;&gt;Z1028,X1025&gt;$B$8+$B$9),0,((X1028-X1022)/(W1028-W1022)-(O1028-O1022)/(W1028-W1022))^2)</f>
        <v>1.64776651305872E-6</v>
      </c>
    </row>
    <row r="1026" spans="7:28" x14ac:dyDescent="0.2">
      <c r="G1026" s="21"/>
      <c r="H1026" s="21">
        <v>911</v>
      </c>
      <c r="I1026">
        <f t="shared" si="164"/>
        <v>8.1823085138145561E-3</v>
      </c>
      <c r="J1026">
        <f t="shared" si="165"/>
        <v>0.53313652781303789</v>
      </c>
      <c r="K1026">
        <f t="shared" si="159"/>
        <v>23.802771597843154</v>
      </c>
      <c r="L1026">
        <f>0.5*Z1026*K1026/J1026/$B$7</f>
        <v>22.323335914989482</v>
      </c>
      <c r="M1026">
        <f t="shared" si="162"/>
        <v>0.62897773787400135</v>
      </c>
      <c r="N1026" s="21">
        <f t="shared" si="166"/>
        <v>6.1751897999397683E-2</v>
      </c>
      <c r="O1026" s="21">
        <f t="shared" si="167"/>
        <v>18.548162865374501</v>
      </c>
      <c r="P1026">
        <f t="shared" si="163"/>
        <v>0.69202406167827391</v>
      </c>
      <c r="Q1026">
        <f t="shared" si="160"/>
        <v>0.53313652781303789</v>
      </c>
      <c r="R1026">
        <f t="shared" si="161"/>
        <v>0.90023775212865575</v>
      </c>
      <c r="T1026" s="21">
        <f>(M1026-M1025)/(H1026-H1025)</f>
        <v>5.0518823199341423E-4</v>
      </c>
      <c r="W1026">
        <v>911</v>
      </c>
      <c r="X1026">
        <v>18.666708</v>
      </c>
      <c r="Y1026">
        <v>1</v>
      </c>
      <c r="Z1026">
        <f t="shared" si="168"/>
        <v>1</v>
      </c>
      <c r="AA1026" s="21">
        <f>IF(X1026&gt;$B$8+$B$9,0,ABS(X1026-O1026)/X1026)</f>
        <v>6.3506181499972739E-3</v>
      </c>
      <c r="AB1026">
        <f>IF(OR(Z1023&lt;&gt;Z1029,X1026&gt;$B$8+$B$9),0,((X1029-X1023)/(W1029-W1023)-(O1029-O1023)/(W1029-W1023))^2)</f>
        <v>1.6397594675770022E-6</v>
      </c>
    </row>
    <row r="1027" spans="7:28" x14ac:dyDescent="0.2">
      <c r="G1027" s="21"/>
      <c r="H1027" s="21">
        <v>912</v>
      </c>
      <c r="I1027">
        <f t="shared" si="164"/>
        <v>8.1852694942586793E-3</v>
      </c>
      <c r="J1027">
        <f t="shared" si="165"/>
        <v>0.53286707364182828</v>
      </c>
      <c r="K1027">
        <f t="shared" ref="K1027:K1090" si="169">IF(O1027&lt;$B$8+$B$9,0.5*(($B$8+$B$9)^2+O1027^2)/O1027-$B$9,$B$8)</f>
        <v>23.799132266589201</v>
      </c>
      <c r="L1027">
        <f>0.5*Z1027*K1027/J1027/$B$7</f>
        <v>22.331209267572437</v>
      </c>
      <c r="M1027">
        <f t="shared" si="162"/>
        <v>0.62948327871191334</v>
      </c>
      <c r="N1027" s="21">
        <f t="shared" si="166"/>
        <v>6.1772645323230714E-2</v>
      </c>
      <c r="O1027" s="21">
        <f t="shared" si="167"/>
        <v>18.55634813486876</v>
      </c>
      <c r="P1027">
        <f t="shared" si="163"/>
        <v>0.6924234691734098</v>
      </c>
      <c r="Q1027">
        <f t="shared" ref="Q1027:Q1090" si="170">1-B$15*P1027</f>
        <v>0.53286707364182828</v>
      </c>
      <c r="R1027">
        <f t="shared" ref="R1027:R1090" si="171">$E$15/(P1027+$E$16)</f>
        <v>0.89817966863880094</v>
      </c>
      <c r="T1027" s="21">
        <f>(M1027-M1026)/(H1027-H1026)</f>
        <v>5.0554083791198856E-4</v>
      </c>
      <c r="W1027">
        <v>912</v>
      </c>
      <c r="X1027">
        <v>18.705646999999999</v>
      </c>
      <c r="Y1027">
        <v>1</v>
      </c>
      <c r="Z1027">
        <f t="shared" si="168"/>
        <v>1</v>
      </c>
      <c r="AA1027" s="21">
        <f>IF(X1027&gt;$B$8+$B$9,0,ABS(X1027-O1027)/X1027)</f>
        <v>7.981486292948833E-3</v>
      </c>
      <c r="AB1027">
        <f>IF(OR(Z1024&lt;&gt;Z1030,X1027&gt;$B$8+$B$9),0,((X1030-X1024)/(W1030-W1024)-(O1030-O1024)/(W1030-W1024))^2)</f>
        <v>6.9154881258911305E-6</v>
      </c>
    </row>
    <row r="1028" spans="7:28" x14ac:dyDescent="0.2">
      <c r="G1028" s="21"/>
      <c r="H1028" s="21">
        <v>913</v>
      </c>
      <c r="I1028">
        <f t="shared" si="164"/>
        <v>8.188240530582945E-3</v>
      </c>
      <c r="J1028">
        <f t="shared" si="165"/>
        <v>0.53259756742872255</v>
      </c>
      <c r="K1028">
        <f t="shared" si="169"/>
        <v>23.795498436252334</v>
      </c>
      <c r="L1028">
        <f>0.5*Z1028*K1028/J1028/$B$7</f>
        <v>22.339097933860618</v>
      </c>
      <c r="M1028">
        <f t="shared" ref="M1028:M1091" si="172">-LN(J1028)</f>
        <v>0.62998917296398882</v>
      </c>
      <c r="N1028" s="21">
        <f t="shared" si="166"/>
        <v>6.1793400498057961E-2</v>
      </c>
      <c r="O1028" s="21">
        <f t="shared" si="167"/>
        <v>18.564536375399342</v>
      </c>
      <c r="P1028">
        <f t="shared" ref="P1028:P1091" si="173">MIN(O1028/(K1028+$B$9),1)</f>
        <v>0.69282295380939407</v>
      </c>
      <c r="Q1028">
        <f t="shared" si="170"/>
        <v>0.53259756742872255</v>
      </c>
      <c r="R1028">
        <f t="shared" si="171"/>
        <v>0.89613057910409044</v>
      </c>
      <c r="T1028" s="21">
        <f>(M1028-M1027)/(H1028-H1027)</f>
        <v>5.0589425207547833E-4</v>
      </c>
      <c r="W1028">
        <v>913</v>
      </c>
      <c r="X1028">
        <v>18.710515000000001</v>
      </c>
      <c r="Y1028">
        <v>1</v>
      </c>
      <c r="Z1028">
        <f t="shared" si="168"/>
        <v>1</v>
      </c>
      <c r="AA1028" s="21">
        <f>IF(X1028&gt;$B$8+$B$9,0,ABS(X1028-O1028)/X1028)</f>
        <v>7.8019565255504023E-3</v>
      </c>
      <c r="AB1028">
        <f>IF(OR(Z1025&lt;&gt;Z1031,X1028&gt;$B$8+$B$9),0,((X1031-X1025)/(W1031-W1025)-(O1031-O1025)/(W1031-W1025))^2)</f>
        <v>1.3751158674284603E-5</v>
      </c>
    </row>
    <row r="1029" spans="7:28" x14ac:dyDescent="0.2">
      <c r="G1029" s="21"/>
      <c r="H1029" s="21">
        <v>914</v>
      </c>
      <c r="I1029">
        <f t="shared" ref="I1029:I1092" si="174">IF(P1028&lt;0.999,MAX(0,MIN(10000000,(L1028/$E$8/M1028^$E$10)^(1/$E$9)/N1028)),0.1)</f>
        <v>8.1912216385965492E-3</v>
      </c>
      <c r="J1029">
        <f t="shared" ref="J1029:J1092" si="175">Q1029</f>
        <v>0.5323280089591701</v>
      </c>
      <c r="K1029">
        <f t="shared" si="169"/>
        <v>23.79187010077327</v>
      </c>
      <c r="L1029">
        <f>0.5*Z1029*K1029/J1029/$B$7</f>
        <v>22.34700194274215</v>
      </c>
      <c r="M1029">
        <f t="shared" si="172"/>
        <v>0.63049542144047632</v>
      </c>
      <c r="N1029" s="21">
        <f t="shared" ref="N1029:N1092" si="176">-$B$15*(O1029-2*(K1029+$B$9))/(K1029+$B$9)^2/J1029</f>
        <v>6.1814163564405791E-2</v>
      </c>
      <c r="O1029" s="21">
        <f t="shared" ref="O1029:O1092" si="177">O1028+I1029*(H1029-H1028)</f>
        <v>18.57272759703794</v>
      </c>
      <c r="P1029">
        <f t="shared" si="173"/>
        <v>0.69322251590425155</v>
      </c>
      <c r="Q1029">
        <f t="shared" si="170"/>
        <v>0.5323280089591701</v>
      </c>
      <c r="R1029">
        <f t="shared" si="171"/>
        <v>0.89409042319056398</v>
      </c>
      <c r="T1029" s="21">
        <f>(M1029-M1028)/(H1029-H1028)</f>
        <v>5.0624847648750304E-4</v>
      </c>
      <c r="W1029">
        <v>914</v>
      </c>
      <c r="X1029">
        <v>18.729983999999998</v>
      </c>
      <c r="Y1029">
        <v>1</v>
      </c>
      <c r="Z1029">
        <f t="shared" si="168"/>
        <v>1</v>
      </c>
      <c r="AA1029" s="21">
        <f>IF(X1029&gt;$B$8+$B$9,0,ABS(X1029-O1029)/X1029)</f>
        <v>8.3959710249650338E-3</v>
      </c>
      <c r="AB1029">
        <f>IF(OR(Z1026&lt;&gt;Z1032,X1029&gt;$B$8+$B$9),0,((X1032-X1026)/(W1032-W1026)-(O1032-O1026)/(W1032-W1026))^2)</f>
        <v>5.2139509324362271E-5</v>
      </c>
    </row>
    <row r="1030" spans="7:28" x14ac:dyDescent="0.2">
      <c r="G1030" s="21"/>
      <c r="H1030" s="21">
        <v>915</v>
      </c>
      <c r="I1030">
        <f t="shared" si="174"/>
        <v>8.1942128341951099E-3</v>
      </c>
      <c r="J1030">
        <f t="shared" si="175"/>
        <v>0.53205839801836818</v>
      </c>
      <c r="K1030">
        <f t="shared" si="169"/>
        <v>23.788247254118133</v>
      </c>
      <c r="L1030">
        <f>0.5*Z1030*K1030/J1030/$B$7</f>
        <v>22.354921323219951</v>
      </c>
      <c r="M1030">
        <f t="shared" si="172"/>
        <v>0.63100202495363789</v>
      </c>
      <c r="N1030" s="21">
        <f t="shared" si="176"/>
        <v>6.183493456288662E-2</v>
      </c>
      <c r="O1030" s="21">
        <f t="shared" si="177"/>
        <v>18.580921809872134</v>
      </c>
      <c r="P1030">
        <f t="shared" si="173"/>
        <v>0.69362215577638087</v>
      </c>
      <c r="Q1030">
        <f t="shared" si="170"/>
        <v>0.53205839801836818</v>
      </c>
      <c r="R1030">
        <f t="shared" si="171"/>
        <v>0.89205914110167961</v>
      </c>
      <c r="T1030" s="21">
        <f>(M1030-M1029)/(H1030-H1029)</f>
        <v>5.0660351316156316E-4</v>
      </c>
      <c r="W1030">
        <v>915</v>
      </c>
      <c r="X1030">
        <v>18.721871999999998</v>
      </c>
      <c r="Y1030">
        <v>1</v>
      </c>
      <c r="Z1030">
        <f t="shared" si="168"/>
        <v>1</v>
      </c>
      <c r="AA1030" s="21">
        <f>IF(X1030&gt;$B$8+$B$9,0,ABS(X1030-O1030)/X1030)</f>
        <v>7.5286376345198719E-3</v>
      </c>
      <c r="AB1030">
        <f>IF(OR(Z1027&lt;&gt;Z1033,X1030&gt;$B$8+$B$9),0,((X1033-X1027)/(W1033-W1027)-(O1033-O1027)/(W1033-W1027))^2)</f>
        <v>1.6097850119519864E-6</v>
      </c>
    </row>
    <row r="1031" spans="7:28" x14ac:dyDescent="0.2">
      <c r="G1031" s="21"/>
      <c r="H1031" s="21">
        <v>916</v>
      </c>
      <c r="I1031">
        <f t="shared" si="174"/>
        <v>8.1972141333608427E-3</v>
      </c>
      <c r="J1031">
        <f t="shared" si="175"/>
        <v>0.53178873439126084</v>
      </c>
      <c r="K1031">
        <f t="shared" si="169"/>
        <v>23.78462989027846</v>
      </c>
      <c r="L1031">
        <f>0.5*Z1031*K1031/J1031/$B$7</f>
        <v>22.36285610441217</v>
      </c>
      <c r="M1031">
        <f t="shared" si="172"/>
        <v>0.63150898431775637</v>
      </c>
      <c r="N1031" s="21">
        <f t="shared" si="176"/>
        <v>6.1855713534199219E-2</v>
      </c>
      <c r="O1031" s="21">
        <f t="shared" si="177"/>
        <v>18.589119024005495</v>
      </c>
      <c r="P1031">
        <f t="shared" si="173"/>
        <v>0.69402187374455593</v>
      </c>
      <c r="Q1031">
        <f t="shared" si="170"/>
        <v>0.53178873439126084</v>
      </c>
      <c r="R1031">
        <f t="shared" si="171"/>
        <v>0.89003667357234029</v>
      </c>
      <c r="T1031" s="21">
        <f>(M1031-M1030)/(H1031-H1030)</f>
        <v>5.0695936411848663E-4</v>
      </c>
      <c r="W1031">
        <v>916</v>
      </c>
      <c r="X1031">
        <v>18.751075999999998</v>
      </c>
      <c r="Y1031">
        <v>1</v>
      </c>
      <c r="Z1031">
        <f t="shared" si="168"/>
        <v>1</v>
      </c>
      <c r="AA1031" s="21">
        <f>IF(X1031&gt;$B$8+$B$9,0,ABS(X1031-O1031)/X1031)</f>
        <v>8.6372097256980345E-3</v>
      </c>
      <c r="AB1031">
        <f>IF(OR(Z1028&lt;&gt;Z1034,X1031&gt;$B$8+$B$9),0,((X1034-X1028)/(W1034-W1028)-(O1034-O1028)/(W1034-W1028))^2)</f>
        <v>3.2632013405322638E-6</v>
      </c>
    </row>
    <row r="1032" spans="7:28" x14ac:dyDescent="0.2">
      <c r="G1032" s="21"/>
      <c r="H1032" s="21">
        <v>917</v>
      </c>
      <c r="I1032">
        <f t="shared" si="174"/>
        <v>8.2002255521629198E-3</v>
      </c>
      <c r="J1032">
        <f t="shared" si="175"/>
        <v>0.53151901786253686</v>
      </c>
      <c r="K1032">
        <f t="shared" si="169"/>
        <v>23.781018003271107</v>
      </c>
      <c r="L1032">
        <f>0.5*Z1032*K1032/J1032/$B$7</f>
        <v>22.370806315552599</v>
      </c>
      <c r="M1032">
        <f t="shared" si="172"/>
        <v>0.63201630034914436</v>
      </c>
      <c r="N1032" s="21">
        <f t="shared" si="176"/>
        <v>6.1876500519129393E-2</v>
      </c>
      <c r="O1032" s="21">
        <f t="shared" si="177"/>
        <v>18.597319249557657</v>
      </c>
      <c r="P1032">
        <f t="shared" si="173"/>
        <v>0.69442167012792899</v>
      </c>
      <c r="Q1032">
        <f t="shared" si="170"/>
        <v>0.53151901786253686</v>
      </c>
      <c r="R1032">
        <f t="shared" si="171"/>
        <v>0.88802296186299212</v>
      </c>
      <c r="T1032" s="21">
        <f>(M1032-M1031)/(H1032-H1031)</f>
        <v>5.073160313879832E-4</v>
      </c>
      <c r="W1032">
        <v>917</v>
      </c>
      <c r="X1032">
        <v>18.759188999999999</v>
      </c>
      <c r="Y1032">
        <v>1</v>
      </c>
      <c r="Z1032">
        <f t="shared" si="168"/>
        <v>1</v>
      </c>
      <c r="AA1032" s="21">
        <f>IF(X1032&gt;$B$8+$B$9,0,ABS(X1032-O1032)/X1032)</f>
        <v>8.6288245425930887E-3</v>
      </c>
      <c r="AB1032">
        <f>IF(OR(Z1029&lt;&gt;Z1035,X1032&gt;$B$8+$B$9),0,((X1035-X1029)/(W1035-W1029)-(O1035-O1029)/(W1035-W1029))^2)</f>
        <v>3.2791226230944398E-8</v>
      </c>
    </row>
    <row r="1033" spans="7:28" x14ac:dyDescent="0.2">
      <c r="G1033" s="21"/>
      <c r="H1033" s="21">
        <v>918</v>
      </c>
      <c r="I1033">
        <f t="shared" si="174"/>
        <v>8.2032471067576534E-3</v>
      </c>
      <c r="J1033">
        <f t="shared" si="175"/>
        <v>0.53124924821662833</v>
      </c>
      <c r="K1033">
        <f t="shared" si="169"/>
        <v>23.777411587138236</v>
      </c>
      <c r="L1033">
        <f>0.5*Z1033*K1033/J1033/$B$7</f>
        <v>22.378771985991108</v>
      </c>
      <c r="M1033">
        <f t="shared" si="172"/>
        <v>0.63252397386615256</v>
      </c>
      <c r="N1033" s="21">
        <f t="shared" si="176"/>
        <v>6.1897295558550294E-2</v>
      </c>
      <c r="O1033" s="21">
        <f t="shared" si="177"/>
        <v>18.605522496664413</v>
      </c>
      <c r="P1033">
        <f t="shared" si="173"/>
        <v>0.69482154524603279</v>
      </c>
      <c r="Q1033">
        <f t="shared" si="170"/>
        <v>0.53124924821662833</v>
      </c>
      <c r="R1033">
        <f t="shared" si="171"/>
        <v>0.88601794775380605</v>
      </c>
      <c r="T1033" s="21">
        <f>(M1033-M1032)/(H1033-H1032)</f>
        <v>5.0767351700820029E-4</v>
      </c>
      <c r="W1033">
        <v>918</v>
      </c>
      <c r="X1033">
        <v>18.762433999999999</v>
      </c>
      <c r="Y1033">
        <v>1</v>
      </c>
      <c r="Z1033">
        <f t="shared" si="168"/>
        <v>1</v>
      </c>
      <c r="AA1033" s="21">
        <f>IF(X1033&gt;$B$8+$B$9,0,ABS(X1033-O1033)/X1033)</f>
        <v>8.3630675708485196E-3</v>
      </c>
      <c r="AB1033">
        <f>IF(OR(Z1030&lt;&gt;Z1036,X1033&gt;$B$8+$B$9),0,((X1036-X1030)/(W1036-W1030)-(O1036-O1030)/(W1036-W1030))^2)</f>
        <v>0</v>
      </c>
    </row>
    <row r="1034" spans="7:28" x14ac:dyDescent="0.2">
      <c r="G1034" s="21"/>
      <c r="H1034" s="21">
        <v>919</v>
      </c>
      <c r="I1034">
        <f t="shared" si="174"/>
        <v>8.2062788133888797E-3</v>
      </c>
      <c r="J1034">
        <f t="shared" si="175"/>
        <v>0.53097942523770936</v>
      </c>
      <c r="K1034">
        <f t="shared" si="169"/>
        <v>23.77381063594726</v>
      </c>
      <c r="L1034">
        <f>0.5*Z1034*K1034/J1034/$B$7</f>
        <v>22.386753145194071</v>
      </c>
      <c r="M1034">
        <f t="shared" si="172"/>
        <v>0.63303200568917772</v>
      </c>
      <c r="N1034" s="21">
        <f t="shared" si="176"/>
        <v>6.1918098693423018E-2</v>
      </c>
      <c r="O1034" s="21">
        <f t="shared" si="177"/>
        <v>18.613728775477803</v>
      </c>
      <c r="P1034">
        <f t="shared" si="173"/>
        <v>0.69522149941878253</v>
      </c>
      <c r="Q1034">
        <f t="shared" si="170"/>
        <v>0.53097942523770936</v>
      </c>
      <c r="R1034">
        <f t="shared" si="171"/>
        <v>0.88402157353893751</v>
      </c>
      <c r="T1034" s="21">
        <f>(M1034-M1033)/(H1034-H1033)</f>
        <v>5.0803182302516792E-4</v>
      </c>
      <c r="W1034">
        <v>919</v>
      </c>
      <c r="X1034">
        <v>18.770546</v>
      </c>
      <c r="Y1034">
        <v>1</v>
      </c>
      <c r="Z1034">
        <f t="shared" si="168"/>
        <v>1</v>
      </c>
      <c r="AA1034" s="21">
        <f>IF(X1034&gt;$B$8+$B$9,0,ABS(X1034-O1034)/X1034)</f>
        <v>8.3544306341539875E-3</v>
      </c>
      <c r="AB1034">
        <f>IF(OR(Z1031&lt;&gt;Z1037,X1034&gt;$B$8+$B$9),0,((X1037-X1031)/(W1037-W1031)-(O1037-O1031)/(W1037-W1031))^2)</f>
        <v>0</v>
      </c>
    </row>
    <row r="1035" spans="7:28" x14ac:dyDescent="0.2">
      <c r="G1035" s="21"/>
      <c r="H1035" s="21">
        <v>920</v>
      </c>
      <c r="I1035">
        <f t="shared" si="174"/>
        <v>8.2093206883881407E-3</v>
      </c>
      <c r="J1035">
        <f t="shared" si="175"/>
        <v>0.53070954870969433</v>
      </c>
      <c r="K1035">
        <f t="shared" si="169"/>
        <v>23.770215143790793</v>
      </c>
      <c r="L1035">
        <f>0.5*Z1035*K1035/J1035/$B$7</f>
        <v>22.394749822744792</v>
      </c>
      <c r="M1035">
        <f t="shared" si="172"/>
        <v>0.63354039664067141</v>
      </c>
      <c r="N1035" s="21">
        <f t="shared" si="176"/>
        <v>6.1938909964797097E-2</v>
      </c>
      <c r="O1035" s="21">
        <f t="shared" si="177"/>
        <v>18.62193809616619</v>
      </c>
      <c r="P1035">
        <f t="shared" si="173"/>
        <v>0.69562153296647855</v>
      </c>
      <c r="Q1035">
        <f t="shared" si="170"/>
        <v>0.53070954870969433</v>
      </c>
      <c r="R1035">
        <f t="shared" si="171"/>
        <v>0.8820337820208578</v>
      </c>
      <c r="T1035" s="21">
        <f>(M1035-M1034)/(H1035-H1034)</f>
        <v>5.0839095149368685E-4</v>
      </c>
      <c r="W1035">
        <v>920</v>
      </c>
      <c r="X1035">
        <v>18.780280999999999</v>
      </c>
      <c r="Y1035">
        <v>1</v>
      </c>
      <c r="Z1035">
        <f t="shared" si="168"/>
        <v>1</v>
      </c>
      <c r="AA1035" s="21">
        <f>IF(X1035&gt;$B$8+$B$9,0,ABS(X1035-O1035)/X1035)</f>
        <v>8.4313383720834058E-3</v>
      </c>
      <c r="AB1035">
        <f>IF(OR(Z1032&lt;&gt;Z1038,X1035&gt;$B$8+$B$9),0,((X1038-X1032)/(W1038-W1032)-(O1038-O1032)/(W1038-W1032))^2)</f>
        <v>0</v>
      </c>
    </row>
    <row r="1036" spans="7:28" x14ac:dyDescent="0.2">
      <c r="G1036" s="21"/>
      <c r="H1036" s="21">
        <v>921</v>
      </c>
      <c r="I1036">
        <f t="shared" si="174"/>
        <v>8.2123727481750401E-3</v>
      </c>
      <c r="J1036">
        <f t="shared" si="175"/>
        <v>0.53043961841623577</v>
      </c>
      <c r="K1036">
        <f t="shared" si="169"/>
        <v>23.766625104786598</v>
      </c>
      <c r="L1036">
        <f>0.5*Z1036*K1036/J1036/$B$7</f>
        <v>33.604143072515939</v>
      </c>
      <c r="M1036">
        <f t="shared" si="172"/>
        <v>0.63404914754514941</v>
      </c>
      <c r="N1036" s="21">
        <f t="shared" si="176"/>
        <v>6.1959729413810984E-2</v>
      </c>
      <c r="O1036" s="21">
        <f t="shared" si="177"/>
        <v>18.630150468914366</v>
      </c>
      <c r="P1036">
        <f t="shared" si="173"/>
        <v>0.69602164620980889</v>
      </c>
      <c r="Q1036">
        <f t="shared" si="170"/>
        <v>0.53043961841623577</v>
      </c>
      <c r="R1036">
        <f t="shared" si="171"/>
        <v>0.88005451650476185</v>
      </c>
      <c r="T1036" s="21">
        <f>(M1036-M1035)/(H1036-H1035)</f>
        <v>5.0875090447799476E-4</v>
      </c>
      <c r="W1036">
        <v>921</v>
      </c>
      <c r="X1036">
        <v>18.809484999999999</v>
      </c>
      <c r="Y1036">
        <v>1.5</v>
      </c>
      <c r="Z1036">
        <f t="shared" si="168"/>
        <v>1.5</v>
      </c>
      <c r="AA1036" s="21">
        <f>IF(X1036&gt;$B$8+$B$9,0,ABS(X1036-O1036)/X1036)</f>
        <v>9.5342605651155855E-3</v>
      </c>
      <c r="AB1036">
        <f>IF(OR(Z1033&lt;&gt;Z1039,X1036&gt;$B$8+$B$9),0,((X1039-X1033)/(W1039-W1033)-(O1039-O1033)/(W1039-W1033))^2)</f>
        <v>0</v>
      </c>
    </row>
    <row r="1037" spans="7:28" x14ac:dyDescent="0.2">
      <c r="G1037" s="21"/>
      <c r="H1037" s="21">
        <v>922</v>
      </c>
      <c r="I1037">
        <f t="shared" si="174"/>
        <v>1.8348405090129173E-2</v>
      </c>
      <c r="J1037">
        <f t="shared" si="175"/>
        <v>0.52983669820117152</v>
      </c>
      <c r="K1037">
        <f t="shared" si="169"/>
        <v>23.758628589804484</v>
      </c>
      <c r="L1037">
        <f>0.5*Z1037*K1037/J1037/$B$7</f>
        <v>33.631063123505555</v>
      </c>
      <c r="M1037">
        <f t="shared" si="172"/>
        <v>0.63518643651520545</v>
      </c>
      <c r="N1037" s="21">
        <f t="shared" si="176"/>
        <v>6.2006246710248104E-2</v>
      </c>
      <c r="O1037" s="21">
        <f t="shared" si="177"/>
        <v>18.648498874004495</v>
      </c>
      <c r="P1037">
        <f t="shared" si="173"/>
        <v>0.69691534494820506</v>
      </c>
      <c r="Q1037">
        <f t="shared" si="170"/>
        <v>0.52983669820117152</v>
      </c>
      <c r="R1037">
        <f t="shared" si="171"/>
        <v>0.87566551927467584</v>
      </c>
      <c r="T1037" s="21">
        <f>(M1037-M1036)/(H1037-H1036)</f>
        <v>1.1372889700560496E-3</v>
      </c>
      <c r="W1037">
        <v>922</v>
      </c>
      <c r="X1037">
        <v>18.8322</v>
      </c>
      <c r="Y1037">
        <v>1.5</v>
      </c>
      <c r="Z1037">
        <f t="shared" si="168"/>
        <v>1.5</v>
      </c>
      <c r="AA1037" s="21">
        <f>IF(X1037&gt;$B$8+$B$9,0,ABS(X1037-O1037)/X1037)</f>
        <v>9.7546290924854662E-3</v>
      </c>
      <c r="AB1037">
        <f>IF(OR(Z1034&lt;&gt;Z1040,X1037&gt;$B$8+$B$9),0,((X1040-X1034)/(W1040-W1034)-(O1040-O1034)/(W1040-W1034))^2)</f>
        <v>0</v>
      </c>
    </row>
    <row r="1038" spans="7:28" x14ac:dyDescent="0.2">
      <c r="G1038" s="21"/>
      <c r="H1038" s="21">
        <v>923</v>
      </c>
      <c r="I1038">
        <f t="shared" si="174"/>
        <v>1.83637588688065E-2</v>
      </c>
      <c r="J1038">
        <f t="shared" si="175"/>
        <v>0.52923350734340624</v>
      </c>
      <c r="K1038">
        <f t="shared" si="169"/>
        <v>23.750659181361218</v>
      </c>
      <c r="L1038">
        <f>0.5*Z1038*K1038/J1038/$B$7</f>
        <v>33.658100137001554</v>
      </c>
      <c r="M1038">
        <f t="shared" si="172"/>
        <v>0.63632553177032514</v>
      </c>
      <c r="N1038" s="21">
        <f t="shared" si="176"/>
        <v>6.2052805374235215E-2</v>
      </c>
      <c r="O1038" s="21">
        <f t="shared" si="177"/>
        <v>18.6668626328733</v>
      </c>
      <c r="P1038">
        <f t="shared" si="173"/>
        <v>0.6978094448558344</v>
      </c>
      <c r="Q1038">
        <f t="shared" si="170"/>
        <v>0.52923350734340624</v>
      </c>
      <c r="R1038">
        <f t="shared" si="171"/>
        <v>0.87131814138548891</v>
      </c>
      <c r="T1038" s="21">
        <f>(M1038-M1037)/(H1038-H1037)</f>
        <v>1.139095255119682E-3</v>
      </c>
      <c r="W1038">
        <v>923</v>
      </c>
      <c r="X1038">
        <v>18.840312000000001</v>
      </c>
      <c r="Y1038">
        <v>1.5</v>
      </c>
      <c r="Z1038">
        <f t="shared" si="168"/>
        <v>1.5</v>
      </c>
      <c r="AA1038" s="21">
        <f>IF(X1038&gt;$B$8+$B$9,0,ABS(X1038-O1038)/X1038)</f>
        <v>9.2062895310173389E-3</v>
      </c>
      <c r="AB1038">
        <f>IF(OR(Z1035&lt;&gt;Z1041,X1038&gt;$B$8+$B$9),0,((X1041-X1035)/(W1041-W1035)-(O1041-O1035)/(W1041-W1035))^2)</f>
        <v>0</v>
      </c>
    </row>
    <row r="1039" spans="7:28" x14ac:dyDescent="0.2">
      <c r="G1039" s="21"/>
      <c r="H1039" s="21">
        <v>924</v>
      </c>
      <c r="I1039">
        <f t="shared" si="174"/>
        <v>1.8379226820000101E-2</v>
      </c>
      <c r="J1039">
        <f t="shared" si="175"/>
        <v>0.52863004342266362</v>
      </c>
      <c r="K1039">
        <f t="shared" si="169"/>
        <v>23.742716815217044</v>
      </c>
      <c r="L1039">
        <f>0.5*Z1039*K1039/J1039/$B$7</f>
        <v>33.685254617992356</v>
      </c>
      <c r="M1039">
        <f t="shared" si="172"/>
        <v>0.63746644259150842</v>
      </c>
      <c r="N1039" s="21">
        <f t="shared" si="176"/>
        <v>6.2099405868340847E-2</v>
      </c>
      <c r="O1039" s="21">
        <f t="shared" si="177"/>
        <v>18.685241859693299</v>
      </c>
      <c r="P1039">
        <f t="shared" si="173"/>
        <v>0.69870394952023318</v>
      </c>
      <c r="Q1039">
        <f t="shared" si="170"/>
        <v>0.52863004342266362</v>
      </c>
      <c r="R1039">
        <f t="shared" si="171"/>
        <v>0.86701177774645843</v>
      </c>
      <c r="T1039" s="21">
        <f>(M1039-M1038)/(H1039-H1038)</f>
        <v>1.140910821183283E-3</v>
      </c>
      <c r="W1039">
        <v>924</v>
      </c>
      <c r="X1039">
        <v>18.863026999999999</v>
      </c>
      <c r="Y1039">
        <v>1.5</v>
      </c>
      <c r="Z1039">
        <f t="shared" si="168"/>
        <v>1.5</v>
      </c>
      <c r="AA1039" s="21">
        <f>IF(X1039&gt;$B$8+$B$9,0,ABS(X1039-O1039)/X1039)</f>
        <v>9.4250588893659368E-3</v>
      </c>
      <c r="AB1039">
        <f>IF(OR(Z1036&lt;&gt;Z1042,X1039&gt;$B$8+$B$9),0,((X1042-X1036)/(W1042-W1036)-(O1042-O1036)/(W1042-W1036))^2)</f>
        <v>2.9142488827972903E-7</v>
      </c>
    </row>
    <row r="1040" spans="7:28" x14ac:dyDescent="0.2">
      <c r="G1040" s="21"/>
      <c r="H1040" s="21">
        <v>925</v>
      </c>
      <c r="I1040">
        <f t="shared" si="174"/>
        <v>1.8394809364356796E-2</v>
      </c>
      <c r="J1040">
        <f t="shared" si="175"/>
        <v>0.52802630401195405</v>
      </c>
      <c r="K1040">
        <f t="shared" si="169"/>
        <v>23.734801427751027</v>
      </c>
      <c r="L1040">
        <f>0.5*Z1040*K1040/J1040/$B$7</f>
        <v>33.712527075943306</v>
      </c>
      <c r="M1040">
        <f t="shared" si="172"/>
        <v>0.63860917831230268</v>
      </c>
      <c r="N1040" s="21">
        <f t="shared" si="176"/>
        <v>6.2146048657419732E-2</v>
      </c>
      <c r="O1040" s="21">
        <f t="shared" si="177"/>
        <v>18.703636669057655</v>
      </c>
      <c r="P1040">
        <f t="shared" si="173"/>
        <v>0.69959886253888792</v>
      </c>
      <c r="Q1040">
        <f t="shared" si="170"/>
        <v>0.52802630401195405</v>
      </c>
      <c r="R1040">
        <f t="shared" si="171"/>
        <v>0.86274583491415835</v>
      </c>
      <c r="T1040" s="21">
        <f>(M1040-M1039)/(H1040-H1039)</f>
        <v>1.1427357207942634E-3</v>
      </c>
      <c r="W1040">
        <v>925</v>
      </c>
      <c r="X1040">
        <v>18.877628999999999</v>
      </c>
      <c r="Y1040">
        <v>1.5</v>
      </c>
      <c r="Z1040">
        <f t="shared" si="168"/>
        <v>1.5</v>
      </c>
      <c r="AA1040" s="21">
        <f>IF(X1040&gt;$B$8+$B$9,0,ABS(X1040-O1040)/X1040)</f>
        <v>9.2168529714374576E-3</v>
      </c>
      <c r="AB1040">
        <f>IF(OR(Z1037&lt;&gt;Z1043,X1040&gt;$B$8+$B$9),0,((X1043-X1037)/(W1043-W1037)-(O1043-O1037)/(W1043-W1037))^2)</f>
        <v>8.9359849967870544E-6</v>
      </c>
    </row>
    <row r="1041" spans="7:28" x14ac:dyDescent="0.2">
      <c r="G1041" s="21"/>
      <c r="H1041" s="21">
        <v>926</v>
      </c>
      <c r="I1041">
        <f t="shared" si="174"/>
        <v>1.8410506927526001E-2</v>
      </c>
      <c r="J1041">
        <f t="shared" si="175"/>
        <v>0.52742228667748448</v>
      </c>
      <c r="K1041">
        <f t="shared" si="169"/>
        <v>23.72691295595865</v>
      </c>
      <c r="L1041">
        <f>0.5*Z1041*K1041/J1041/$B$7</f>
        <v>33.73991802483431</v>
      </c>
      <c r="M1041">
        <f t="shared" si="172"/>
        <v>0.63975374831929022</v>
      </c>
      <c r="N1041" s="21">
        <f t="shared" si="176"/>
        <v>6.2192734208641305E-2</v>
      </c>
      <c r="O1041" s="21">
        <f t="shared" si="177"/>
        <v>18.722047175985182</v>
      </c>
      <c r="P1041">
        <f t="shared" si="173"/>
        <v>0.7004941875193702</v>
      </c>
      <c r="Q1041">
        <f t="shared" si="170"/>
        <v>0.52742228667748448</v>
      </c>
      <c r="R1041">
        <f t="shared" si="171"/>
        <v>0.85851973081319577</v>
      </c>
      <c r="T1041" s="21">
        <f>(M1041-M1040)/(H1041-H1040)</f>
        <v>1.1445700069875331E-3</v>
      </c>
      <c r="W1041">
        <v>926</v>
      </c>
      <c r="X1041">
        <v>18.893854000000001</v>
      </c>
      <c r="Y1041">
        <v>1.5</v>
      </c>
      <c r="Z1041">
        <f t="shared" si="168"/>
        <v>1.5</v>
      </c>
      <c r="AA1041" s="21">
        <f>IF(X1041&gt;$B$8+$B$9,0,ABS(X1041-O1041)/X1041)</f>
        <v>9.0932651440420332E-3</v>
      </c>
      <c r="AB1041">
        <f>IF(OR(Z1038&lt;&gt;Z1044,X1041&gt;$B$8+$B$9),0,((X1044-X1038)/(W1044-W1038)-(O1044-O1038)/(W1044-W1038))^2)</f>
        <v>3.2630865452415389E-7</v>
      </c>
    </row>
    <row r="1042" spans="7:28" x14ac:dyDescent="0.2">
      <c r="G1042" s="21"/>
      <c r="H1042" s="21">
        <v>927</v>
      </c>
      <c r="I1042">
        <f t="shared" si="174"/>
        <v>1.8426319940197052E-2</v>
      </c>
      <c r="J1042">
        <f t="shared" si="175"/>
        <v>0.52681798897856702</v>
      </c>
      <c r="K1042">
        <f t="shared" si="169"/>
        <v>23.719051337449443</v>
      </c>
      <c r="L1042">
        <f>0.5*Z1042*K1042/J1042/$B$7</f>
        <v>33.767427983198232</v>
      </c>
      <c r="M1042">
        <f t="shared" si="172"/>
        <v>0.64090016205258327</v>
      </c>
      <c r="N1042" s="21">
        <f t="shared" si="176"/>
        <v>6.2239462991518835E-2</v>
      </c>
      <c r="O1042" s="21">
        <f t="shared" si="177"/>
        <v>18.740473495925379</v>
      </c>
      <c r="P1042">
        <f t="shared" si="173"/>
        <v>0.70138992807947176</v>
      </c>
      <c r="Q1042">
        <f t="shared" si="170"/>
        <v>0.52681798897856702</v>
      </c>
      <c r="R1042">
        <f t="shared" si="171"/>
        <v>0.85433289446492711</v>
      </c>
      <c r="T1042" s="21">
        <f>(M1042-M1041)/(H1042-H1041)</f>
        <v>1.1464137332930502E-3</v>
      </c>
      <c r="W1042">
        <v>927</v>
      </c>
      <c r="X1042">
        <v>18.916568999999999</v>
      </c>
      <c r="Y1042">
        <v>1.5</v>
      </c>
      <c r="Z1042">
        <f t="shared" si="168"/>
        <v>1.5</v>
      </c>
      <c r="AA1042" s="21">
        <f>IF(X1042&gt;$B$8+$B$9,0,ABS(X1042-O1042)/X1042)</f>
        <v>9.3090614939009501E-3</v>
      </c>
      <c r="AB1042">
        <f>IF(OR(Z1039&lt;&gt;Z1045,X1042&gt;$B$8+$B$9),0,((X1045-X1039)/(W1045-W1039)-(O1045-O1039)/(W1045-W1039))^2)</f>
        <v>2.0707603608219339E-5</v>
      </c>
    </row>
    <row r="1043" spans="7:28" x14ac:dyDescent="0.2">
      <c r="G1043" s="21"/>
      <c r="H1043" s="21">
        <v>928</v>
      </c>
      <c r="I1043">
        <f t="shared" si="174"/>
        <v>1.8442248838136961E-2</v>
      </c>
      <c r="J1043">
        <f t="shared" si="175"/>
        <v>0.52621340846752651</v>
      </c>
      <c r="K1043">
        <f t="shared" si="169"/>
        <v>23.7112165104447</v>
      </c>
      <c r="L1043">
        <f>0.5*Z1043*K1043/J1043/$B$7</f>
        <v>33.795057474159684</v>
      </c>
      <c r="M1043">
        <f t="shared" si="172"/>
        <v>0.64204842900632442</v>
      </c>
      <c r="N1043" s="21">
        <f t="shared" si="176"/>
        <v>6.2286235477938746E-2</v>
      </c>
      <c r="O1043" s="21">
        <f t="shared" si="177"/>
        <v>18.758915744763517</v>
      </c>
      <c r="P1043">
        <f t="shared" si="173"/>
        <v>0.70228608784734115</v>
      </c>
      <c r="Q1043">
        <f t="shared" si="170"/>
        <v>0.52621340846752651</v>
      </c>
      <c r="R1043">
        <f t="shared" si="171"/>
        <v>0.85018476572389934</v>
      </c>
      <c r="T1043" s="21">
        <f>(M1043-M1042)/(H1043-H1042)</f>
        <v>1.1482669537411505E-3</v>
      </c>
      <c r="W1043">
        <v>928</v>
      </c>
      <c r="X1043">
        <v>18.924681</v>
      </c>
      <c r="Y1043">
        <v>1.5</v>
      </c>
      <c r="Z1043">
        <f t="shared" si="168"/>
        <v>1.5</v>
      </c>
      <c r="AA1043" s="21">
        <f>IF(X1043&gt;$B$8+$B$9,0,ABS(X1043-O1043)/X1043)</f>
        <v>8.759210009219337E-3</v>
      </c>
      <c r="AB1043">
        <f>IF(OR(Z1040&lt;&gt;Z1046,X1043&gt;$B$8+$B$9),0,((X1046-X1040)/(W1046-W1040)-(O1046-O1040)/(W1046-W1040))^2)</f>
        <v>2.4338282308475361E-6</v>
      </c>
    </row>
    <row r="1044" spans="7:28" x14ac:dyDescent="0.2">
      <c r="G1044" s="21"/>
      <c r="H1044" s="21">
        <v>929</v>
      </c>
      <c r="I1044">
        <f t="shared" si="174"/>
        <v>1.845829406222884E-2</v>
      </c>
      <c r="J1044">
        <f t="shared" si="175"/>
        <v>0.52560854268960888</v>
      </c>
      <c r="K1044">
        <f t="shared" si="169"/>
        <v>23.703408413775204</v>
      </c>
      <c r="L1044">
        <f>0.5*Z1044*K1044/J1044/$B$7</f>
        <v>33.822807025474283</v>
      </c>
      <c r="M1044">
        <f t="shared" si="172"/>
        <v>0.64319855872918963</v>
      </c>
      <c r="N1044" s="21">
        <f t="shared" si="176"/>
        <v>6.233305214219003E-2</v>
      </c>
      <c r="O1044" s="21">
        <f t="shared" si="177"/>
        <v>18.777374038825744</v>
      </c>
      <c r="P1044">
        <f t="shared" si="173"/>
        <v>0.7031826704616202</v>
      </c>
      <c r="Q1044">
        <f t="shared" si="170"/>
        <v>0.52560854268960888</v>
      </c>
      <c r="R1044">
        <f t="shared" si="171"/>
        <v>0.84607479502177207</v>
      </c>
      <c r="T1044" s="21">
        <f>(M1044-M1043)/(H1044-H1043)</f>
        <v>1.1501297228652119E-3</v>
      </c>
      <c r="W1044">
        <v>929</v>
      </c>
      <c r="X1044">
        <v>18.947395999999998</v>
      </c>
      <c r="Y1044">
        <v>1.5</v>
      </c>
      <c r="Z1044">
        <f t="shared" si="168"/>
        <v>1.5</v>
      </c>
      <c r="AA1044" s="21">
        <f>IF(X1044&gt;$B$8+$B$9,0,ABS(X1044-O1044)/X1044)</f>
        <v>8.9733682229607321E-3</v>
      </c>
      <c r="AB1044">
        <f>IF(OR(Z1041&lt;&gt;Z1047,X1044&gt;$B$8+$B$9),0,((X1047-X1041)/(W1047-W1041)-(O1047-O1041)/(W1047-W1041))^2)</f>
        <v>1.6217231432236822E-6</v>
      </c>
    </row>
    <row r="1045" spans="7:28" x14ac:dyDescent="0.2">
      <c r="G1045" s="21"/>
      <c r="H1045" s="21">
        <v>930</v>
      </c>
      <c r="I1045">
        <f t="shared" si="174"/>
        <v>1.8474456058510929E-2</v>
      </c>
      <c r="J1045">
        <f t="shared" si="175"/>
        <v>0.52500338918288758</v>
      </c>
      <c r="K1045">
        <f t="shared" si="169"/>
        <v>23.695626986879013</v>
      </c>
      <c r="L1045">
        <f>0.5*Z1045*K1045/J1045/$B$7</f>
        <v>33.850677169568506</v>
      </c>
      <c r="M1045">
        <f t="shared" si="172"/>
        <v>0.64435056082489794</v>
      </c>
      <c r="N1045" s="21">
        <f t="shared" si="176"/>
        <v>6.2379913460994314E-2</v>
      </c>
      <c r="O1045" s="21">
        <f t="shared" si="177"/>
        <v>18.795848494884254</v>
      </c>
      <c r="P1045">
        <f t="shared" si="173"/>
        <v>0.70407967957158202</v>
      </c>
      <c r="Q1045">
        <f t="shared" si="170"/>
        <v>0.52500338918288758</v>
      </c>
      <c r="R1045">
        <f t="shared" si="171"/>
        <v>0.84200244311846306</v>
      </c>
      <c r="T1045" s="21">
        <f>(M1045-M1044)/(H1045-H1044)</f>
        <v>1.1520020957083155E-3</v>
      </c>
      <c r="W1045">
        <v>930</v>
      </c>
      <c r="X1045">
        <v>19.000937</v>
      </c>
      <c r="Y1045">
        <v>1.5</v>
      </c>
      <c r="Z1045">
        <f t="shared" si="168"/>
        <v>1.5</v>
      </c>
      <c r="AA1045" s="21">
        <f>IF(X1045&gt;$B$8+$B$9,0,ABS(X1045-O1045)/X1045)</f>
        <v>1.0793599553313949E-2</v>
      </c>
      <c r="AB1045">
        <f>IF(OR(Z1042&lt;&gt;Z1048,X1045&gt;$B$8+$B$9),0,((X1048-X1042)/(W1048-W1042)-(O1048-O1042)/(W1048-W1042))^2)</f>
        <v>3.0828708985037998E-8</v>
      </c>
    </row>
    <row r="1046" spans="7:28" x14ac:dyDescent="0.2">
      <c r="G1046" s="21"/>
      <c r="H1046" s="21">
        <v>931</v>
      </c>
      <c r="I1046">
        <f t="shared" si="174"/>
        <v>1.8490735278216135E-2</v>
      </c>
      <c r="J1046">
        <f t="shared" si="175"/>
        <v>0.52439794547816954</v>
      </c>
      <c r="K1046">
        <f t="shared" si="169"/>
        <v>23.687872169799252</v>
      </c>
      <c r="L1046">
        <f>0.5*Z1046*K1046/J1046/$B$7</f>
        <v>33.878668443579983</v>
      </c>
      <c r="M1046">
        <f t="shared" si="172"/>
        <v>0.64550444495272796</v>
      </c>
      <c r="N1046" s="21">
        <f t="shared" si="176"/>
        <v>6.2426819913535977E-2</v>
      </c>
      <c r="O1046" s="21">
        <f t="shared" si="177"/>
        <v>18.814339230162471</v>
      </c>
      <c r="P1046">
        <f t="shared" si="173"/>
        <v>0.70497711883727121</v>
      </c>
      <c r="Q1046">
        <f t="shared" si="170"/>
        <v>0.52439794547816954</v>
      </c>
      <c r="R1046">
        <f t="shared" si="171"/>
        <v>0.83796718086027966</v>
      </c>
      <c r="T1046" s="21">
        <f>(M1046-M1045)/(H1046-H1045)</f>
        <v>1.1538841278300183E-3</v>
      </c>
      <c r="W1046">
        <v>931</v>
      </c>
      <c r="X1046">
        <v>18.997692000000001</v>
      </c>
      <c r="Y1046">
        <v>1.5</v>
      </c>
      <c r="Z1046">
        <f t="shared" si="168"/>
        <v>1.5</v>
      </c>
      <c r="AA1046" s="21">
        <f>IF(X1046&gt;$B$8+$B$9,0,ABS(X1046-O1046)/X1046)</f>
        <v>9.6513181620972634E-3</v>
      </c>
      <c r="AB1046">
        <f>IF(OR(Z1043&lt;&gt;Z1049,X1046&gt;$B$8+$B$9),0,((X1049-X1043)/(W1049-W1043)-(O1049-O1043)/(W1049-W1043))^2)</f>
        <v>3.1746059414853087E-6</v>
      </c>
    </row>
    <row r="1047" spans="7:28" x14ac:dyDescent="0.2">
      <c r="G1047" s="21"/>
      <c r="H1047" s="21">
        <v>932</v>
      </c>
      <c r="I1047">
        <f t="shared" si="174"/>
        <v>1.8507132177812208E-2</v>
      </c>
      <c r="J1047">
        <f t="shared" si="175"/>
        <v>0.52379220909890156</v>
      </c>
      <c r="K1047">
        <f t="shared" si="169"/>
        <v>23.680143903182021</v>
      </c>
      <c r="L1047">
        <f>0.5*Z1047*K1047/J1047/$B$7</f>
        <v>33.906781389398404</v>
      </c>
      <c r="M1047">
        <f t="shared" si="172"/>
        <v>0.64666022082803531</v>
      </c>
      <c r="N1047" s="21">
        <f t="shared" si="176"/>
        <v>6.2473771981492489E-2</v>
      </c>
      <c r="O1047" s="21">
        <f t="shared" si="177"/>
        <v>18.832846362340284</v>
      </c>
      <c r="P1047">
        <f t="shared" si="173"/>
        <v>0.70587499192964154</v>
      </c>
      <c r="Q1047">
        <f t="shared" si="170"/>
        <v>0.52379220909890156</v>
      </c>
      <c r="R1047">
        <f t="shared" si="171"/>
        <v>0.83396848894482833</v>
      </c>
      <c r="T1047" s="21">
        <f>(M1047-M1046)/(H1047-H1046)</f>
        <v>1.1557758753073522E-3</v>
      </c>
      <c r="W1047">
        <v>932</v>
      </c>
      <c r="X1047">
        <v>19.012294000000001</v>
      </c>
      <c r="Y1047">
        <v>1.5</v>
      </c>
      <c r="Z1047">
        <f t="shared" si="168"/>
        <v>1.5</v>
      </c>
      <c r="AA1047" s="21">
        <f>IF(X1047&gt;$B$8+$B$9,0,ABS(X1047-O1047)/X1047)</f>
        <v>9.4385052987144384E-3</v>
      </c>
      <c r="AB1047">
        <f>IF(OR(Z1044&lt;&gt;Z1050,X1047&gt;$B$8+$B$9),0,((X1050-X1044)/(W1050-W1044)-(O1050-O1044)/(W1050-W1044))^2)</f>
        <v>9.7174707562208993E-6</v>
      </c>
    </row>
    <row r="1048" spans="7:28" x14ac:dyDescent="0.2">
      <c r="G1048" s="21"/>
      <c r="H1048" s="21">
        <v>933</v>
      </c>
      <c r="I1048">
        <f t="shared" si="174"/>
        <v>1.8523647219042757E-2</v>
      </c>
      <c r="J1048">
        <f t="shared" si="175"/>
        <v>0.52318617756107555</v>
      </c>
      <c r="K1048">
        <f t="shared" si="169"/>
        <v>23.672442128274277</v>
      </c>
      <c r="L1048">
        <f>0.5*Z1048*K1048/J1048/$B$7</f>
        <v>33.935016553706852</v>
      </c>
      <c r="M1048">
        <f t="shared" si="172"/>
        <v>0.64781789822277847</v>
      </c>
      <c r="N1048" s="21">
        <f t="shared" si="176"/>
        <v>6.2520770149065347E-2</v>
      </c>
      <c r="O1048" s="21">
        <f t="shared" si="177"/>
        <v>18.851370009559325</v>
      </c>
      <c r="P1048">
        <f t="shared" si="173"/>
        <v>0.70677330253069781</v>
      </c>
      <c r="Q1048">
        <f t="shared" si="170"/>
        <v>0.52318617756107555</v>
      </c>
      <c r="R1048">
        <f t="shared" si="171"/>
        <v>0.83000585769245294</v>
      </c>
      <c r="T1048" s="21">
        <f>(M1048-M1047)/(H1048-H1047)</f>
        <v>1.1576773947431507E-3</v>
      </c>
      <c r="W1048">
        <v>933</v>
      </c>
      <c r="X1048">
        <v>19.028518999999999</v>
      </c>
      <c r="Y1048">
        <v>1.5</v>
      </c>
      <c r="Z1048">
        <f t="shared" si="168"/>
        <v>1.5</v>
      </c>
      <c r="AA1048" s="21">
        <f>IF(X1048&gt;$B$8+$B$9,0,ABS(X1048-O1048)/X1048)</f>
        <v>9.3096572802473087E-3</v>
      </c>
      <c r="AB1048">
        <f>IF(OR(Z1045&lt;&gt;Z1051,X1048&gt;$B$8+$B$9),0,((X1051-X1045)/(W1051-W1045)-(O1051-O1045)/(W1051-W1045))^2)</f>
        <v>3.3904873745521518E-5</v>
      </c>
    </row>
    <row r="1049" spans="7:28" x14ac:dyDescent="0.2">
      <c r="G1049" s="21"/>
      <c r="H1049" s="21">
        <v>934</v>
      </c>
      <c r="I1049">
        <f t="shared" si="174"/>
        <v>1.8540280868968549E-2</v>
      </c>
      <c r="J1049">
        <f t="shared" si="175"/>
        <v>0.52257984837313176</v>
      </c>
      <c r="K1049">
        <f t="shared" si="169"/>
        <v>23.664766786921778</v>
      </c>
      <c r="L1049">
        <f>0.5*Z1049*K1049/J1049/$B$7</f>
        <v>33.963374488023732</v>
      </c>
      <c r="M1049">
        <f t="shared" si="172"/>
        <v>0.6489774869660514</v>
      </c>
      <c r="N1049" s="21">
        <f t="shared" si="176"/>
        <v>6.2567814903011054E-2</v>
      </c>
      <c r="O1049" s="21">
        <f t="shared" si="177"/>
        <v>18.869910290428294</v>
      </c>
      <c r="P1049">
        <f t="shared" si="173"/>
        <v>0.707672054333638</v>
      </c>
      <c r="Q1049">
        <f t="shared" si="170"/>
        <v>0.52257984837313176</v>
      </c>
      <c r="R1049">
        <f t="shared" si="171"/>
        <v>0.82607878682400848</v>
      </c>
      <c r="T1049" s="21">
        <f>(M1049-M1048)/(H1049-H1048)</f>
        <v>1.1595887432729324E-3</v>
      </c>
      <c r="W1049">
        <v>934</v>
      </c>
      <c r="X1049">
        <v>19.046365999999999</v>
      </c>
      <c r="Y1049">
        <v>1.5</v>
      </c>
      <c r="Z1049">
        <f t="shared" si="168"/>
        <v>1.5</v>
      </c>
      <c r="AA1049" s="21">
        <f>IF(X1049&gt;$B$8+$B$9,0,ABS(X1049-O1049)/X1049)</f>
        <v>9.2645342198981791E-3</v>
      </c>
      <c r="AB1049">
        <f>IF(OR(Z1046&lt;&gt;Z1052,X1049&gt;$B$8+$B$9),0,((X1052-X1046)/(W1052-W1046)-(O1052-O1046)/(W1052-W1046))^2)</f>
        <v>6.7313420182575378E-6</v>
      </c>
    </row>
    <row r="1050" spans="7:28" x14ac:dyDescent="0.2">
      <c r="G1050" s="21"/>
      <c r="H1050" s="21">
        <v>935</v>
      </c>
      <c r="I1050">
        <f t="shared" si="174"/>
        <v>1.8557033600009626E-2</v>
      </c>
      <c r="J1050">
        <f t="shared" si="175"/>
        <v>0.52197321903586369</v>
      </c>
      <c r="K1050">
        <f t="shared" si="169"/>
        <v>23.657117821567088</v>
      </c>
      <c r="L1050">
        <f>0.5*Z1050*K1050/J1050/$B$7</f>
        <v>33.991855748745309</v>
      </c>
      <c r="M1050">
        <f t="shared" si="172"/>
        <v>0.65013899694461741</v>
      </c>
      <c r="N1050" s="21">
        <f t="shared" si="176"/>
        <v>6.2614906732672643E-2</v>
      </c>
      <c r="O1050" s="21">
        <f t="shared" si="177"/>
        <v>18.888467324028305</v>
      </c>
      <c r="P1050">
        <f t="shared" si="173"/>
        <v>0.7085712510429949</v>
      </c>
      <c r="Q1050">
        <f t="shared" si="170"/>
        <v>0.52197321903586369</v>
      </c>
      <c r="R1050">
        <f t="shared" si="171"/>
        <v>0.82218678524476774</v>
      </c>
      <c r="T1050" s="21">
        <f>(M1050-M1049)/(H1050-H1049)</f>
        <v>1.161509978566011E-3</v>
      </c>
      <c r="W1050">
        <v>935</v>
      </c>
      <c r="X1050">
        <v>19.077192999999998</v>
      </c>
      <c r="Y1050">
        <v>1.5</v>
      </c>
      <c r="Z1050">
        <f t="shared" si="168"/>
        <v>1.5</v>
      </c>
      <c r="AA1050" s="21">
        <f>IF(X1050&gt;$B$8+$B$9,0,ABS(X1050-O1050)/X1050)</f>
        <v>9.8927382016679635E-3</v>
      </c>
      <c r="AB1050">
        <f>IF(OR(Z1047&lt;&gt;Z1053,X1050&gt;$B$8+$B$9),0,((X1053-X1047)/(W1053-W1047)-(O1053-O1047)/(W1053-W1047))^2)</f>
        <v>5.4793266045396597E-6</v>
      </c>
    </row>
    <row r="1051" spans="7:28" x14ac:dyDescent="0.2">
      <c r="G1051" s="21"/>
      <c r="H1051" s="21">
        <v>936</v>
      </c>
      <c r="I1051">
        <f t="shared" si="174"/>
        <v>1.8573905889988151E-2</v>
      </c>
      <c r="J1051">
        <f t="shared" si="175"/>
        <v>0.52136628704232091</v>
      </c>
      <c r="K1051">
        <f t="shared" si="169"/>
        <v>23.649495175247605</v>
      </c>
      <c r="L1051">
        <f>0.5*Z1051*K1051/J1051/$B$7</f>
        <v>34.020460897188634</v>
      </c>
      <c r="M1051">
        <f t="shared" si="172"/>
        <v>0.65130243810345145</v>
      </c>
      <c r="N1051" s="21">
        <f t="shared" si="176"/>
        <v>6.2662046130011237E-2</v>
      </c>
      <c r="O1051" s="21">
        <f t="shared" si="177"/>
        <v>18.907041229918292</v>
      </c>
      <c r="P1051">
        <f t="shared" si="173"/>
        <v>0.70947089637478</v>
      </c>
      <c r="Q1051">
        <f t="shared" si="170"/>
        <v>0.52136628704232091</v>
      </c>
      <c r="R1051">
        <f t="shared" si="171"/>
        <v>0.81832937083425583</v>
      </c>
      <c r="T1051" s="21">
        <f>(M1051-M1050)/(H1051-H1050)</f>
        <v>1.1634411588340443E-3</v>
      </c>
      <c r="W1051">
        <v>936</v>
      </c>
      <c r="X1051">
        <v>19.077192999999998</v>
      </c>
      <c r="Y1051">
        <v>1.5</v>
      </c>
      <c r="Z1051">
        <f t="shared" si="168"/>
        <v>1.5</v>
      </c>
      <c r="AA1051" s="21">
        <f>IF(X1051&gt;$B$8+$B$9,0,ABS(X1051-O1051)/X1051)</f>
        <v>8.9191198139949475E-3</v>
      </c>
      <c r="AB1051">
        <f>IF(OR(Z1048&lt;&gt;Z1054,X1051&gt;$B$8+$B$9),0,((X1054-X1048)/(W1054-W1048)-(O1054-O1048)/(W1054-W1048))^2)</f>
        <v>5.766513014456451E-9</v>
      </c>
    </row>
    <row r="1052" spans="7:28" x14ac:dyDescent="0.2">
      <c r="G1052" s="21"/>
      <c r="H1052" s="21">
        <v>937</v>
      </c>
      <c r="I1052">
        <f t="shared" si="174"/>
        <v>1.8590898222171744E-2</v>
      </c>
      <c r="J1052">
        <f t="shared" si="175"/>
        <v>0.52075904987771127</v>
      </c>
      <c r="K1052">
        <f t="shared" si="169"/>
        <v>23.641898791593643</v>
      </c>
      <c r="L1052">
        <f>0.5*Z1052*K1052/J1052/$B$7</f>
        <v>34.049190499635223</v>
      </c>
      <c r="M1052">
        <f t="shared" si="172"/>
        <v>0.65246782044628793</v>
      </c>
      <c r="N1052" s="21">
        <f t="shared" si="176"/>
        <v>6.270923358963823E-2</v>
      </c>
      <c r="O1052" s="21">
        <f t="shared" si="177"/>
        <v>18.925632128140464</v>
      </c>
      <c r="P1052">
        <f t="shared" si="173"/>
        <v>0.7103709940566284</v>
      </c>
      <c r="Q1052">
        <f t="shared" si="170"/>
        <v>0.52075904987771127</v>
      </c>
      <c r="R1052">
        <f t="shared" si="171"/>
        <v>0.81450607024182631</v>
      </c>
      <c r="T1052" s="21">
        <f>(M1052-M1051)/(H1052-H1051)</f>
        <v>1.165382342836474E-3</v>
      </c>
      <c r="W1052">
        <v>937</v>
      </c>
      <c r="X1052">
        <v>19.093418</v>
      </c>
      <c r="Y1052">
        <v>1.5</v>
      </c>
      <c r="Z1052">
        <f t="shared" si="168"/>
        <v>1.5</v>
      </c>
      <c r="AA1052" s="21">
        <f>IF(X1052&gt;$B$8+$B$9,0,ABS(X1052-O1052)/X1052)</f>
        <v>8.7876289022497684E-3</v>
      </c>
      <c r="AB1052">
        <f>IF(OR(Z1049&lt;&gt;Z1055,X1052&gt;$B$8+$B$9),0,((X1055-X1049)/(W1055-W1049)-(O1055-O1049)/(W1055-W1049))^2)</f>
        <v>2.4448940356263255E-6</v>
      </c>
    </row>
    <row r="1053" spans="7:28" x14ac:dyDescent="0.2">
      <c r="G1053" s="21"/>
      <c r="H1053" s="21">
        <v>938</v>
      </c>
      <c r="I1053">
        <f t="shared" si="174"/>
        <v>1.8608011085317445E-2</v>
      </c>
      <c r="J1053">
        <f t="shared" si="175"/>
        <v>0.52015150501930263</v>
      </c>
      <c r="K1053">
        <f t="shared" si="169"/>
        <v>23.634328614826533</v>
      </c>
      <c r="L1053">
        <f>0.5*Z1053*K1053/J1053/$B$7</f>
        <v>34.078045127375155</v>
      </c>
      <c r="M1053">
        <f t="shared" si="172"/>
        <v>0.65363515403617334</v>
      </c>
      <c r="N1053" s="21">
        <f t="shared" si="176"/>
        <v>6.2756469608847676E-2</v>
      </c>
      <c r="O1053" s="21">
        <f t="shared" si="177"/>
        <v>18.94424013922578</v>
      </c>
      <c r="P1053">
        <f t="shared" si="173"/>
        <v>0.71127154782794444</v>
      </c>
      <c r="Q1053">
        <f t="shared" si="170"/>
        <v>0.52015150501930263</v>
      </c>
      <c r="R1053">
        <f t="shared" si="171"/>
        <v>0.81071641868779887</v>
      </c>
      <c r="T1053" s="21">
        <f>(M1053-M1052)/(H1053-H1052)</f>
        <v>1.1673335898854109E-3</v>
      </c>
      <c r="W1053">
        <v>938</v>
      </c>
      <c r="X1053">
        <v>19.109642999999998</v>
      </c>
      <c r="Y1053">
        <v>1.5</v>
      </c>
      <c r="Z1053">
        <f t="shared" si="168"/>
        <v>1.5</v>
      </c>
      <c r="AA1053" s="21">
        <f>IF(X1053&gt;$B$8+$B$9,0,ABS(X1053-O1053)/X1053)</f>
        <v>8.6554657653321113E-3</v>
      </c>
      <c r="AB1053">
        <f>IF(OR(Z1050&lt;&gt;Z1056,X1053&gt;$B$8+$B$9),0,((X1056-X1050)/(W1056-W1050)-(O1056-O1050)/(W1056-W1050))^2)</f>
        <v>4.50128442980936E-6</v>
      </c>
    </row>
    <row r="1054" spans="7:28" x14ac:dyDescent="0.2">
      <c r="G1054" s="21"/>
      <c r="H1054" s="21">
        <v>939</v>
      </c>
      <c r="I1054">
        <f t="shared" si="174"/>
        <v>1.8625244973716672E-2</v>
      </c>
      <c r="J1054">
        <f t="shared" si="175"/>
        <v>0.5195436499363244</v>
      </c>
      <c r="K1054">
        <f t="shared" si="169"/>
        <v>23.626784589756799</v>
      </c>
      <c r="L1054">
        <f>0.5*Z1054*K1054/J1054/$B$7</f>
        <v>34.107025356751805</v>
      </c>
      <c r="M1054">
        <f t="shared" si="172"/>
        <v>0.65480444899602475</v>
      </c>
      <c r="N1054" s="21">
        <f t="shared" si="176"/>
        <v>6.2803754687648858E-2</v>
      </c>
      <c r="O1054" s="21">
        <f t="shared" si="177"/>
        <v>18.962865384199496</v>
      </c>
      <c r="P1054">
        <f t="shared" si="173"/>
        <v>0.71217256144004792</v>
      </c>
      <c r="Q1054">
        <f t="shared" si="170"/>
        <v>0.5195436499363244</v>
      </c>
      <c r="R1054">
        <f t="shared" si="171"/>
        <v>0.80695995976998391</v>
      </c>
      <c r="T1054" s="21">
        <f>(M1054-M1053)/(H1054-H1053)</f>
        <v>1.169294959851408E-3</v>
      </c>
      <c r="W1054">
        <v>939</v>
      </c>
      <c r="X1054">
        <v>19.140470000000001</v>
      </c>
      <c r="Y1054">
        <v>1.5</v>
      </c>
      <c r="Z1054">
        <f t="shared" si="168"/>
        <v>1.5</v>
      </c>
      <c r="AA1054" s="21">
        <f>IF(X1054&gt;$B$8+$B$9,0,ABS(X1054-O1054)/X1054)</f>
        <v>9.2790101706230026E-3</v>
      </c>
      <c r="AB1054">
        <f>IF(OR(Z1051&lt;&gt;Z1057,X1054&gt;$B$8+$B$9),0,((X1057-X1051)/(W1057-W1051)-(O1057-O1051)/(W1057-W1051))^2)</f>
        <v>5.9608964391432671E-10</v>
      </c>
    </row>
    <row r="1055" spans="7:28" x14ac:dyDescent="0.2">
      <c r="G1055" s="21"/>
      <c r="H1055" s="21">
        <v>940</v>
      </c>
      <c r="I1055">
        <f t="shared" si="174"/>
        <v>1.8642600387240405E-2</v>
      </c>
      <c r="J1055">
        <f t="shared" si="175"/>
        <v>0.51893548208986728</v>
      </c>
      <c r="K1055">
        <f t="shared" si="169"/>
        <v>23.619266661782337</v>
      </c>
      <c r="L1055">
        <f>0.5*Z1055*K1055/J1055/$B$7</f>
        <v>34.136131769207161</v>
      </c>
      <c r="M1055">
        <f t="shared" si="172"/>
        <v>0.65597571550919487</v>
      </c>
      <c r="N1055" s="21">
        <f t="shared" si="176"/>
        <v>6.285108932879957E-2</v>
      </c>
      <c r="O1055" s="21">
        <f t="shared" si="177"/>
        <v>18.981507984586738</v>
      </c>
      <c r="P1055">
        <f t="shared" si="173"/>
        <v>0.71307403865632257</v>
      </c>
      <c r="Q1055">
        <f t="shared" si="170"/>
        <v>0.51893548208986728</v>
      </c>
      <c r="R1055">
        <f t="shared" si="171"/>
        <v>0.80323624527541748</v>
      </c>
      <c r="T1055" s="21">
        <f>(M1055-M1054)/(H1055-H1054)</f>
        <v>1.1712665131701216E-3</v>
      </c>
      <c r="W1055">
        <v>940</v>
      </c>
      <c r="X1055">
        <v>19.148582000000001</v>
      </c>
      <c r="Y1055">
        <v>1.5</v>
      </c>
      <c r="Z1055">
        <f t="shared" si="168"/>
        <v>1.5</v>
      </c>
      <c r="AA1055" s="21">
        <f>IF(X1055&gt;$B$8+$B$9,0,ABS(X1055-O1055)/X1055)</f>
        <v>8.7251377367401437E-3</v>
      </c>
      <c r="AB1055">
        <f>IF(OR(Z1052&lt;&gt;Z1058,X1055&gt;$B$8+$B$9),0,((X1058-X1052)/(W1058-W1052)-(O1058-O1052)/(W1058-W1052))^2)</f>
        <v>4.8969771857539082E-11</v>
      </c>
    </row>
    <row r="1056" spans="7:28" x14ac:dyDescent="0.2">
      <c r="G1056" s="21"/>
      <c r="H1056" s="21">
        <v>941</v>
      </c>
      <c r="I1056">
        <f t="shared" si="174"/>
        <v>1.8660077831385367E-2</v>
      </c>
      <c r="J1056">
        <f t="shared" si="175"/>
        <v>0.51832699893278367</v>
      </c>
      <c r="K1056">
        <f t="shared" si="169"/>
        <v>23.611774776886698</v>
      </c>
      <c r="L1056">
        <f>0.5*Z1056*K1056/J1056/$B$7</f>
        <v>34.165364951327746</v>
      </c>
      <c r="M1056">
        <f t="shared" si="172"/>
        <v>0.65714896382004162</v>
      </c>
      <c r="N1056" s="21">
        <f t="shared" si="176"/>
        <v>6.2898474037839297E-2</v>
      </c>
      <c r="O1056" s="21">
        <f t="shared" si="177"/>
        <v>19.000168062418123</v>
      </c>
      <c r="P1056">
        <f t="shared" si="173"/>
        <v>0.71397598325236333</v>
      </c>
      <c r="Q1056">
        <f t="shared" si="170"/>
        <v>0.51832699893278367</v>
      </c>
      <c r="R1056">
        <f t="shared" si="171"/>
        <v>0.79954483499715656</v>
      </c>
      <c r="T1056" s="21">
        <f>(M1056-M1055)/(H1056-H1055)</f>
        <v>1.1732483108467529E-3</v>
      </c>
      <c r="W1056">
        <v>941</v>
      </c>
      <c r="X1056">
        <v>19.176164</v>
      </c>
      <c r="Y1056">
        <v>1.5</v>
      </c>
      <c r="Z1056">
        <f t="shared" si="168"/>
        <v>1.5</v>
      </c>
      <c r="AA1056" s="21">
        <f>IF(X1056&gt;$B$8+$B$9,0,ABS(X1056-O1056)/X1056)</f>
        <v>9.1778489995119651E-3</v>
      </c>
      <c r="AB1056">
        <f>IF(OR(Z1053&lt;&gt;Z1059,X1056&gt;$B$8+$B$9),0,((X1059-X1053)/(W1059-W1053)-(O1059-O1053)/(W1059-W1053))^2)</f>
        <v>6.4100056156173288E-7</v>
      </c>
    </row>
    <row r="1057" spans="7:28" x14ac:dyDescent="0.2">
      <c r="G1057" s="21"/>
      <c r="H1057" s="21">
        <v>942</v>
      </c>
      <c r="I1057">
        <f t="shared" si="174"/>
        <v>1.8677677817320819E-2</v>
      </c>
      <c r="J1057">
        <f t="shared" si="175"/>
        <v>0.51771819790958551</v>
      </c>
      <c r="K1057">
        <f t="shared" si="169"/>
        <v>23.604308881637323</v>
      </c>
      <c r="L1057">
        <f>0.5*Z1057*K1057/J1057/$B$7</f>
        <v>34.194725494891124</v>
      </c>
      <c r="M1057">
        <f t="shared" si="172"/>
        <v>0.65832420423450644</v>
      </c>
      <c r="N1057" s="21">
        <f t="shared" si="176"/>
        <v>6.2945909323123134E-2</v>
      </c>
      <c r="O1057" s="21">
        <f t="shared" si="177"/>
        <v>19.018845740235445</v>
      </c>
      <c r="P1057">
        <f t="shared" si="173"/>
        <v>0.71487839901612804</v>
      </c>
      <c r="Q1057">
        <f t="shared" si="170"/>
        <v>0.51771819790958551</v>
      </c>
      <c r="R1057">
        <f t="shared" si="171"/>
        <v>0.7958852965559563</v>
      </c>
      <c r="T1057" s="21">
        <f>(M1057-M1056)/(H1057-H1056)</f>
        <v>1.1752404144648176E-3</v>
      </c>
      <c r="W1057">
        <v>942</v>
      </c>
      <c r="X1057">
        <v>19.189143999999999</v>
      </c>
      <c r="Y1057">
        <v>1.5</v>
      </c>
      <c r="Z1057">
        <f t="shared" si="168"/>
        <v>1.5</v>
      </c>
      <c r="AA1057" s="21">
        <f>IF(X1057&gt;$B$8+$B$9,0,ABS(X1057-O1057)/X1057)</f>
        <v>8.8747189434064244E-3</v>
      </c>
      <c r="AB1057">
        <f>IF(OR(Z1054&lt;&gt;Z1060,X1057&gt;$B$8+$B$9),0,((X1060-X1054)/(W1060-W1054)-(O1060-O1054)/(W1060-W1054))^2)</f>
        <v>3.2399292977603667E-7</v>
      </c>
    </row>
    <row r="1058" spans="7:28" x14ac:dyDescent="0.2">
      <c r="G1058" s="21"/>
      <c r="H1058" s="21">
        <v>943</v>
      </c>
      <c r="I1058">
        <f t="shared" si="174"/>
        <v>1.8695400861936041E-2</v>
      </c>
      <c r="J1058">
        <f t="shared" si="175"/>
        <v>0.51710907645634352</v>
      </c>
      <c r="K1058">
        <f t="shared" si="169"/>
        <v>23.596868923183887</v>
      </c>
      <c r="L1058">
        <f>0.5*Z1058*K1058/J1058/$B$7</f>
        <v>34.224213996912937</v>
      </c>
      <c r="M1058">
        <f t="shared" si="172"/>
        <v>0.65950144712069481</v>
      </c>
      <c r="N1058" s="21">
        <f t="shared" si="176"/>
        <v>6.2993395695855894E-2</v>
      </c>
      <c r="O1058" s="21">
        <f t="shared" si="177"/>
        <v>19.037541141097382</v>
      </c>
      <c r="P1058">
        <f t="shared" si="173"/>
        <v>0.71578128974808719</v>
      </c>
      <c r="Q1058">
        <f t="shared" si="170"/>
        <v>0.51710907645634352</v>
      </c>
      <c r="R1058">
        <f t="shared" si="171"/>
        <v>0.79225720522670184</v>
      </c>
      <c r="T1058" s="21">
        <f>(M1058-M1057)/(H1058-H1057)</f>
        <v>1.1772428861883677E-3</v>
      </c>
      <c r="W1058">
        <v>943</v>
      </c>
      <c r="X1058">
        <v>19.205369000000001</v>
      </c>
      <c r="Y1058">
        <v>1.5</v>
      </c>
      <c r="Z1058">
        <f t="shared" si="168"/>
        <v>1.5</v>
      </c>
      <c r="AA1058" s="21">
        <f>IF(X1058&gt;$B$8+$B$9,0,ABS(X1058-O1058)/X1058)</f>
        <v>8.738590698393724E-3</v>
      </c>
      <c r="AB1058">
        <f>IF(OR(Z1055&lt;&gt;Z1061,X1058&gt;$B$8+$B$9),0,((X1061-X1055)/(W1061-W1055)-(O1061-O1055)/(W1061-W1055))^2)</f>
        <v>5.8549639588921931E-7</v>
      </c>
    </row>
    <row r="1059" spans="7:28" x14ac:dyDescent="0.2">
      <c r="G1059" s="21"/>
      <c r="H1059" s="21">
        <v>944</v>
      </c>
      <c r="I1059">
        <f t="shared" si="174"/>
        <v>1.8713247487888426E-2</v>
      </c>
      <c r="J1059">
        <f t="shared" si="175"/>
        <v>0.51649963200058435</v>
      </c>
      <c r="K1059">
        <f t="shared" si="169"/>
        <v>23.58945484925669</v>
      </c>
      <c r="L1059">
        <f>0.5*Z1059*K1059/J1059/$B$7</f>
        <v>34.253831059694733</v>
      </c>
      <c r="M1059">
        <f t="shared" si="172"/>
        <v>0.66068070290946557</v>
      </c>
      <c r="N1059" s="21">
        <f t="shared" si="176"/>
        <v>6.3040933670126434E-2</v>
      </c>
      <c r="O1059" s="21">
        <f t="shared" si="177"/>
        <v>19.05625438858527</v>
      </c>
      <c r="P1059">
        <f t="shared" si="173"/>
        <v>0.71668465926137592</v>
      </c>
      <c r="Q1059">
        <f t="shared" si="170"/>
        <v>0.51649963200058435</v>
      </c>
      <c r="R1059">
        <f t="shared" si="171"/>
        <v>0.78866014376943083</v>
      </c>
      <c r="T1059" s="21">
        <f>(M1059-M1058)/(H1059-H1058)</f>
        <v>1.1792557887707611E-3</v>
      </c>
      <c r="W1059">
        <v>944</v>
      </c>
      <c r="X1059">
        <v>19.226461</v>
      </c>
      <c r="Y1059">
        <v>1.5</v>
      </c>
      <c r="Z1059">
        <f t="shared" si="168"/>
        <v>1.5</v>
      </c>
      <c r="AA1059" s="21">
        <f>IF(X1059&gt;$B$8+$B$9,0,ABS(X1059-O1059)/X1059)</f>
        <v>8.8527270523020701E-3</v>
      </c>
      <c r="AB1059">
        <f>IF(OR(Z1056&lt;&gt;Z1062,X1059&gt;$B$8+$B$9),0,((X1062-X1056)/(W1062-W1056)-(O1062-O1056)/(W1062-W1056))^2)</f>
        <v>3.6570082453461985E-7</v>
      </c>
    </row>
    <row r="1060" spans="7:28" x14ac:dyDescent="0.2">
      <c r="G1060" s="21"/>
      <c r="H1060" s="21">
        <v>945</v>
      </c>
      <c r="I1060">
        <f t="shared" si="174"/>
        <v>1.8731218223652611E-2</v>
      </c>
      <c r="J1060">
        <f t="shared" si="175"/>
        <v>0.51588986196118647</v>
      </c>
      <c r="K1060">
        <f t="shared" si="169"/>
        <v>23.582066608165018</v>
      </c>
      <c r="L1060">
        <f>0.5*Z1060*K1060/J1060/$B$7</f>
        <v>34.283577290872273</v>
      </c>
      <c r="M1060">
        <f t="shared" si="172"/>
        <v>0.66186198209502767</v>
      </c>
      <c r="N1060" s="21">
        <f t="shared" si="176"/>
        <v>6.3088523762942758E-2</v>
      </c>
      <c r="O1060" s="21">
        <f t="shared" si="177"/>
        <v>19.074985606808923</v>
      </c>
      <c r="P1060">
        <f t="shared" si="173"/>
        <v>0.71758851138194801</v>
      </c>
      <c r="Q1060">
        <f t="shared" si="170"/>
        <v>0.51588986196118647</v>
      </c>
      <c r="R1060">
        <f t="shared" si="171"/>
        <v>0.78509370226480801</v>
      </c>
      <c r="T1060" s="21">
        <f>(M1060-M1059)/(H1060-H1059)</f>
        <v>1.1812791855621008E-3</v>
      </c>
      <c r="W1060">
        <v>945</v>
      </c>
      <c r="X1060">
        <v>19.249175000000001</v>
      </c>
      <c r="Y1060">
        <v>1.5</v>
      </c>
      <c r="Z1060">
        <f t="shared" si="168"/>
        <v>1.5</v>
      </c>
      <c r="AA1060" s="21">
        <f>IF(X1060&gt;$B$8+$B$9,0,ABS(X1060-O1060)/X1060)</f>
        <v>9.0491874686098525E-3</v>
      </c>
      <c r="AB1060">
        <f>IF(OR(Z1057&lt;&gt;Z1063,X1060&gt;$B$8+$B$9),0,((X1063-X1057)/(W1063-W1057)-(O1063-O1057)/(W1063-W1057))^2)</f>
        <v>3.8804485965045494E-7</v>
      </c>
    </row>
    <row r="1061" spans="7:28" x14ac:dyDescent="0.2">
      <c r="G1061" s="21"/>
      <c r="H1061" s="21">
        <v>946</v>
      </c>
      <c r="I1061">
        <f t="shared" si="174"/>
        <v>1.8749313603570003E-2</v>
      </c>
      <c r="J1061">
        <f t="shared" si="175"/>
        <v>0.515279763748277</v>
      </c>
      <c r="K1061">
        <f t="shared" si="169"/>
        <v>23.574704148795622</v>
      </c>
      <c r="L1061">
        <f>0.5*Z1061*K1061/J1061/$B$7</f>
        <v>34.313453303464492</v>
      </c>
      <c r="M1061">
        <f t="shared" si="172"/>
        <v>0.66304529523553946</v>
      </c>
      <c r="N1061" s="21">
        <f t="shared" si="176"/>
        <v>6.3136166494266982E-2</v>
      </c>
      <c r="O1061" s="21">
        <f t="shared" si="177"/>
        <v>19.093734920412494</v>
      </c>
      <c r="P1061">
        <f t="shared" si="173"/>
        <v>0.71849284994872964</v>
      </c>
      <c r="Q1061">
        <f t="shared" si="170"/>
        <v>0.515279763748277</v>
      </c>
      <c r="R1061">
        <f t="shared" si="171"/>
        <v>0.78155747795392327</v>
      </c>
      <c r="T1061" s="21">
        <f>(M1061-M1060)/(H1061-H1060)</f>
        <v>1.183313140511788E-3</v>
      </c>
      <c r="W1061">
        <v>946</v>
      </c>
      <c r="X1061">
        <v>19.2654</v>
      </c>
      <c r="Y1061">
        <v>1.5</v>
      </c>
      <c r="Z1061">
        <f t="shared" si="168"/>
        <v>1.5</v>
      </c>
      <c r="AA1061" s="21">
        <f>IF(X1061&gt;$B$8+$B$9,0,ABS(X1061-O1061)/X1061)</f>
        <v>8.910538041644888E-3</v>
      </c>
      <c r="AB1061">
        <f>IF(OR(Z1058&lt;&gt;Z1064,X1061&gt;$B$8+$B$9),0,((X1064-X1058)/(W1064-W1058)-(O1064-O1058)/(W1064-W1058))^2)</f>
        <v>8.3069461512990806E-7</v>
      </c>
    </row>
    <row r="1062" spans="7:28" x14ac:dyDescent="0.2">
      <c r="G1062" s="21"/>
      <c r="H1062" s="21">
        <v>947</v>
      </c>
      <c r="I1062">
        <f t="shared" si="174"/>
        <v>1.876753416789911E-2</v>
      </c>
      <c r="J1062">
        <f t="shared" si="175"/>
        <v>0.51466933476312671</v>
      </c>
      <c r="K1062">
        <f t="shared" si="169"/>
        <v>23.567367420611202</v>
      </c>
      <c r="L1062">
        <f>0.5*Z1062*K1062/J1062/$B$7</f>
        <v>34.343459715923132</v>
      </c>
      <c r="M1062">
        <f t="shared" si="172"/>
        <v>0.66423065295371664</v>
      </c>
      <c r="N1062" s="21">
        <f t="shared" si="176"/>
        <v>6.3183862387051148E-2</v>
      </c>
      <c r="O1062" s="21">
        <f t="shared" si="177"/>
        <v>19.112502454580394</v>
      </c>
      <c r="P1062">
        <f t="shared" si="173"/>
        <v>0.71939767881377448</v>
      </c>
      <c r="Q1062">
        <f t="shared" si="170"/>
        <v>0.51466933476312671</v>
      </c>
      <c r="R1062">
        <f t="shared" si="171"/>
        <v>0.77805107508227556</v>
      </c>
      <c r="T1062" s="21">
        <f>(M1062-M1061)/(H1062-H1061)</f>
        <v>1.1853577181771824E-3</v>
      </c>
      <c r="W1062">
        <v>947</v>
      </c>
      <c r="X1062">
        <v>19.284869999999998</v>
      </c>
      <c r="Y1062">
        <v>1.5</v>
      </c>
      <c r="Z1062">
        <f t="shared" si="168"/>
        <v>1.5</v>
      </c>
      <c r="AA1062" s="21">
        <f>IF(X1062&gt;$B$8+$B$9,0,ABS(X1062-O1062)/X1062)</f>
        <v>8.9379677135290048E-3</v>
      </c>
      <c r="AB1062">
        <f>IF(OR(Z1059&lt;&gt;Z1065,X1062&gt;$B$8+$B$9),0,((X1065-X1059)/(W1065-W1059)-(O1065-O1059)/(W1065-W1059))^2)</f>
        <v>2.1624937534179609E-6</v>
      </c>
    </row>
    <row r="1063" spans="7:28" x14ac:dyDescent="0.2">
      <c r="G1063" s="21"/>
      <c r="H1063" s="21">
        <v>948</v>
      </c>
      <c r="I1063">
        <f t="shared" si="174"/>
        <v>1.8785880462866823E-2</v>
      </c>
      <c r="J1063">
        <f t="shared" si="175"/>
        <v>0.51405857239804376</v>
      </c>
      <c r="K1063">
        <f t="shared" si="169"/>
        <v>23.560056373648926</v>
      </c>
      <c r="L1063">
        <f>0.5*Z1063*K1063/J1063/$B$7</f>
        <v>34.373597152183073</v>
      </c>
      <c r="M1063">
        <f t="shared" si="172"/>
        <v>0.6654180659374479</v>
      </c>
      <c r="N1063" s="21">
        <f t="shared" si="176"/>
        <v>6.3231611967273074E-2</v>
      </c>
      <c r="O1063" s="21">
        <f t="shared" si="177"/>
        <v>19.131288335043262</v>
      </c>
      <c r="P1063">
        <f t="shared" si="173"/>
        <v>0.72030300184242158</v>
      </c>
      <c r="Q1063">
        <f t="shared" si="170"/>
        <v>0.51405857239804376</v>
      </c>
      <c r="R1063">
        <f t="shared" si="171"/>
        <v>0.77457410474780941</v>
      </c>
      <c r="T1063" s="21">
        <f>(M1063-M1062)/(H1063-H1062)</f>
        <v>1.1874129837312619E-3</v>
      </c>
      <c r="W1063">
        <v>948</v>
      </c>
      <c r="X1063">
        <v>19.297848999999999</v>
      </c>
      <c r="Y1063">
        <v>1.5</v>
      </c>
      <c r="Z1063">
        <f t="shared" si="168"/>
        <v>1.5</v>
      </c>
      <c r="AA1063" s="21">
        <f>IF(X1063&gt;$B$8+$B$9,0,ABS(X1063-O1063)/X1063)</f>
        <v>8.6310482042188889E-3</v>
      </c>
      <c r="AB1063">
        <f>IF(OR(Z1060&lt;&gt;Z1066,X1063&gt;$B$8+$B$9),0,((X1066-X1060)/(W1066-W1060)-(O1066-O1060)/(W1066-W1060))^2)</f>
        <v>1.4767462731790702E-6</v>
      </c>
    </row>
    <row r="1064" spans="7:28" x14ac:dyDescent="0.2">
      <c r="G1064" s="21"/>
      <c r="H1064" s="21">
        <v>949</v>
      </c>
      <c r="I1064">
        <f t="shared" si="174"/>
        <v>1.8804353040720211E-2</v>
      </c>
      <c r="J1064">
        <f t="shared" si="175"/>
        <v>0.51344747403626767</v>
      </c>
      <c r="K1064">
        <f t="shared" si="169"/>
        <v>23.552770958519019</v>
      </c>
      <c r="L1064">
        <f>0.5*Z1064*K1064/J1064/$B$7</f>
        <v>34.403866241713203</v>
      </c>
      <c r="M1064">
        <f t="shared" si="172"/>
        <v>0.66660754494041496</v>
      </c>
      <c r="N1064" s="21">
        <f t="shared" si="176"/>
        <v>6.3279415763972877E-2</v>
      </c>
      <c r="O1064" s="21">
        <f t="shared" si="177"/>
        <v>19.150092688083983</v>
      </c>
      <c r="P1064">
        <f t="shared" si="173"/>
        <v>0.72120882291345156</v>
      </c>
      <c r="Q1064">
        <f t="shared" si="170"/>
        <v>0.51344747403626767</v>
      </c>
      <c r="R1064">
        <f t="shared" si="171"/>
        <v>0.77112618475289973</v>
      </c>
      <c r="T1064" s="21">
        <f>(M1064-M1063)/(H1064-H1063)</f>
        <v>1.1894790029670643E-3</v>
      </c>
      <c r="W1064">
        <v>949</v>
      </c>
      <c r="X1064">
        <v>19.312452</v>
      </c>
      <c r="Y1064">
        <v>1.5</v>
      </c>
      <c r="Z1064">
        <f t="shared" si="168"/>
        <v>1.5</v>
      </c>
      <c r="AA1064" s="21">
        <f>IF(X1064&gt;$B$8+$B$9,0,ABS(X1064-O1064)/X1064)</f>
        <v>8.4069755573252386E-3</v>
      </c>
      <c r="AB1064">
        <f>IF(OR(Z1061&lt;&gt;Z1067,X1064&gt;$B$8+$B$9),0,((X1067-X1061)/(W1067-W1061)-(O1067-O1061)/(W1067-W1061))^2)</f>
        <v>4.8463259649434014E-7</v>
      </c>
    </row>
    <row r="1065" spans="7:28" x14ac:dyDescent="0.2">
      <c r="G1065" s="21"/>
      <c r="H1065" s="21">
        <v>950</v>
      </c>
      <c r="I1065">
        <f t="shared" si="174"/>
        <v>1.8822952459779316E-2</v>
      </c>
      <c r="J1065">
        <f t="shared" si="175"/>
        <v>0.51283603705186187</v>
      </c>
      <c r="K1065">
        <f t="shared" si="169"/>
        <v>23.545511126403351</v>
      </c>
      <c r="L1065">
        <f>0.5*Z1065*K1065/J1065/$B$7</f>
        <v>34.434267619568018</v>
      </c>
      <c r="M1065">
        <f t="shared" si="172"/>
        <v>0.66779910078272009</v>
      </c>
      <c r="N1065" s="21">
        <f t="shared" si="176"/>
        <v>6.3327274309289597E-2</v>
      </c>
      <c r="O1065" s="21">
        <f t="shared" si="177"/>
        <v>19.168915640543762</v>
      </c>
      <c r="P1065">
        <f t="shared" si="173"/>
        <v>0.72211514591924741</v>
      </c>
      <c r="Q1065">
        <f t="shared" si="170"/>
        <v>0.51283603705186187</v>
      </c>
      <c r="R1065">
        <f t="shared" si="171"/>
        <v>0.76770693946014223</v>
      </c>
      <c r="T1065" s="21">
        <f>(M1065-M1064)/(H1065-H1064)</f>
        <v>1.1915558423051253E-3</v>
      </c>
      <c r="W1065">
        <v>950</v>
      </c>
      <c r="X1065">
        <v>19.330299</v>
      </c>
      <c r="Y1065">
        <v>1.5</v>
      </c>
      <c r="Z1065">
        <f t="shared" si="168"/>
        <v>1.5</v>
      </c>
      <c r="AA1065" s="21">
        <f>IF(X1065&gt;$B$8+$B$9,0,ABS(X1065-O1065)/X1065)</f>
        <v>8.3487254623551312E-3</v>
      </c>
      <c r="AB1065">
        <f>IF(OR(Z1062&lt;&gt;Z1068,X1065&gt;$B$8+$B$9),0,((X1068-X1062)/(W1068-W1062)-(O1068-O1062)/(W1068-W1062))^2)</f>
        <v>1.5770825215358918E-6</v>
      </c>
    </row>
    <row r="1066" spans="7:28" x14ac:dyDescent="0.2">
      <c r="G1066" s="21"/>
      <c r="H1066" s="21">
        <v>951</v>
      </c>
      <c r="I1066">
        <f t="shared" si="174"/>
        <v>1.8841679284490469E-2</v>
      </c>
      <c r="J1066">
        <f t="shared" si="175"/>
        <v>0.51222425880960554</v>
      </c>
      <c r="K1066">
        <f t="shared" si="169"/>
        <v>23.538276829054102</v>
      </c>
      <c r="L1066">
        <f>0.5*Z1066*K1066/J1066/$B$7</f>
        <v>34.464801926439968</v>
      </c>
      <c r="M1066">
        <f t="shared" si="172"/>
        <v>0.6689927443515209</v>
      </c>
      <c r="N1066" s="21">
        <f t="shared" si="176"/>
        <v>6.3375188138498531E-2</v>
      </c>
      <c r="O1066" s="21">
        <f t="shared" si="177"/>
        <v>19.187757319828254</v>
      </c>
      <c r="P1066">
        <f t="shared" si="173"/>
        <v>0.72302197476595387</v>
      </c>
      <c r="Q1066">
        <f t="shared" si="170"/>
        <v>0.51222425880960554</v>
      </c>
      <c r="R1066">
        <f t="shared" si="171"/>
        <v>0.7643159996518567</v>
      </c>
      <c r="T1066" s="21">
        <f>(M1066-M1065)/(H1066-H1065)</f>
        <v>1.1936435688008062E-3</v>
      </c>
      <c r="W1066">
        <v>951</v>
      </c>
      <c r="X1066">
        <v>19.369237999999999</v>
      </c>
      <c r="Y1066">
        <v>1.5</v>
      </c>
      <c r="Z1066">
        <f t="shared" si="168"/>
        <v>1.5</v>
      </c>
      <c r="AA1066" s="21">
        <f>IF(X1066&gt;$B$8+$B$9,0,ABS(X1066-O1066)/X1066)</f>
        <v>9.3695312211944139E-3</v>
      </c>
      <c r="AB1066">
        <f>IF(OR(Z1063&lt;&gt;Z1069,X1066&gt;$B$8+$B$9),0,((X1069-X1063)/(W1069-W1063)-(O1069-O1063)/(W1069-W1063))^2)</f>
        <v>6.0148752244740347E-9</v>
      </c>
    </row>
    <row r="1067" spans="7:28" x14ac:dyDescent="0.2">
      <c r="G1067" s="21"/>
      <c r="H1067" s="21">
        <v>952</v>
      </c>
      <c r="I1067">
        <f t="shared" si="174"/>
        <v>1.8860534085480652E-2</v>
      </c>
      <c r="J1067">
        <f t="shared" si="175"/>
        <v>0.51161213666488436</v>
      </c>
      <c r="K1067">
        <f t="shared" si="169"/>
        <v>23.531068018792457</v>
      </c>
      <c r="L1067">
        <f>0.5*Z1067*K1067/J1067/$B$7</f>
        <v>34.495469808712365</v>
      </c>
      <c r="M1067">
        <f t="shared" si="172"/>
        <v>0.67018848660167174</v>
      </c>
      <c r="N1067" s="21">
        <f t="shared" si="176"/>
        <v>6.342315779004877E-2</v>
      </c>
      <c r="O1067" s="21">
        <f t="shared" si="177"/>
        <v>19.206617853913734</v>
      </c>
      <c r="P1067">
        <f t="shared" si="173"/>
        <v>0.72392931337363897</v>
      </c>
      <c r="Q1067">
        <f t="shared" si="170"/>
        <v>0.51161213666488436</v>
      </c>
      <c r="R1067">
        <f t="shared" si="171"/>
        <v>0.76095300239318053</v>
      </c>
      <c r="T1067" s="21">
        <f>(M1067-M1066)/(H1067-H1066)</f>
        <v>1.1957422501508441E-3</v>
      </c>
      <c r="W1067">
        <v>952</v>
      </c>
      <c r="X1067">
        <v>19.374105999999998</v>
      </c>
      <c r="Y1067">
        <v>1.5</v>
      </c>
      <c r="Z1067">
        <f t="shared" si="168"/>
        <v>1.5</v>
      </c>
      <c r="AA1067" s="21">
        <f>IF(X1067&gt;$B$8+$B$9,0,ABS(X1067-O1067)/X1067)</f>
        <v>8.6449483700700124E-3</v>
      </c>
      <c r="AB1067">
        <f>IF(OR(Z1064&lt;&gt;Z1070,X1067&gt;$B$8+$B$9),0,((X1070-X1064)/(W1070-W1064)-(O1070-O1064)/(W1070-W1064))^2)</f>
        <v>4.4886449528710577E-8</v>
      </c>
    </row>
    <row r="1068" spans="7:28" x14ac:dyDescent="0.2">
      <c r="G1068" s="21"/>
      <c r="H1068" s="21">
        <v>953</v>
      </c>
      <c r="I1068">
        <f t="shared" si="174"/>
        <v>1.8879517439612543E-2</v>
      </c>
      <c r="J1068">
        <f t="shared" si="175"/>
        <v>0.51099966796358143</v>
      </c>
      <c r="K1068">
        <f t="shared" si="169"/>
        <v>23.523884648507341</v>
      </c>
      <c r="L1068">
        <f>0.5*Z1068*K1068/J1068/$B$7</f>
        <v>34.526271918513075</v>
      </c>
      <c r="M1068">
        <f t="shared" si="172"/>
        <v>0.67138633855637087</v>
      </c>
      <c r="N1068" s="21">
        <f t="shared" si="176"/>
        <v>6.3471183805601183E-2</v>
      </c>
      <c r="O1068" s="21">
        <f t="shared" si="177"/>
        <v>19.225497371353345</v>
      </c>
      <c r="P1068">
        <f t="shared" si="173"/>
        <v>0.72483716567645684</v>
      </c>
      <c r="Q1068">
        <f t="shared" si="170"/>
        <v>0.51099966796358143</v>
      </c>
      <c r="R1068">
        <f t="shared" si="171"/>
        <v>0.75761759089864911</v>
      </c>
      <c r="T1068" s="21">
        <f>(M1068-M1067)/(H1068-H1067)</f>
        <v>1.1978519546991251E-3</v>
      </c>
      <c r="W1068">
        <v>953</v>
      </c>
      <c r="X1068">
        <v>19.390329999999999</v>
      </c>
      <c r="Y1068">
        <v>1.5</v>
      </c>
      <c r="Z1068">
        <f t="shared" si="168"/>
        <v>1.5</v>
      </c>
      <c r="AA1068" s="21">
        <f>IF(X1068&gt;$B$8+$B$9,0,ABS(X1068-O1068)/X1068)</f>
        <v>8.5007644865586866E-3</v>
      </c>
      <c r="AB1068">
        <f>IF(OR(Z1065&lt;&gt;Z1071,X1068&gt;$B$8+$B$9),0,((X1071-X1065)/(W1071-W1065)-(O1071-O1065)/(W1071-W1065))^2)</f>
        <v>1.2572099456937231E-6</v>
      </c>
    </row>
    <row r="1069" spans="7:28" x14ac:dyDescent="0.2">
      <c r="G1069" s="21"/>
      <c r="H1069" s="21">
        <v>954</v>
      </c>
      <c r="I1069">
        <f t="shared" si="174"/>
        <v>1.8898629930040305E-2</v>
      </c>
      <c r="J1069">
        <f t="shared" si="175"/>
        <v>0.51038685004196527</v>
      </c>
      <c r="K1069">
        <f t="shared" si="169"/>
        <v>23.516726671654169</v>
      </c>
      <c r="L1069">
        <f>0.5*Z1069*K1069/J1069/$B$7</f>
        <v>34.557208913768889</v>
      </c>
      <c r="M1069">
        <f t="shared" si="172"/>
        <v>0.67258631130781787</v>
      </c>
      <c r="N1069" s="21">
        <f t="shared" si="176"/>
        <v>6.351926673006697E-2</v>
      </c>
      <c r="O1069" s="21">
        <f t="shared" si="177"/>
        <v>19.244396001283384</v>
      </c>
      <c r="P1069">
        <f t="shared" si="173"/>
        <v>0.72574553562281297</v>
      </c>
      <c r="Q1069">
        <f t="shared" si="170"/>
        <v>0.51038685004196527</v>
      </c>
      <c r="R1069">
        <f t="shared" si="171"/>
        <v>0.75430941440215382</v>
      </c>
      <c r="T1069" s="21">
        <f>(M1069-M1068)/(H1069-H1068)</f>
        <v>1.1999727514470093E-3</v>
      </c>
      <c r="W1069">
        <v>954</v>
      </c>
      <c r="X1069">
        <v>19.411421999999998</v>
      </c>
      <c r="Y1069">
        <v>1.5</v>
      </c>
      <c r="Z1069">
        <f t="shared" si="168"/>
        <v>1.5</v>
      </c>
      <c r="AA1069" s="21">
        <f>IF(X1069&gt;$B$8+$B$9,0,ABS(X1069-O1069)/X1069)</f>
        <v>8.6045215397725153E-3</v>
      </c>
      <c r="AB1069">
        <f>IF(OR(Z1066&lt;&gt;Z1072,X1069&gt;$B$8+$B$9),0,((X1072-X1066)/(W1072-W1066)-(O1072-O1066)/(W1072-W1066))^2)</f>
        <v>2.5666958028771993E-6</v>
      </c>
    </row>
    <row r="1070" spans="7:28" x14ac:dyDescent="0.2">
      <c r="G1070" s="21"/>
      <c r="H1070" s="21">
        <v>955</v>
      </c>
      <c r="I1070">
        <f t="shared" si="174"/>
        <v>1.8917872146266314E-2</v>
      </c>
      <c r="J1070">
        <f t="shared" si="175"/>
        <v>0.50977368022657921</v>
      </c>
      <c r="K1070">
        <f t="shared" si="169"/>
        <v>23.509594042253696</v>
      </c>
      <c r="L1070">
        <f>0.5*Z1070*K1070/J1070/$B$7</f>
        <v>34.588281458260624</v>
      </c>
      <c r="M1070">
        <f t="shared" si="172"/>
        <v>0.67378841601787431</v>
      </c>
      <c r="N1070" s="21">
        <f t="shared" si="176"/>
        <v>6.3567407111646435E-2</v>
      </c>
      <c r="O1070" s="21">
        <f t="shared" si="177"/>
        <v>19.263313873429649</v>
      </c>
      <c r="P1070">
        <f t="shared" si="173"/>
        <v>0.72665442717552797</v>
      </c>
      <c r="Q1070">
        <f t="shared" si="170"/>
        <v>0.50977368022657921</v>
      </c>
      <c r="R1070">
        <f t="shared" si="171"/>
        <v>0.75102812803019581</v>
      </c>
      <c r="T1070" s="21">
        <f>(M1070-M1069)/(H1070-H1069)</f>
        <v>1.2021047100564397E-3</v>
      </c>
      <c r="W1070">
        <v>955</v>
      </c>
      <c r="X1070">
        <v>19.424402000000001</v>
      </c>
      <c r="Y1070">
        <v>1.5</v>
      </c>
      <c r="Z1070">
        <f t="shared" si="168"/>
        <v>1.5</v>
      </c>
      <c r="AA1070" s="21">
        <f>IF(X1070&gt;$B$8+$B$9,0,ABS(X1070-O1070)/X1070)</f>
        <v>8.293080351732417E-3</v>
      </c>
      <c r="AB1070">
        <f>IF(OR(Z1067&lt;&gt;Z1073,X1070&gt;$B$8+$B$9),0,((X1073-X1067)/(W1073-W1067)-(O1073-O1067)/(W1073-W1067))^2)</f>
        <v>5.9181878118908824E-6</v>
      </c>
    </row>
    <row r="1071" spans="7:28" x14ac:dyDescent="0.2">
      <c r="G1071" s="21"/>
      <c r="H1071" s="21">
        <v>956</v>
      </c>
      <c r="I1071">
        <f t="shared" si="174"/>
        <v>1.8937244684198787E-2</v>
      </c>
      <c r="J1071">
        <f t="shared" si="175"/>
        <v>0.50916015583412855</v>
      </c>
      <c r="K1071">
        <f t="shared" si="169"/>
        <v>23.502486714890843</v>
      </c>
      <c r="L1071">
        <f>0.5*Z1071*K1071/J1071/$B$7</f>
        <v>34.61949022167893</v>
      </c>
      <c r="M1071">
        <f t="shared" si="172"/>
        <v>0.67499266391873447</v>
      </c>
      <c r="N1071" s="21">
        <f t="shared" si="176"/>
        <v>6.3615605501868414E-2</v>
      </c>
      <c r="O1071" s="21">
        <f t="shared" si="177"/>
        <v>19.282251118113848</v>
      </c>
      <c r="P1071">
        <f t="shared" si="173"/>
        <v>0.72756384431200594</v>
      </c>
      <c r="Q1071">
        <f t="shared" si="170"/>
        <v>0.50916015583412855</v>
      </c>
      <c r="R1071">
        <f t="shared" si="171"/>
        <v>0.74777339267831289</v>
      </c>
      <c r="T1071" s="21">
        <f>(M1071-M1070)/(H1071-H1070)</f>
        <v>1.2042479008601559E-3</v>
      </c>
      <c r="W1071">
        <v>956</v>
      </c>
      <c r="X1071">
        <v>19.450361999999998</v>
      </c>
      <c r="Y1071">
        <v>1.5</v>
      </c>
      <c r="Z1071">
        <f t="shared" si="168"/>
        <v>1.5</v>
      </c>
      <c r="AA1071" s="21">
        <f>IF(X1071&gt;$B$8+$B$9,0,ABS(X1071-O1071)/X1071)</f>
        <v>8.6430721385108572E-3</v>
      </c>
      <c r="AB1071">
        <f>IF(OR(Z1068&lt;&gt;Z1074,X1071&gt;$B$8+$B$9),0,((X1074-X1068)/(W1074-W1068)-(O1074-O1068)/(W1074-W1068))^2)</f>
        <v>6.8807808397061647E-7</v>
      </c>
    </row>
    <row r="1072" spans="7:28" x14ac:dyDescent="0.2">
      <c r="G1072" s="21"/>
      <c r="H1072" s="21">
        <v>957</v>
      </c>
      <c r="I1072">
        <f t="shared" si="174"/>
        <v>1.8956748146209977E-2</v>
      </c>
      <c r="J1072">
        <f t="shared" si="175"/>
        <v>0.50854627417136689</v>
      </c>
      <c r="K1072">
        <f t="shared" si="169"/>
        <v>23.495404644713609</v>
      </c>
      <c r="L1072">
        <f>0.5*Z1072*K1072/J1072/$B$7</f>
        <v>34.650835879680841</v>
      </c>
      <c r="M1072">
        <f t="shared" si="172"/>
        <v>0.67619906631360249</v>
      </c>
      <c r="N1072" s="21">
        <f t="shared" si="176"/>
        <v>6.3663862455629855E-2</v>
      </c>
      <c r="O1072" s="21">
        <f t="shared" si="177"/>
        <v>19.301207866260057</v>
      </c>
      <c r="P1072">
        <f t="shared" si="173"/>
        <v>0.72847379102440146</v>
      </c>
      <c r="Q1072">
        <f t="shared" si="170"/>
        <v>0.50854627417136689</v>
      </c>
      <c r="R1072">
        <f t="shared" si="171"/>
        <v>0.74454487489061205</v>
      </c>
      <c r="T1072" s="21">
        <f>(M1072-M1071)/(H1072-H1071)</f>
        <v>1.2064023948680225E-3</v>
      </c>
      <c r="W1072">
        <v>957</v>
      </c>
      <c r="X1072">
        <v>19.473075999999999</v>
      </c>
      <c r="Y1072">
        <v>1.5</v>
      </c>
      <c r="Z1072">
        <f t="shared" si="168"/>
        <v>1.5</v>
      </c>
      <c r="AA1072" s="21">
        <f>IF(X1072&gt;$B$8+$B$9,0,ABS(X1072-O1072)/X1072)</f>
        <v>8.8259365772485922E-3</v>
      </c>
      <c r="AB1072">
        <f>IF(OR(Z1069&lt;&gt;Z1075,X1072&gt;$B$8+$B$9),0,((X1075-X1069)/(W1075-W1069)-(O1075-O1069)/(W1075-W1069))^2)</f>
        <v>7.2092795971721005E-7</v>
      </c>
    </row>
    <row r="1073" spans="7:28" x14ac:dyDescent="0.2">
      <c r="G1073" s="21"/>
      <c r="H1073" s="21">
        <v>958</v>
      </c>
      <c r="I1073">
        <f t="shared" si="174"/>
        <v>1.8976383141195631E-2</v>
      </c>
      <c r="J1073">
        <f t="shared" si="175"/>
        <v>0.5079320325349822</v>
      </c>
      <c r="K1073">
        <f t="shared" si="169"/>
        <v>23.488347787431994</v>
      </c>
      <c r="L1073">
        <f>0.5*Z1073*K1073/J1073/$B$7</f>
        <v>34.682319113947067</v>
      </c>
      <c r="M1073">
        <f t="shared" si="172"/>
        <v>0.67740763457737652</v>
      </c>
      <c r="N1073" s="21">
        <f t="shared" si="176"/>
        <v>6.3712178531236174E-2</v>
      </c>
      <c r="O1073" s="21">
        <f t="shared" si="177"/>
        <v>19.320184249401255</v>
      </c>
      <c r="P1073">
        <f t="shared" si="173"/>
        <v>0.72938427131978989</v>
      </c>
      <c r="Q1073">
        <f t="shared" si="170"/>
        <v>0.5079320325349822</v>
      </c>
      <c r="R1073">
        <f t="shared" si="171"/>
        <v>0.74134224674229787</v>
      </c>
      <c r="T1073" s="21">
        <f>(M1073-M1072)/(H1073-H1072)</f>
        <v>1.2085682637740236E-3</v>
      </c>
      <c r="W1073">
        <v>958</v>
      </c>
      <c r="X1073">
        <v>19.473075999999999</v>
      </c>
      <c r="Y1073">
        <v>1.5</v>
      </c>
      <c r="Z1073">
        <f t="shared" si="168"/>
        <v>1.5</v>
      </c>
      <c r="AA1073" s="21">
        <f>IF(X1073&gt;$B$8+$B$9,0,ABS(X1073-O1073)/X1073)</f>
        <v>7.8514432233892772E-3</v>
      </c>
      <c r="AB1073">
        <f>IF(OR(Z1070&lt;&gt;Z1076,X1073&gt;$B$8+$B$9),0,((X1076-X1070)/(W1076-W1070)-(O1076-O1070)/(W1076-W1070))^2)</f>
        <v>7.5477288697875278E-7</v>
      </c>
    </row>
    <row r="1074" spans="7:28" x14ac:dyDescent="0.2">
      <c r="G1074" s="21"/>
      <c r="H1074" s="21">
        <v>959</v>
      </c>
      <c r="I1074">
        <f t="shared" si="174"/>
        <v>1.8996150284634802E-2</v>
      </c>
      <c r="J1074">
        <f t="shared" si="175"/>
        <v>0.50731742821148096</v>
      </c>
      <c r="K1074">
        <f t="shared" si="169"/>
        <v>23.481316099316988</v>
      </c>
      <c r="L1074">
        <f>0.5*Z1074*K1074/J1074/$B$7</f>
        <v>34.713940612240123</v>
      </c>
      <c r="M1074">
        <f t="shared" si="172"/>
        <v>0.67861838015734199</v>
      </c>
      <c r="N1074" s="21">
        <f t="shared" si="176"/>
        <v>6.3760554290441987E-2</v>
      </c>
      <c r="O1074" s="21">
        <f t="shared" si="177"/>
        <v>19.33918039968589</v>
      </c>
      <c r="P1074">
        <f t="shared" si="173"/>
        <v>0.73029528922033793</v>
      </c>
      <c r="Q1074">
        <f t="shared" si="170"/>
        <v>0.50731742821148096</v>
      </c>
      <c r="R1074">
        <f t="shared" si="171"/>
        <v>0.73816518572512269</v>
      </c>
      <c r="T1074" s="21">
        <f>(M1074-M1073)/(H1074-H1073)</f>
        <v>1.2107455799654776E-3</v>
      </c>
      <c r="W1074">
        <v>959</v>
      </c>
      <c r="X1074">
        <v>19.499036</v>
      </c>
      <c r="Y1074">
        <v>1.5</v>
      </c>
      <c r="Z1074">
        <f t="shared" si="168"/>
        <v>1.5</v>
      </c>
      <c r="AA1074" s="21">
        <f>IF(X1074&gt;$B$8+$B$9,0,ABS(X1074-O1074)/X1074)</f>
        <v>8.1981283748647788E-3</v>
      </c>
      <c r="AB1074">
        <f>IF(OR(Z1071&lt;&gt;Z1077,X1074&gt;$B$8+$B$9),0,((X1077-X1071)/(W1077-W1071)-(O1077-O1071)/(W1077-W1071))^2)</f>
        <v>2.0437876795949548E-6</v>
      </c>
    </row>
    <row r="1075" spans="7:28" x14ac:dyDescent="0.2">
      <c r="G1075" s="21"/>
      <c r="H1075" s="21">
        <v>960</v>
      </c>
      <c r="I1075">
        <f t="shared" si="174"/>
        <v>1.9016050198651175E-2</v>
      </c>
      <c r="J1075">
        <f t="shared" si="175"/>
        <v>0.5067024584770724</v>
      </c>
      <c r="K1075">
        <f t="shared" si="169"/>
        <v>23.474309537199574</v>
      </c>
      <c r="L1075">
        <f>0.5*Z1075*K1075/J1075/$B$7</f>
        <v>34.74570106846307</v>
      </c>
      <c r="M1075">
        <f t="shared" si="172"/>
        <v>0.67983131457387025</v>
      </c>
      <c r="N1075" s="21">
        <f t="shared" si="176"/>
        <v>6.3808990298492019E-2</v>
      </c>
      <c r="O1075" s="21">
        <f t="shared" si="177"/>
        <v>19.358196449884542</v>
      </c>
      <c r="P1075">
        <f t="shared" si="173"/>
        <v>0.73120684876347608</v>
      </c>
      <c r="Q1075">
        <f t="shared" si="170"/>
        <v>0.5067024584770724</v>
      </c>
      <c r="R1075">
        <f t="shared" si="171"/>
        <v>0.73501337463566696</v>
      </c>
      <c r="T1075" s="21">
        <f>(M1075-M1074)/(H1075-H1074)</f>
        <v>1.2129344165282552E-3</v>
      </c>
      <c r="W1075">
        <v>960</v>
      </c>
      <c r="X1075">
        <v>19.520128</v>
      </c>
      <c r="Y1075">
        <v>1.5</v>
      </c>
      <c r="Z1075">
        <f t="shared" si="168"/>
        <v>1.5</v>
      </c>
      <c r="AA1075" s="21">
        <f>IF(X1075&gt;$B$8+$B$9,0,ABS(X1075-O1075)/X1075)</f>
        <v>8.295619276444198E-3</v>
      </c>
      <c r="AB1075">
        <f>IF(OR(Z1072&lt;&gt;Z1078,X1075&gt;$B$8+$B$9),0,((X1078-X1072)/(W1078-W1072)-(O1078-O1072)/(W1078-W1072))^2)</f>
        <v>6.4063582748174285E-6</v>
      </c>
    </row>
    <row r="1076" spans="7:28" x14ac:dyDescent="0.2">
      <c r="G1076" s="21"/>
      <c r="H1076" s="21">
        <v>961</v>
      </c>
      <c r="I1076">
        <f t="shared" si="174"/>
        <v>1.9036083512074718E-2</v>
      </c>
      <c r="J1076">
        <f t="shared" si="175"/>
        <v>0.50608712059755079</v>
      </c>
      <c r="K1076">
        <f t="shared" si="169"/>
        <v>23.4673280584698</v>
      </c>
      <c r="L1076">
        <f>0.5*Z1076*K1076/J1076/$B$7</f>
        <v>34.777601182719224</v>
      </c>
      <c r="M1076">
        <f t="shared" si="172"/>
        <v>0.68104644942112802</v>
      </c>
      <c r="N1076" s="21">
        <f t="shared" si="176"/>
        <v>6.3857487124162962E-2</v>
      </c>
      <c r="O1076" s="21">
        <f t="shared" si="177"/>
        <v>19.377232533396615</v>
      </c>
      <c r="P1076">
        <f t="shared" si="173"/>
        <v>0.7321189540020725</v>
      </c>
      <c r="Q1076">
        <f t="shared" si="170"/>
        <v>0.50608712059755079</v>
      </c>
      <c r="R1076">
        <f t="shared" si="171"/>
        <v>0.73188650146637146</v>
      </c>
      <c r="T1076" s="21">
        <f>(M1076-M1075)/(H1076-H1075)</f>
        <v>1.2151348472577705E-3</v>
      </c>
      <c r="W1076">
        <v>961</v>
      </c>
      <c r="X1076">
        <v>19.533107999999999</v>
      </c>
      <c r="Y1076">
        <v>1.5</v>
      </c>
      <c r="Z1076">
        <f t="shared" si="168"/>
        <v>1.5</v>
      </c>
      <c r="AA1076" s="21">
        <f>IF(X1076&gt;$B$8+$B$9,0,ABS(X1076-O1076)/X1076)</f>
        <v>7.9800647497256186E-3</v>
      </c>
      <c r="AB1076">
        <f>IF(OR(Z1073&lt;&gt;Z1079,X1076&gt;$B$8+$B$9),0,((X1079-X1073)/(W1079-W1073)-(O1079-O1073)/(W1079-W1073))^2)</f>
        <v>1.3809304434468597E-8</v>
      </c>
    </row>
    <row r="1077" spans="7:28" x14ac:dyDescent="0.2">
      <c r="G1077" s="21"/>
      <c r="H1077" s="21">
        <v>962</v>
      </c>
      <c r="I1077">
        <f t="shared" si="174"/>
        <v>1.9056250860504616E-2</v>
      </c>
      <c r="J1077">
        <f t="shared" si="175"/>
        <v>0.50547141182817756</v>
      </c>
      <c r="K1077">
        <f t="shared" si="169"/>
        <v>23.460371621075872</v>
      </c>
      <c r="L1077">
        <f>0.5*Z1077*K1077/J1077/$B$7</f>
        <v>34.809641661372503</v>
      </c>
      <c r="M1077">
        <f t="shared" si="172"/>
        <v>0.68226379636779133</v>
      </c>
      <c r="N1077" s="21">
        <f t="shared" si="176"/>
        <v>6.3906045339805345E-2</v>
      </c>
      <c r="O1077" s="21">
        <f t="shared" si="177"/>
        <v>19.39628878425712</v>
      </c>
      <c r="P1077">
        <f t="shared" si="173"/>
        <v>0.73303160900460818</v>
      </c>
      <c r="Q1077">
        <f t="shared" si="170"/>
        <v>0.50547141182817756</v>
      </c>
      <c r="R1077">
        <f t="shared" si="171"/>
        <v>0.72878425929924306</v>
      </c>
      <c r="T1077" s="21">
        <f>(M1077-M1076)/(H1077-H1076)</f>
        <v>1.2173469466633113E-3</v>
      </c>
      <c r="W1077">
        <v>962</v>
      </c>
      <c r="X1077">
        <v>19.555821999999999</v>
      </c>
      <c r="Y1077">
        <v>1.5</v>
      </c>
      <c r="Z1077">
        <f t="shared" si="168"/>
        <v>1.5</v>
      </c>
      <c r="AA1077" s="21">
        <f>IF(X1077&gt;$B$8+$B$9,0,ABS(X1077-O1077)/X1077)</f>
        <v>8.1578373817720005E-3</v>
      </c>
      <c r="AB1077">
        <f>IF(OR(Z1074&lt;&gt;Z1080,X1077&gt;$B$8+$B$9),0,((X1080-X1074)/(W1080-W1074)-(O1080-O1074)/(W1080-W1074))^2)</f>
        <v>3.0984749409478932E-6</v>
      </c>
    </row>
    <row r="1078" spans="7:28" x14ac:dyDescent="0.2">
      <c r="G1078" s="21"/>
      <c r="H1078" s="21">
        <v>963</v>
      </c>
      <c r="I1078">
        <f t="shared" si="174"/>
        <v>1.9076552886372923E-2</v>
      </c>
      <c r="J1078">
        <f t="shared" si="175"/>
        <v>0.50485532941356159</v>
      </c>
      <c r="K1078">
        <f t="shared" si="169"/>
        <v>23.45344018352327</v>
      </c>
      <c r="L1078">
        <f>0.5*Z1078*K1078/J1078/$B$7</f>
        <v>34.841823217108626</v>
      </c>
      <c r="M1078">
        <f t="shared" si="172"/>
        <v>0.68348336715777114</v>
      </c>
      <c r="N1078" s="21">
        <f t="shared" si="176"/>
        <v>6.3954665521386359E-2</v>
      </c>
      <c r="O1078" s="21">
        <f t="shared" si="177"/>
        <v>19.415365337143491</v>
      </c>
      <c r="P1078">
        <f t="shared" si="173"/>
        <v>0.73394481785535415</v>
      </c>
      <c r="Q1078">
        <f t="shared" si="170"/>
        <v>0.50485532941356159</v>
      </c>
      <c r="R1078">
        <f t="shared" si="171"/>
        <v>0.7257063462021538</v>
      </c>
      <c r="T1078" s="21">
        <f>(M1078-M1077)/(H1078-H1077)</f>
        <v>1.2195707899798069E-3</v>
      </c>
      <c r="W1078">
        <v>963</v>
      </c>
      <c r="X1078">
        <v>19.572046999999998</v>
      </c>
      <c r="Y1078">
        <v>1.5</v>
      </c>
      <c r="Z1078">
        <f t="shared" si="168"/>
        <v>1.5</v>
      </c>
      <c r="AA1078" s="21">
        <f>IF(X1078&gt;$B$8+$B$9,0,ABS(X1078-O1078)/X1078)</f>
        <v>8.0053794504226575E-3</v>
      </c>
      <c r="AB1078">
        <f>IF(OR(Z1075&lt;&gt;Z1081,X1078&gt;$B$8+$B$9),0,((X1081-X1075)/(W1081-W1075)-(O1081-O1075)/(W1081-W1075))^2)</f>
        <v>1.835714918356465E-7</v>
      </c>
    </row>
    <row r="1079" spans="7:28" x14ac:dyDescent="0.2">
      <c r="G1079" s="21"/>
      <c r="H1079" s="21">
        <v>964</v>
      </c>
      <c r="I1079">
        <f t="shared" si="174"/>
        <v>1.9096990239009182E-2</v>
      </c>
      <c r="J1079">
        <f t="shared" si="175"/>
        <v>0.5042388705875398</v>
      </c>
      <c r="K1079">
        <f t="shared" si="169"/>
        <v>23.446533704873975</v>
      </c>
      <c r="L1079">
        <f>0.5*Z1079*K1079/J1079/$B$7</f>
        <v>34.874146568997219</v>
      </c>
      <c r="M1079">
        <f t="shared" si="172"/>
        <v>0.68470517361094307</v>
      </c>
      <c r="N1079" s="21">
        <f t="shared" si="176"/>
        <v>6.4003348248532668E-2</v>
      </c>
      <c r="O1079" s="21">
        <f t="shared" si="177"/>
        <v>19.434462327382501</v>
      </c>
      <c r="P1079">
        <f t="shared" si="173"/>
        <v>0.73485858465454845</v>
      </c>
      <c r="Q1079">
        <f t="shared" si="170"/>
        <v>0.5042388705875398</v>
      </c>
      <c r="R1079">
        <f t="shared" si="171"/>
        <v>0.72265246512766956</v>
      </c>
      <c r="T1079" s="21">
        <f>(M1079-M1078)/(H1079-H1078)</f>
        <v>1.2218064531719364E-3</v>
      </c>
      <c r="W1079">
        <v>964</v>
      </c>
      <c r="X1079">
        <v>19.586648999999998</v>
      </c>
      <c r="Y1079">
        <v>1.5</v>
      </c>
      <c r="Z1079">
        <f t="shared" si="168"/>
        <v>1.5</v>
      </c>
      <c r="AA1079" s="21">
        <f>IF(X1079&gt;$B$8+$B$9,0,ABS(X1079-O1079)/X1079)</f>
        <v>7.7699188165109975E-3</v>
      </c>
      <c r="AB1079">
        <f>IF(OR(Z1076&lt;&gt;Z1082,X1079&gt;$B$8+$B$9),0,((X1082-X1076)/(W1082-W1076)-(O1082-O1076)/(W1082-W1076))^2)</f>
        <v>8.4103580878614013E-9</v>
      </c>
    </row>
    <row r="1080" spans="7:28" x14ac:dyDescent="0.2">
      <c r="G1080" s="21"/>
      <c r="H1080" s="21">
        <v>965</v>
      </c>
      <c r="I1080">
        <f t="shared" si="174"/>
        <v>1.9117563574706207E-2</v>
      </c>
      <c r="J1080">
        <f t="shared" si="175"/>
        <v>0.50362203257305482</v>
      </c>
      <c r="K1080">
        <f t="shared" si="169"/>
        <v>23.439652144745637</v>
      </c>
      <c r="L1080">
        <f>0.5*Z1080*K1080/J1080/$B$7</f>
        <v>34.906612442554589</v>
      </c>
      <c r="M1080">
        <f t="shared" si="172"/>
        <v>0.68592922762388941</v>
      </c>
      <c r="N1080" s="21">
        <f t="shared" si="176"/>
        <v>6.4052094104574214E-2</v>
      </c>
      <c r="O1080" s="21">
        <f t="shared" si="177"/>
        <v>19.453579890957208</v>
      </c>
      <c r="P1080">
        <f t="shared" si="173"/>
        <v>0.73577291351857765</v>
      </c>
      <c r="Q1080">
        <f t="shared" si="170"/>
        <v>0.50362203257305482</v>
      </c>
      <c r="R1080">
        <f t="shared" si="171"/>
        <v>0.71962232381431868</v>
      </c>
      <c r="T1080" s="21">
        <f>(M1080-M1079)/(H1080-H1079)</f>
        <v>1.2240540129463406E-3</v>
      </c>
      <c r="W1080">
        <v>965</v>
      </c>
      <c r="X1080">
        <v>19.602874</v>
      </c>
      <c r="Y1080">
        <v>1.5</v>
      </c>
      <c r="Z1080">
        <f t="shared" si="168"/>
        <v>1.5</v>
      </c>
      <c r="AA1080" s="21">
        <f>IF(X1080&gt;$B$8+$B$9,0,ABS(X1080-O1080)/X1080)</f>
        <v>7.615929635766263E-3</v>
      </c>
      <c r="AB1080">
        <f>IF(OR(Z1077&lt;&gt;Z1083,X1080&gt;$B$8+$B$9),0,((X1083-X1077)/(W1083-W1077)-(O1083-O1077)/(W1083-W1077))^2)</f>
        <v>5.4774980141011195E-7</v>
      </c>
    </row>
    <row r="1081" spans="7:28" x14ac:dyDescent="0.2">
      <c r="G1081" s="21"/>
      <c r="H1081" s="21">
        <v>966</v>
      </c>
      <c r="I1081">
        <f t="shared" si="174"/>
        <v>1.9138273556786451E-2</v>
      </c>
      <c r="J1081">
        <f t="shared" si="175"/>
        <v>0.50300481258203344</v>
      </c>
      <c r="K1081">
        <f t="shared" si="169"/>
        <v>23.432795463310864</v>
      </c>
      <c r="L1081">
        <f>0.5*Z1081*K1081/J1081/$B$7</f>
        <v>34.939221569807472</v>
      </c>
      <c r="M1081">
        <f t="shared" si="172"/>
        <v>0.68715554117064681</v>
      </c>
      <c r="N1081" s="21">
        <f t="shared" si="176"/>
        <v>6.4100903676588189E-2</v>
      </c>
      <c r="O1081" s="21">
        <f t="shared" si="177"/>
        <v>19.472718164513996</v>
      </c>
      <c r="P1081">
        <f t="shared" si="173"/>
        <v>0.73668780858015703</v>
      </c>
      <c r="Q1081">
        <f t="shared" si="170"/>
        <v>0.50300481258203344</v>
      </c>
      <c r="R1081">
        <f t="shared" si="171"/>
        <v>0.71661563469025402</v>
      </c>
      <c r="T1081" s="21">
        <f>(M1081-M1080)/(H1081-H1080)</f>
        <v>1.226313546757396E-3</v>
      </c>
      <c r="W1081">
        <v>966</v>
      </c>
      <c r="X1081">
        <v>19.632079000000001</v>
      </c>
      <c r="Y1081">
        <v>1.5</v>
      </c>
      <c r="Z1081">
        <f t="shared" si="168"/>
        <v>1.5</v>
      </c>
      <c r="AA1081" s="21">
        <f>IF(X1081&gt;$B$8+$B$9,0,ABS(X1081-O1081)/X1081)</f>
        <v>8.1173693059204376E-3</v>
      </c>
      <c r="AB1081">
        <f>IF(OR(Z1078&lt;&gt;Z1084,X1081&gt;$B$8+$B$9),0,((X1084-X1078)/(W1084-W1078)-(O1084-O1078)/(W1084-W1078))^2)</f>
        <v>1.029036047023905E-7</v>
      </c>
    </row>
    <row r="1082" spans="7:28" x14ac:dyDescent="0.2">
      <c r="G1082" s="21"/>
      <c r="H1082" s="21">
        <v>967</v>
      </c>
      <c r="I1082">
        <f t="shared" si="174"/>
        <v>1.9159120855669669E-2</v>
      </c>
      <c r="J1082">
        <f t="shared" si="175"/>
        <v>0.50238720781526325</v>
      </c>
      <c r="K1082">
        <f t="shared" si="169"/>
        <v>23.425963621296532</v>
      </c>
      <c r="L1082">
        <f>0.5*Z1082*K1082/J1082/$B$7</f>
        <v>34.971974689357552</v>
      </c>
      <c r="M1082">
        <f t="shared" si="172"/>
        <v>0.68838412630346224</v>
      </c>
      <c r="N1082" s="21">
        <f t="shared" si="176"/>
        <v>6.4149777555443696E-2</v>
      </c>
      <c r="O1082" s="21">
        <f t="shared" si="177"/>
        <v>19.491877285369664</v>
      </c>
      <c r="P1082">
        <f t="shared" si="173"/>
        <v>0.73760327398851311</v>
      </c>
      <c r="Q1082">
        <f t="shared" si="170"/>
        <v>0.50238720781526325</v>
      </c>
      <c r="R1082">
        <f t="shared" si="171"/>
        <v>0.71363211477922595</v>
      </c>
      <c r="T1082" s="21">
        <f>(M1082-M1081)/(H1082-H1081)</f>
        <v>1.2285851328154296E-3</v>
      </c>
      <c r="W1082">
        <v>967</v>
      </c>
      <c r="X1082">
        <v>19.648302999999999</v>
      </c>
      <c r="Y1082">
        <v>1.5</v>
      </c>
      <c r="Z1082">
        <f t="shared" si="168"/>
        <v>1.5</v>
      </c>
      <c r="AA1082" s="21">
        <f>IF(X1082&gt;$B$8+$B$9,0,ABS(X1082-O1082)/X1082)</f>
        <v>7.9612837113889213E-3</v>
      </c>
      <c r="AB1082">
        <f>IF(OR(Z1079&lt;&gt;Z1085,X1082&gt;$B$8+$B$9),0,((X1085-X1079)/(W1085-W1079)-(O1085-O1079)/(W1085-W1079))^2)</f>
        <v>2.6142559755379247E-7</v>
      </c>
    </row>
    <row r="1083" spans="7:28" x14ac:dyDescent="0.2">
      <c r="G1083" s="21"/>
      <c r="H1083" s="21">
        <v>968</v>
      </c>
      <c r="I1083">
        <f t="shared" si="174"/>
        <v>1.9180106148941452E-2</v>
      </c>
      <c r="J1083">
        <f t="shared" si="175"/>
        <v>0.50176921546226727</v>
      </c>
      <c r="K1083">
        <f t="shared" si="169"/>
        <v>23.419156579983088</v>
      </c>
      <c r="L1083">
        <f>0.5*Z1083*K1083/J1083/$B$7</f>
        <v>35.004872546446897</v>
      </c>
      <c r="M1083">
        <f t="shared" si="172"/>
        <v>0.68961499515356106</v>
      </c>
      <c r="N1083" s="21">
        <f t="shared" si="176"/>
        <v>6.4198716335846881E-2</v>
      </c>
      <c r="O1083" s="21">
        <f t="shared" si="177"/>
        <v>19.511057391518605</v>
      </c>
      <c r="P1083">
        <f t="shared" si="173"/>
        <v>0.73851931390956971</v>
      </c>
      <c r="Q1083">
        <f t="shared" si="170"/>
        <v>0.50176921546226727</v>
      </c>
      <c r="R1083">
        <f t="shared" si="171"/>
        <v>0.71067148560880156</v>
      </c>
      <c r="T1083" s="21">
        <f>(M1083-M1082)/(H1083-H1082)</f>
        <v>1.2308688500988207E-3</v>
      </c>
      <c r="W1083">
        <v>968</v>
      </c>
      <c r="X1083">
        <v>19.666149999999998</v>
      </c>
      <c r="Y1083">
        <v>1.5</v>
      </c>
      <c r="Z1083">
        <f t="shared" si="168"/>
        <v>1.5</v>
      </c>
      <c r="AA1083" s="21">
        <f>IF(X1083&gt;$B$8+$B$9,0,ABS(X1083-O1083)/X1083)</f>
        <v>7.8862720197594889E-3</v>
      </c>
      <c r="AB1083">
        <f>IF(OR(Z1080&lt;&gt;Z1086,X1083&gt;$B$8+$B$9),0,((X1086-X1080)/(W1086-W1080)-(O1086-O1080)/(W1086-W1080))^2)</f>
        <v>7.7736779308253113E-8</v>
      </c>
    </row>
    <row r="1084" spans="7:28" x14ac:dyDescent="0.2">
      <c r="G1084" s="21"/>
      <c r="H1084" s="21">
        <v>969</v>
      </c>
      <c r="I1084">
        <f t="shared" si="174"/>
        <v>1.9201230121422681E-2</v>
      </c>
      <c r="J1084">
        <f t="shared" si="175"/>
        <v>0.50115083270117933</v>
      </c>
      <c r="K1084">
        <f t="shared" si="169"/>
        <v>23.412374301203972</v>
      </c>
      <c r="L1084">
        <f>0.5*Z1084*K1084/J1084/$B$7</f>
        <v>35.037915893024234</v>
      </c>
      <c r="M1084">
        <f t="shared" si="172"/>
        <v>0.69084815993191928</v>
      </c>
      <c r="N1084" s="21">
        <f t="shared" si="176"/>
        <v>6.4247720616386603E-2</v>
      </c>
      <c r="O1084" s="21">
        <f t="shared" si="177"/>
        <v>19.530258621640026</v>
      </c>
      <c r="P1084">
        <f t="shared" si="173"/>
        <v>0.73943593252613293</v>
      </c>
      <c r="Q1084">
        <f t="shared" si="170"/>
        <v>0.50115083270117933</v>
      </c>
      <c r="R1084">
        <f t="shared" si="171"/>
        <v>0.70773347312077894</v>
      </c>
      <c r="T1084" s="21">
        <f>(M1084-M1083)/(H1084-H1083)</f>
        <v>1.23316477835822E-3</v>
      </c>
      <c r="W1084">
        <v>969</v>
      </c>
      <c r="X1084">
        <v>19.688865</v>
      </c>
      <c r="Y1084">
        <v>1.5</v>
      </c>
      <c r="Z1084">
        <f t="shared" si="168"/>
        <v>1.5</v>
      </c>
      <c r="AA1084" s="21">
        <f>IF(X1084&gt;$B$8+$B$9,0,ABS(X1084-O1084)/X1084)</f>
        <v>8.0556384717947616E-3</v>
      </c>
      <c r="AB1084">
        <f>IF(OR(Z1081&lt;&gt;Z1087,X1084&gt;$B$8+$B$9),0,((X1087-X1081)/(W1087-W1081)-(O1087-O1081)/(W1087-W1081))^2)</f>
        <v>1.4430233806979454E-5</v>
      </c>
    </row>
    <row r="1085" spans="7:28" x14ac:dyDescent="0.2">
      <c r="G1085" s="21"/>
      <c r="H1085" s="21">
        <v>970</v>
      </c>
      <c r="I1085">
        <f t="shared" si="174"/>
        <v>1.9222493465240294E-2</v>
      </c>
      <c r="J1085">
        <f t="shared" si="175"/>
        <v>0.500532056698617</v>
      </c>
      <c r="K1085">
        <f t="shared" si="169"/>
        <v>23.405616747345015</v>
      </c>
      <c r="L1085">
        <f>0.5*Z1085*K1085/J1085/$B$7</f>
        <v>35.071105487812133</v>
      </c>
      <c r="M1085">
        <f t="shared" si="172"/>
        <v>0.6920836329300476</v>
      </c>
      <c r="N1085" s="21">
        <f t="shared" si="176"/>
        <v>6.4296790999580647E-2</v>
      </c>
      <c r="O1085" s="21">
        <f t="shared" si="177"/>
        <v>19.549481115105266</v>
      </c>
      <c r="P1085">
        <f t="shared" si="173"/>
        <v>0.7403531340380789</v>
      </c>
      <c r="Q1085">
        <f t="shared" si="170"/>
        <v>0.500532056698617</v>
      </c>
      <c r="R1085">
        <f t="shared" si="171"/>
        <v>0.70481780758372681</v>
      </c>
      <c r="T1085" s="21">
        <f>(M1085-M1084)/(H1085-H1084)</f>
        <v>1.2354729981283175E-3</v>
      </c>
      <c r="W1085">
        <v>970</v>
      </c>
      <c r="X1085">
        <v>19.698599999999999</v>
      </c>
      <c r="Y1085">
        <v>1.5</v>
      </c>
      <c r="Z1085">
        <f t="shared" si="168"/>
        <v>1.5</v>
      </c>
      <c r="AA1085" s="21">
        <f>IF(X1085&gt;$B$8+$B$9,0,ABS(X1085-O1085)/X1085)</f>
        <v>7.5700245141651253E-3</v>
      </c>
      <c r="AB1085">
        <f>IF(OR(Z1082&lt;&gt;Z1088,X1085&gt;$B$8+$B$9),0,((X1088-X1082)/(W1088-W1082)-(O1088-O1082)/(W1088-W1082))^2)</f>
        <v>3.3048978244035622E-7</v>
      </c>
    </row>
    <row r="1086" spans="7:28" x14ac:dyDescent="0.2">
      <c r="G1086" s="21"/>
      <c r="H1086" s="21">
        <v>971</v>
      </c>
      <c r="I1086">
        <f t="shared" si="174"/>
        <v>1.9243896879898664E-2</v>
      </c>
      <c r="J1086">
        <f t="shared" si="175"/>
        <v>0.49991288460955374</v>
      </c>
      <c r="K1086">
        <f t="shared" si="169"/>
        <v>23.398883881343924</v>
      </c>
      <c r="L1086">
        <f>0.5*Z1086*K1086/J1086/$B$7</f>
        <v>35.104442096375138</v>
      </c>
      <c r="M1086">
        <f t="shared" si="172"/>
        <v>0.69332142652078355</v>
      </c>
      <c r="N1086" s="21">
        <f t="shared" si="176"/>
        <v>6.4345928091922633E-2</v>
      </c>
      <c r="O1086" s="21">
        <f t="shared" si="177"/>
        <v>19.568725011985165</v>
      </c>
      <c r="P1086">
        <f t="shared" si="173"/>
        <v>0.7412709226625438</v>
      </c>
      <c r="Q1086">
        <f t="shared" si="170"/>
        <v>0.49991288460955374</v>
      </c>
      <c r="R1086">
        <f t="shared" si="171"/>
        <v>0.70192422350758976</v>
      </c>
      <c r="T1086" s="21">
        <f>(M1086-M1085)/(H1086-H1085)</f>
        <v>1.2377935907359472E-3</v>
      </c>
      <c r="W1086">
        <v>971</v>
      </c>
      <c r="X1086">
        <v>19.719691999999998</v>
      </c>
      <c r="Y1086">
        <v>1.5</v>
      </c>
      <c r="Z1086">
        <f t="shared" ref="Z1086:Z1149" si="178">Y1086</f>
        <v>1.5</v>
      </c>
      <c r="AA1086" s="21">
        <f>IF(X1086&gt;$B$8+$B$9,0,ABS(X1086-O1086)/X1086)</f>
        <v>7.6556463465470457E-3</v>
      </c>
      <c r="AB1086">
        <f>IF(OR(Z1083&lt;&gt;Z1089,X1086&gt;$B$8+$B$9),0,((X1089-X1083)/(W1089-W1083)-(O1089-O1083)/(W1089-W1083))^2)</f>
        <v>1.2932022151521964E-6</v>
      </c>
    </row>
    <row r="1087" spans="7:28" x14ac:dyDescent="0.2">
      <c r="G1087" s="21"/>
      <c r="H1087" s="21">
        <v>972</v>
      </c>
      <c r="I1087">
        <f t="shared" si="174"/>
        <v>1.9265441072352368E-2</v>
      </c>
      <c r="J1087">
        <f t="shared" si="175"/>
        <v>0.49929331357719042</v>
      </c>
      <c r="K1087">
        <f t="shared" si="169"/>
        <v>23.392175666689774</v>
      </c>
      <c r="L1087">
        <f>0.5*Z1087*K1087/J1087/$B$7</f>
        <v>35.137926491188665</v>
      </c>
      <c r="M1087">
        <f t="shared" si="172"/>
        <v>0.69456155315909218</v>
      </c>
      <c r="N1087" s="21">
        <f t="shared" si="176"/>
        <v>6.4395132503929114E-2</v>
      </c>
      <c r="O1087" s="21">
        <f t="shared" si="177"/>
        <v>19.587990453057518</v>
      </c>
      <c r="P1087">
        <f t="shared" si="173"/>
        <v>0.74218930263411409</v>
      </c>
      <c r="Q1087">
        <f t="shared" si="170"/>
        <v>0.49929331357719042</v>
      </c>
      <c r="R1087">
        <f t="shared" si="171"/>
        <v>0.69905245956031026</v>
      </c>
      <c r="T1087" s="21">
        <f>(M1087-M1086)/(H1087-H1086)</f>
        <v>1.2401266383086362E-3</v>
      </c>
      <c r="W1087">
        <v>972</v>
      </c>
      <c r="X1087">
        <v>19.724558999999999</v>
      </c>
      <c r="Y1087">
        <v>1.5</v>
      </c>
      <c r="Z1087">
        <f t="shared" si="178"/>
        <v>1.5</v>
      </c>
      <c r="AA1087" s="21">
        <f>IF(X1087&gt;$B$8+$B$9,0,ABS(X1087-O1087)/X1087)</f>
        <v>6.9237820192827185E-3</v>
      </c>
      <c r="AB1087">
        <f>IF(OR(Z1084&lt;&gt;Z1090,X1087&gt;$B$8+$B$9),0,((X1090-X1084)/(W1090-W1084)-(O1090-O1084)/(W1090-W1084))^2)</f>
        <v>7.7356652258498805E-6</v>
      </c>
    </row>
    <row r="1088" spans="7:28" x14ac:dyDescent="0.2">
      <c r="G1088" s="21"/>
      <c r="H1088" s="21">
        <v>973</v>
      </c>
      <c r="I1088">
        <f t="shared" si="174"/>
        <v>1.9287126757079869E-2</v>
      </c>
      <c r="J1088">
        <f t="shared" si="175"/>
        <v>0.49867334073282443</v>
      </c>
      <c r="K1088">
        <f t="shared" si="169"/>
        <v>23.38549206742255</v>
      </c>
      <c r="L1088">
        <f>0.5*Z1088*K1088/J1088/$B$7</f>
        <v>35.171559451709079</v>
      </c>
      <c r="M1088">
        <f t="shared" si="172"/>
        <v>0.69580402538287789</v>
      </c>
      <c r="N1088" s="21">
        <f t="shared" si="176"/>
        <v>6.4444404850187695E-2</v>
      </c>
      <c r="O1088" s="21">
        <f t="shared" si="177"/>
        <v>19.6072775798146</v>
      </c>
      <c r="P1088">
        <f t="shared" si="173"/>
        <v>0.74310827820502057</v>
      </c>
      <c r="Q1088">
        <f t="shared" si="170"/>
        <v>0.49867334073282443</v>
      </c>
      <c r="R1088">
        <f t="shared" si="171"/>
        <v>0.69620225848640105</v>
      </c>
      <c r="T1088" s="21">
        <f>(M1088-M1087)/(H1088-H1087)</f>
        <v>1.2424722237857067E-3</v>
      </c>
      <c r="W1088">
        <v>973</v>
      </c>
      <c r="X1088">
        <v>19.760254</v>
      </c>
      <c r="Y1088">
        <v>1.5</v>
      </c>
      <c r="Z1088">
        <f t="shared" si="178"/>
        <v>1.5</v>
      </c>
      <c r="AA1088" s="21">
        <f>IF(X1088&gt;$B$8+$B$9,0,ABS(X1088-O1088)/X1088)</f>
        <v>7.7416221565471798E-3</v>
      </c>
      <c r="AB1088">
        <f>IF(OR(Z1085&lt;&gt;Z1091,X1088&gt;$B$8+$B$9),0,((X1091-X1085)/(W1091-W1085)-(O1091-O1085)/(W1091-W1085))^2)</f>
        <v>1.9516001296876278E-7</v>
      </c>
    </row>
    <row r="1089" spans="7:28" x14ac:dyDescent="0.2">
      <c r="G1089" s="21"/>
      <c r="H1089" s="21">
        <v>974</v>
      </c>
      <c r="I1089">
        <f t="shared" si="174"/>
        <v>1.9308954656158447E-2</v>
      </c>
      <c r="J1089">
        <f t="shared" si="175"/>
        <v>0.49805296319571901</v>
      </c>
      <c r="K1089">
        <f t="shared" si="169"/>
        <v>23.378833048132748</v>
      </c>
      <c r="L1089">
        <f>0.5*Z1089*K1089/J1089/$B$7</f>
        <v>35.205341764444448</v>
      </c>
      <c r="M1089">
        <f t="shared" si="172"/>
        <v>0.69704885581380316</v>
      </c>
      <c r="N1089" s="21">
        <f t="shared" si="176"/>
        <v>6.4493745749405529E-2</v>
      </c>
      <c r="O1089" s="21">
        <f t="shared" si="177"/>
        <v>19.626586534470757</v>
      </c>
      <c r="P1089">
        <f t="shared" si="173"/>
        <v>0.74402785364533197</v>
      </c>
      <c r="Q1089">
        <f t="shared" si="170"/>
        <v>0.49805296319571901</v>
      </c>
      <c r="R1089">
        <f t="shared" si="171"/>
        <v>0.69337336702742691</v>
      </c>
      <c r="T1089" s="21">
        <f>(M1089-M1088)/(H1089-H1088)</f>
        <v>1.24483043092527E-3</v>
      </c>
      <c r="W1089">
        <v>974</v>
      </c>
      <c r="X1089">
        <v>19.774856</v>
      </c>
      <c r="Y1089">
        <v>1.5</v>
      </c>
      <c r="Z1089">
        <f t="shared" si="178"/>
        <v>1.5</v>
      </c>
      <c r="AA1089" s="21">
        <f>IF(X1089&gt;$B$8+$B$9,0,ABS(X1089-O1089)/X1089)</f>
        <v>7.4978783931090422E-3</v>
      </c>
      <c r="AB1089">
        <f>IF(OR(Z1086&lt;&gt;Z1092,X1089&gt;$B$8+$B$9),0,((X1092-X1086)/(W1092-W1086)-(O1092-O1086)/(W1092-W1086))^2)</f>
        <v>1.7628983931581766E-7</v>
      </c>
    </row>
    <row r="1090" spans="7:28" x14ac:dyDescent="0.2">
      <c r="G1090" s="21"/>
      <c r="H1090" s="21">
        <v>975</v>
      </c>
      <c r="I1090">
        <f t="shared" si="174"/>
        <v>1.9330925499339822E-2</v>
      </c>
      <c r="J1090">
        <f t="shared" si="175"/>
        <v>0.4974321780729708</v>
      </c>
      <c r="K1090">
        <f t="shared" si="169"/>
        <v>23.372198573961004</v>
      </c>
      <c r="L1090">
        <f>0.5*Z1090*K1090/J1090/$B$7</f>
        <v>35.23927422302647</v>
      </c>
      <c r="M1090">
        <f t="shared" si="172"/>
        <v>0.69829605715811838</v>
      </c>
      <c r="N1090" s="21">
        <f t="shared" si="176"/>
        <v>6.4543155824458243E-2</v>
      </c>
      <c r="O1090" s="21">
        <f t="shared" si="177"/>
        <v>19.645917459970097</v>
      </c>
      <c r="P1090">
        <f t="shared" si="173"/>
        <v>0.74494803324315162</v>
      </c>
      <c r="Q1090">
        <f t="shared" si="170"/>
        <v>0.4974321780729708</v>
      </c>
      <c r="R1090">
        <f t="shared" si="171"/>
        <v>0.690565535844335</v>
      </c>
      <c r="T1090" s="21">
        <f>(M1090-M1089)/(H1090-H1089)</f>
        <v>1.2472013443152186E-3</v>
      </c>
      <c r="W1090">
        <v>975</v>
      </c>
      <c r="X1090">
        <v>19.787835999999999</v>
      </c>
      <c r="Y1090">
        <v>1.5</v>
      </c>
      <c r="Z1090">
        <f t="shared" si="178"/>
        <v>1.5</v>
      </c>
      <c r="AA1090" s="21">
        <f>IF(X1090&gt;$B$8+$B$9,0,ABS(X1090-O1090)/X1090)</f>
        <v>7.1720091085201096E-3</v>
      </c>
      <c r="AB1090">
        <f>IF(OR(Z1087&lt;&gt;Z1093,X1090&gt;$B$8+$B$9),0,((X1093-X1087)/(W1093-W1087)-(O1093-O1087)/(W1093-W1087))^2)</f>
        <v>8.8139268720583206E-7</v>
      </c>
    </row>
    <row r="1091" spans="7:28" x14ac:dyDescent="0.2">
      <c r="G1091" s="21"/>
      <c r="H1091" s="21">
        <v>976</v>
      </c>
      <c r="I1091">
        <f t="shared" si="174"/>
        <v>1.9353040024127483E-2</v>
      </c>
      <c r="J1091">
        <f t="shared" si="175"/>
        <v>0.49681098245937538</v>
      </c>
      <c r="K1091">
        <f t="shared" ref="K1091:K1154" si="179">IF(O1091&lt;$B$8+$B$9,0.5*(($B$8+$B$9)^2+O1091^2)/O1091-$B$9,$B$8)</f>
        <v>23.365588610597744</v>
      </c>
      <c r="L1091">
        <f>0.5*Z1091*K1091/J1091/$B$7</f>
        <v>35.273357628283257</v>
      </c>
      <c r="M1091">
        <f t="shared" si="172"/>
        <v>0.69954564220750204</v>
      </c>
      <c r="N1091" s="21">
        <f t="shared" si="176"/>
        <v>6.459263570243981E-2</v>
      </c>
      <c r="O1091" s="21">
        <f t="shared" si="177"/>
        <v>19.665270499994225</v>
      </c>
      <c r="P1091">
        <f t="shared" si="173"/>
        <v>0.74586882130481613</v>
      </c>
      <c r="Q1091">
        <f t="shared" ref="Q1091:Q1154" si="180">1-B$15*P1091</f>
        <v>0.49681098245937538</v>
      </c>
      <c r="R1091">
        <f t="shared" ref="R1091:R1154" si="181">$E$15/(P1091+$E$16)</f>
        <v>0.68777851944158441</v>
      </c>
      <c r="T1091" s="21">
        <f>(M1091-M1090)/(H1091-H1090)</f>
        <v>1.2495850493836613E-3</v>
      </c>
      <c r="W1091">
        <v>976</v>
      </c>
      <c r="X1091">
        <v>19.817039999999999</v>
      </c>
      <c r="Y1091">
        <v>1.5</v>
      </c>
      <c r="Z1091">
        <f t="shared" si="178"/>
        <v>1.5</v>
      </c>
      <c r="AA1091" s="21">
        <f>IF(X1091&gt;$B$8+$B$9,0,ABS(X1091-O1091)/X1091)</f>
        <v>7.6585352810396258E-3</v>
      </c>
      <c r="AB1091">
        <f>IF(OR(Z1088&lt;&gt;Z1094,X1091&gt;$B$8+$B$9),0,((X1094-X1088)/(W1094-W1088)-(O1094-O1088)/(W1094-W1088))^2)</f>
        <v>2.3018834213962562E-6</v>
      </c>
    </row>
    <row r="1092" spans="7:28" x14ac:dyDescent="0.2">
      <c r="G1092" s="21"/>
      <c r="H1092" s="21">
        <v>977</v>
      </c>
      <c r="I1092">
        <f t="shared" si="174"/>
        <v>1.937529897585466E-2</v>
      </c>
      <c r="J1092">
        <f t="shared" si="175"/>
        <v>0.49618937343729352</v>
      </c>
      <c r="K1092">
        <f t="shared" si="179"/>
        <v>23.359003124282932</v>
      </c>
      <c r="L1092">
        <f>0.5*Z1092*K1092/J1092/$B$7</f>
        <v>35.307592788313137</v>
      </c>
      <c r="M1092">
        <f t="shared" ref="M1092:M1155" si="182">-LN(J1092)</f>
        <v>0.70079762383990751</v>
      </c>
      <c r="N1092" s="21">
        <f t="shared" si="176"/>
        <v>6.4642186014712708E-2</v>
      </c>
      <c r="O1092" s="21">
        <f t="shared" si="177"/>
        <v>19.684645798970081</v>
      </c>
      <c r="P1092">
        <f t="shared" ref="P1092:P1155" si="183">MIN(O1092/(K1092+$B$9),1)</f>
        <v>0.7467902221550945</v>
      </c>
      <c r="Q1092">
        <f t="shared" si="180"/>
        <v>0.49618937343729352</v>
      </c>
      <c r="R1092">
        <f t="shared" si="181"/>
        <v>0.68501207609303438</v>
      </c>
      <c r="T1092" s="21">
        <f>(M1092-M1091)/(H1092-H1091)</f>
        <v>1.2519816324054744E-3</v>
      </c>
      <c r="W1092">
        <v>977</v>
      </c>
      <c r="X1092">
        <v>19.838131999999998</v>
      </c>
      <c r="Y1092">
        <v>1.5</v>
      </c>
      <c r="Z1092">
        <f t="shared" si="178"/>
        <v>1.5</v>
      </c>
      <c r="AA1092" s="21">
        <f>IF(X1092&gt;$B$8+$B$9,0,ABS(X1092-O1092)/X1092)</f>
        <v>7.7369281054243001E-3</v>
      </c>
      <c r="AB1092">
        <f>IF(OR(Z1089&lt;&gt;Z1095,X1092&gt;$B$8+$B$9),0,((X1095-X1089)/(W1095-W1089)-(O1095-O1089)/(W1095-W1089))^2)</f>
        <v>8.360936828531171E-6</v>
      </c>
    </row>
    <row r="1093" spans="7:28" x14ac:dyDescent="0.2">
      <c r="G1093" s="21"/>
      <c r="H1093" s="21">
        <v>978</v>
      </c>
      <c r="I1093">
        <f t="shared" ref="I1093:I1156" si="184">IF(P1092&lt;0.999,MAX(0,MIN(10000000,(L1092/$E$8/M1092^$E$10)^(1/$E$9)/N1092)),0.1)</f>
        <v>1.939770310776363E-2</v>
      </c>
      <c r="J1093">
        <f t="shared" ref="J1093:J1156" si="185">Q1093</f>
        <v>0.49556734807651392</v>
      </c>
      <c r="K1093">
        <f t="shared" si="179"/>
        <v>23.352442081805783</v>
      </c>
      <c r="L1093">
        <f>0.5*Z1093*K1093/J1093/$B$7</f>
        <v>35.341980518559481</v>
      </c>
      <c r="M1093">
        <f t="shared" si="182"/>
        <v>0.70205201502042414</v>
      </c>
      <c r="N1093" s="21">
        <f t="shared" ref="N1093:N1156" si="186">-$B$15*(O1093-2*(K1093+$B$9))/(K1093+$B$9)^2/J1093</f>
        <v>6.4691807396958914E-2</v>
      </c>
      <c r="O1093" s="21">
        <f t="shared" ref="O1093:O1156" si="187">O1092+I1093*(H1093-H1092)</f>
        <v>19.704043502077845</v>
      </c>
      <c r="P1093">
        <f t="shared" si="183"/>
        <v>0.74771224013739068</v>
      </c>
      <c r="Q1093">
        <f t="shared" si="180"/>
        <v>0.49556734807651392</v>
      </c>
      <c r="R1093">
        <f t="shared" si="181"/>
        <v>0.68226596776953152</v>
      </c>
      <c r="T1093" s="21">
        <f>(M1093-M1092)/(H1093-H1092)</f>
        <v>1.254391180516623E-3</v>
      </c>
      <c r="W1093">
        <v>978</v>
      </c>
      <c r="X1093">
        <v>19.846245</v>
      </c>
      <c r="Y1093">
        <v>1.5</v>
      </c>
      <c r="Z1093">
        <f t="shared" si="178"/>
        <v>1.5</v>
      </c>
      <c r="AA1093" s="21">
        <f>IF(X1093&gt;$B$8+$B$9,0,ABS(X1093-O1093)/X1093)</f>
        <v>7.1651588460262929E-3</v>
      </c>
      <c r="AB1093">
        <f>IF(OR(Z1090&lt;&gt;Z1096,X1093&gt;$B$8+$B$9),0,((X1096-X1090)/(W1096-W1090)-(O1096-O1090)/(W1096-W1090))^2)</f>
        <v>1.0944633947538854E-7</v>
      </c>
    </row>
    <row r="1094" spans="7:28" x14ac:dyDescent="0.2">
      <c r="G1094" s="21"/>
      <c r="H1094" s="21">
        <v>979</v>
      </c>
      <c r="I1094">
        <f t="shared" si="184"/>
        <v>1.9420253181086266E-2</v>
      </c>
      <c r="J1094">
        <f t="shared" si="185"/>
        <v>0.49494490343411679</v>
      </c>
      <c r="K1094">
        <f t="shared" si="179"/>
        <v>23.34590545050461</v>
      </c>
      <c r="L1094">
        <f>0.5*Z1094*K1094/J1094/$B$7</f>
        <v>35.376521641886505</v>
      </c>
      <c r="M1094">
        <f t="shared" si="182"/>
        <v>0.70330882880214429</v>
      </c>
      <c r="N1094" s="21">
        <f t="shared" si="186"/>
        <v>6.4741500489231399E-2</v>
      </c>
      <c r="O1094" s="21">
        <f t="shared" si="187"/>
        <v>19.72346375525893</v>
      </c>
      <c r="P1094">
        <f t="shared" si="183"/>
        <v>0.74863487961394626</v>
      </c>
      <c r="Q1094">
        <f t="shared" si="180"/>
        <v>0.49494490343411679</v>
      </c>
      <c r="R1094">
        <f t="shared" si="181"/>
        <v>0.67953996006816442</v>
      </c>
      <c r="T1094" s="21">
        <f>(M1094-M1093)/(H1094-H1093)</f>
        <v>1.2568137817201563E-3</v>
      </c>
      <c r="W1094">
        <v>979</v>
      </c>
      <c r="X1094">
        <v>19.867336999999999</v>
      </c>
      <c r="Y1094">
        <v>1.5</v>
      </c>
      <c r="Z1094">
        <f t="shared" si="178"/>
        <v>1.5</v>
      </c>
      <c r="AA1094" s="21">
        <f>IF(X1094&gt;$B$8+$B$9,0,ABS(X1094-O1094)/X1094)</f>
        <v>7.2416975028444597E-3</v>
      </c>
      <c r="AB1094">
        <f>IF(OR(Z1091&lt;&gt;Z1097,X1094&gt;$B$8+$B$9),0,((X1097-X1091)/(W1097-W1091)-(O1097-O1091)/(W1097-W1091))^2)</f>
        <v>1.2092758480075415E-5</v>
      </c>
    </row>
    <row r="1095" spans="7:28" x14ac:dyDescent="0.2">
      <c r="G1095" s="21"/>
      <c r="H1095" s="21">
        <v>980</v>
      </c>
      <c r="I1095">
        <f t="shared" si="184"/>
        <v>1.9442949965125633E-2</v>
      </c>
      <c r="J1095">
        <f t="shared" si="185"/>
        <v>0.49432203655433404</v>
      </c>
      <c r="K1095">
        <f t="shared" si="179"/>
        <v>23.339393198266599</v>
      </c>
      <c r="L1095">
        <f>0.5*Z1095*K1095/J1095/$B$7</f>
        <v>35.411216988656165</v>
      </c>
      <c r="M1095">
        <f t="shared" si="182"/>
        <v>0.70456807832704438</v>
      </c>
      <c r="N1095" s="21">
        <f t="shared" si="186"/>
        <v>6.4791265936006426E-2</v>
      </c>
      <c r="O1095" s="21">
        <f t="shared" si="187"/>
        <v>19.742906705224055</v>
      </c>
      <c r="P1095">
        <f t="shared" si="183"/>
        <v>0.749558144966048</v>
      </c>
      <c r="Q1095">
        <f t="shared" si="180"/>
        <v>0.49432203655433404</v>
      </c>
      <c r="R1095">
        <f t="shared" si="181"/>
        <v>0.67683382214312315</v>
      </c>
      <c r="T1095" s="21">
        <f>(M1095-M1094)/(H1095-H1094)</f>
        <v>1.2592495249000857E-3</v>
      </c>
      <c r="W1095">
        <v>980</v>
      </c>
      <c r="X1095">
        <v>19.873826999999999</v>
      </c>
      <c r="Y1095">
        <v>1.5</v>
      </c>
      <c r="Z1095">
        <f t="shared" si="178"/>
        <v>1.5</v>
      </c>
      <c r="AA1095" s="21">
        <f>IF(X1095&gt;$B$8+$B$9,0,ABS(X1095-O1095)/X1095)</f>
        <v>6.5875734339412234E-3</v>
      </c>
      <c r="AB1095">
        <f>IF(OR(Z1092&lt;&gt;Z1098,X1095&gt;$B$8+$B$9),0,((X1098-X1092)/(W1098-W1092)-(O1098-O1092)/(W1098-W1092))^2)</f>
        <v>1.7873085940267377E-6</v>
      </c>
    </row>
    <row r="1096" spans="7:28" x14ac:dyDescent="0.2">
      <c r="G1096" s="21"/>
      <c r="H1096" s="21">
        <v>981</v>
      </c>
      <c r="I1096">
        <f t="shared" si="184"/>
        <v>1.9465794237338834E-2</v>
      </c>
      <c r="J1096">
        <f t="shared" si="185"/>
        <v>0.49369874446841011</v>
      </c>
      <c r="K1096">
        <f t="shared" si="179"/>
        <v>23.332905293527741</v>
      </c>
      <c r="L1096">
        <f>0.5*Z1096*K1096/J1096/$B$7</f>
        <v>35.446067396806072</v>
      </c>
      <c r="M1096">
        <f t="shared" si="182"/>
        <v>0.70582977682687298</v>
      </c>
      <c r="N1096" s="21">
        <f t="shared" si="186"/>
        <v>6.4841104386236234E-2</v>
      </c>
      <c r="O1096" s="21">
        <f t="shared" si="187"/>
        <v>19.762372499461392</v>
      </c>
      <c r="P1096">
        <f t="shared" si="183"/>
        <v>0.75048204059423351</v>
      </c>
      <c r="Q1096">
        <f t="shared" si="180"/>
        <v>0.49369874446841011</v>
      </c>
      <c r="R1096">
        <f t="shared" si="181"/>
        <v>0.67414732663814403</v>
      </c>
      <c r="T1096" s="21">
        <f>(M1096-M1095)/(H1096-H1095)</f>
        <v>1.2616984998286007E-3</v>
      </c>
      <c r="W1096">
        <v>981</v>
      </c>
      <c r="X1096">
        <v>19.906275999999998</v>
      </c>
      <c r="Y1096">
        <v>1.5</v>
      </c>
      <c r="Z1096">
        <f t="shared" si="178"/>
        <v>1.5</v>
      </c>
      <c r="AA1096" s="21">
        <f>IF(X1096&gt;$B$8+$B$9,0,ABS(X1096-O1096)/X1096)</f>
        <v>7.2290518095200745E-3</v>
      </c>
      <c r="AB1096">
        <f>IF(OR(Z1093&lt;&gt;Z1099,X1096&gt;$B$8+$B$9),0,((X1099-X1093)/(W1099-W1093)-(O1099-O1093)/(W1099-W1093))^2)</f>
        <v>3.613124558296609E-6</v>
      </c>
    </row>
    <row r="1097" spans="7:28" x14ac:dyDescent="0.2">
      <c r="G1097" s="21"/>
      <c r="H1097" s="21">
        <v>982</v>
      </c>
      <c r="I1097">
        <f t="shared" si="184"/>
        <v>1.9488786783421107E-2</v>
      </c>
      <c r="J1097">
        <f t="shared" si="185"/>
        <v>0.49307502419446014</v>
      </c>
      <c r="K1097">
        <f t="shared" si="179"/>
        <v>23.326441705272735</v>
      </c>
      <c r="L1097">
        <f>0.5*Z1097*K1097/J1097/$B$7</f>
        <v>35.48107371192846</v>
      </c>
      <c r="M1097">
        <f t="shared" si="182"/>
        <v>0.70709393762405182</v>
      </c>
      <c r="N1097" s="21">
        <f t="shared" si="186"/>
        <v>6.4891016493402634E-2</v>
      </c>
      <c r="O1097" s="21">
        <f t="shared" si="187"/>
        <v>19.781861286244812</v>
      </c>
      <c r="P1097">
        <f t="shared" si="183"/>
        <v>0.75140657091850149</v>
      </c>
      <c r="Q1097">
        <f t="shared" si="180"/>
        <v>0.49307502419446014</v>
      </c>
      <c r="R1097">
        <f t="shared" si="181"/>
        <v>0.67148024962047803</v>
      </c>
      <c r="T1097" s="21">
        <f>(M1097-M1096)/(H1097-H1096)</f>
        <v>1.2641607971788371E-3</v>
      </c>
      <c r="W1097">
        <v>982</v>
      </c>
      <c r="X1097">
        <v>19.912765999999998</v>
      </c>
      <c r="Y1097">
        <v>1.5</v>
      </c>
      <c r="Z1097">
        <f t="shared" si="178"/>
        <v>1.5</v>
      </c>
      <c r="AA1097" s="21">
        <f>IF(X1097&gt;$B$8+$B$9,0,ABS(X1097-O1097)/X1097)</f>
        <v>6.573909107111778E-3</v>
      </c>
      <c r="AB1097">
        <f>IF(OR(Z1094&lt;&gt;Z1100,X1097&gt;$B$8+$B$9),0,((X1100-X1094)/(W1100-W1094)-(O1100-O1094)/(W1100-W1094))^2)</f>
        <v>1.9128463481411988E-6</v>
      </c>
    </row>
    <row r="1098" spans="7:28" x14ac:dyDescent="0.2">
      <c r="G1098" s="21"/>
      <c r="H1098" s="21">
        <v>983</v>
      </c>
      <c r="I1098">
        <f t="shared" si="184"/>
        <v>1.9511928397391198E-2</v>
      </c>
      <c r="J1098">
        <f t="shared" si="185"/>
        <v>0.4924508727373279</v>
      </c>
      <c r="K1098">
        <f t="shared" si="179"/>
        <v>23.320002403034959</v>
      </c>
      <c r="L1098">
        <f>0.5*Z1098*K1098/J1098/$B$7</f>
        <v>35.516236787350245</v>
      </c>
      <c r="M1098">
        <f t="shared" si="182"/>
        <v>0.70836057413258557</v>
      </c>
      <c r="N1098" s="21">
        <f t="shared" si="186"/>
        <v>6.4941002915571061E-2</v>
      </c>
      <c r="O1098" s="21">
        <f t="shared" si="187"/>
        <v>19.801373214642204</v>
      </c>
      <c r="P1098">
        <f t="shared" si="183"/>
        <v>0.75233174037852324</v>
      </c>
      <c r="Q1098">
        <f t="shared" si="180"/>
        <v>0.4924508727373279</v>
      </c>
      <c r="R1098">
        <f t="shared" si="181"/>
        <v>0.66883237051635103</v>
      </c>
      <c r="T1098" s="21">
        <f>(M1098-M1097)/(H1098-H1097)</f>
        <v>1.2666365085337583E-3</v>
      </c>
      <c r="W1098">
        <v>983</v>
      </c>
      <c r="X1098">
        <v>19.946838</v>
      </c>
      <c r="Y1098">
        <v>1.5</v>
      </c>
      <c r="Z1098">
        <f t="shared" si="178"/>
        <v>1.5</v>
      </c>
      <c r="AA1098" s="21">
        <f>IF(X1098&gt;$B$8+$B$9,0,ABS(X1098-O1098)/X1098)</f>
        <v>7.2926237911891236E-3</v>
      </c>
      <c r="AB1098">
        <f>IF(OR(Z1095&lt;&gt;Z1101,X1098&gt;$B$8+$B$9),0,((X1101-X1095)/(W1101-W1095)-(O1101-O1095)/(W1101-W1095))^2)</f>
        <v>4.675346248758552E-8</v>
      </c>
    </row>
    <row r="1099" spans="7:28" x14ac:dyDescent="0.2">
      <c r="G1099" s="21"/>
      <c r="H1099" s="21">
        <v>984</v>
      </c>
      <c r="I1099">
        <f t="shared" si="184"/>
        <v>1.9535219881677821E-2</v>
      </c>
      <c r="J1099">
        <f t="shared" si="185"/>
        <v>0.49182628708844078</v>
      </c>
      <c r="K1099">
        <f t="shared" si="179"/>
        <v>23.313587356896459</v>
      </c>
      <c r="L1099">
        <f>0.5*Z1099*K1099/J1099/$B$7</f>
        <v>35.551557484214207</v>
      </c>
      <c r="M1099">
        <f t="shared" si="182"/>
        <v>0.70962969985898494</v>
      </c>
      <c r="N1099" s="21">
        <f t="shared" si="186"/>
        <v>6.4991064315445657E-2</v>
      </c>
      <c r="O1099" s="21">
        <f t="shared" si="187"/>
        <v>19.820908434523883</v>
      </c>
      <c r="P1099">
        <f t="shared" si="183"/>
        <v>0.75325755343385636</v>
      </c>
      <c r="Q1099">
        <f t="shared" si="180"/>
        <v>0.49182628708844078</v>
      </c>
      <c r="R1099">
        <f t="shared" si="181"/>
        <v>0.66620347204787611</v>
      </c>
      <c r="T1099" s="21">
        <f>(M1099-M1098)/(H1099-H1098)</f>
        <v>1.2691257263993672E-3</v>
      </c>
      <c r="W1099">
        <v>984</v>
      </c>
      <c r="X1099">
        <v>19.951705</v>
      </c>
      <c r="Y1099">
        <v>1.5</v>
      </c>
      <c r="Z1099">
        <f t="shared" si="178"/>
        <v>1.5</v>
      </c>
      <c r="AA1099" s="21">
        <f>IF(X1099&gt;$B$8+$B$9,0,ABS(X1099-O1099)/X1099)</f>
        <v>6.5556585502901943E-3</v>
      </c>
      <c r="AB1099">
        <f>IF(OR(Z1096&lt;&gt;Z1102,X1099&gt;$B$8+$B$9),0,((X1102-X1096)/(W1102-W1096)-(O1102-O1096)/(W1102-W1096))^2)</f>
        <v>1.7086999672851431E-5</v>
      </c>
    </row>
    <row r="1100" spans="7:28" x14ac:dyDescent="0.2">
      <c r="G1100" s="21"/>
      <c r="H1100" s="21">
        <v>985</v>
      </c>
      <c r="I1100">
        <f t="shared" si="184"/>
        <v>1.9558662047207631E-2</v>
      </c>
      <c r="J1100">
        <f t="shared" si="185"/>
        <v>0.49120126422566501</v>
      </c>
      <c r="K1100">
        <f t="shared" si="179"/>
        <v>23.307196537488025</v>
      </c>
      <c r="L1100">
        <f>0.5*Z1100*K1100/J1100/$B$7</f>
        <v>35.587036671561314</v>
      </c>
      <c r="M1100">
        <f t="shared" si="182"/>
        <v>0.71090132840319842</v>
      </c>
      <c r="N1100" s="21">
        <f t="shared" si="186"/>
        <v>6.5041201360424544E-2</v>
      </c>
      <c r="O1100" s="21">
        <f t="shared" si="187"/>
        <v>19.840467096571089</v>
      </c>
      <c r="P1100">
        <f t="shared" si="183"/>
        <v>0.75418401456416007</v>
      </c>
      <c r="Q1100">
        <f t="shared" si="180"/>
        <v>0.49120126422566501</v>
      </c>
      <c r="R1100">
        <f t="shared" si="181"/>
        <v>0.66359334017138072</v>
      </c>
      <c r="T1100" s="21">
        <f>(M1100-M1099)/(H1100-H1099)</f>
        <v>1.2716285442134767E-3</v>
      </c>
      <c r="W1100">
        <v>985</v>
      </c>
      <c r="X1100">
        <v>19.976042</v>
      </c>
      <c r="Y1100">
        <v>1.5</v>
      </c>
      <c r="Z1100">
        <f t="shared" si="178"/>
        <v>1.5</v>
      </c>
      <c r="AA1100" s="21">
        <f>IF(X1100&gt;$B$8+$B$9,0,ABS(X1100-O1100)/X1100)</f>
        <v>6.7868751692107196E-3</v>
      </c>
      <c r="AB1100">
        <f>IF(OR(Z1097&lt;&gt;Z1103,X1100&gt;$B$8+$B$9),0,((X1103-X1097)/(W1103-W1097)-(O1103-O1097)/(W1103-W1097))^2)</f>
        <v>2.970434221282316E-6</v>
      </c>
    </row>
    <row r="1101" spans="7:28" x14ac:dyDescent="0.2">
      <c r="G1101" s="21"/>
      <c r="H1101" s="21">
        <v>986</v>
      </c>
      <c r="I1101">
        <f t="shared" si="184"/>
        <v>1.9582255713494316E-2</v>
      </c>
      <c r="J1101">
        <f t="shared" si="185"/>
        <v>0.49057580111315879</v>
      </c>
      <c r="K1101">
        <f t="shared" si="179"/>
        <v>23.300829915989265</v>
      </c>
      <c r="L1101">
        <f>0.5*Z1101*K1101/J1101/$B$7</f>
        <v>35.622675226414053</v>
      </c>
      <c r="M1101">
        <f t="shared" si="182"/>
        <v>0.7121754734595559</v>
      </c>
      <c r="N1101" s="21">
        <f t="shared" si="186"/>
        <v>6.5091414722656254E-2</v>
      </c>
      <c r="O1101" s="21">
        <f t="shared" si="187"/>
        <v>19.860049352284584</v>
      </c>
      <c r="P1101">
        <f t="shared" si="183"/>
        <v>0.75511112826941296</v>
      </c>
      <c r="Q1101">
        <f t="shared" si="180"/>
        <v>0.49057580111315879</v>
      </c>
      <c r="R1101">
        <f t="shared" si="181"/>
        <v>0.66100176401710931</v>
      </c>
      <c r="T1101" s="21">
        <f>(M1101-M1100)/(H1101-H1100)</f>
        <v>1.2741450563574785E-3</v>
      </c>
      <c r="W1101">
        <v>986</v>
      </c>
      <c r="X1101">
        <v>19.992266999999998</v>
      </c>
      <c r="Y1101">
        <v>1.5</v>
      </c>
      <c r="Z1101">
        <f t="shared" si="178"/>
        <v>1.5</v>
      </c>
      <c r="AA1101" s="21">
        <f>IF(X1101&gt;$B$8+$B$9,0,ABS(X1101-O1101)/X1101)</f>
        <v>6.6134394721426267E-3</v>
      </c>
      <c r="AB1101">
        <f>IF(OR(Z1098&lt;&gt;Z1104,X1101&gt;$B$8+$B$9),0,((X1104-X1098)/(W1104-W1098)-(O1104-O1098)/(W1104-W1098))^2)</f>
        <v>9.6048281018961101E-6</v>
      </c>
    </row>
    <row r="1102" spans="7:28" x14ac:dyDescent="0.2">
      <c r="G1102" s="21"/>
      <c r="H1102" s="21">
        <v>987</v>
      </c>
      <c r="I1102">
        <f t="shared" si="184"/>
        <v>1.9606001708729122E-2</v>
      </c>
      <c r="J1102">
        <f t="shared" si="185"/>
        <v>0.48994989470122396</v>
      </c>
      <c r="K1102">
        <f t="shared" si="179"/>
        <v>23.294487464128768</v>
      </c>
      <c r="L1102">
        <f>0.5*Z1102*K1102/J1102/$B$7</f>
        <v>35.658474033861104</v>
      </c>
      <c r="M1102">
        <f t="shared" si="182"/>
        <v>0.71345214881772434</v>
      </c>
      <c r="N1102" s="21">
        <f t="shared" si="186"/>
        <v>6.5141705079096571E-2</v>
      </c>
      <c r="O1102" s="21">
        <f t="shared" si="187"/>
        <v>19.879655353993314</v>
      </c>
      <c r="P1102">
        <f t="shared" si="183"/>
        <v>0.75603889907013255</v>
      </c>
      <c r="Q1102">
        <f t="shared" si="180"/>
        <v>0.48994989470122396</v>
      </c>
      <c r="R1102">
        <f t="shared" si="181"/>
        <v>0.65842853583026761</v>
      </c>
      <c r="T1102" s="21">
        <f>(M1102-M1101)/(H1102-H1101)</f>
        <v>1.2766753581684442E-3</v>
      </c>
      <c r="W1102">
        <v>987</v>
      </c>
      <c r="X1102">
        <v>19.998756999999998</v>
      </c>
      <c r="Y1102">
        <v>1.5</v>
      </c>
      <c r="Z1102">
        <f t="shared" si="178"/>
        <v>1.5</v>
      </c>
      <c r="AA1102" s="21">
        <f>IF(X1102&gt;$B$8+$B$9,0,ABS(X1102-O1102)/X1102)</f>
        <v>5.9554524317028002E-3</v>
      </c>
      <c r="AB1102">
        <f>IF(OR(Z1099&lt;&gt;Z1105,X1102&gt;$B$8+$B$9),0,((X1105-X1099)/(W1105-W1099)-(O1105-O1099)/(W1105-W1099))^2)</f>
        <v>8.7081979105702278E-7</v>
      </c>
    </row>
    <row r="1103" spans="7:28" x14ac:dyDescent="0.2">
      <c r="G1103" s="21"/>
      <c r="H1103" s="21">
        <v>988</v>
      </c>
      <c r="I1103">
        <f t="shared" si="184"/>
        <v>1.9629900869872575E-2</v>
      </c>
      <c r="J1103">
        <f t="shared" si="185"/>
        <v>0.48932354192615601</v>
      </c>
      <c r="K1103">
        <f t="shared" si="179"/>
        <v>23.288169154184239</v>
      </c>
      <c r="L1103">
        <f>0.5*Z1103*K1103/J1103/$B$7</f>
        <v>35.694433987143007</v>
      </c>
      <c r="M1103">
        <f t="shared" si="182"/>
        <v>0.71473136836367435</v>
      </c>
      <c r="N1103" s="21">
        <f t="shared" si="186"/>
        <v>6.5192073111566329E-2</v>
      </c>
      <c r="O1103" s="21">
        <f t="shared" si="187"/>
        <v>19.899285254863187</v>
      </c>
      <c r="P1103">
        <f t="shared" si="183"/>
        <v>0.75696733150759776</v>
      </c>
      <c r="Q1103">
        <f t="shared" si="180"/>
        <v>0.48932354192615601</v>
      </c>
      <c r="R1103">
        <f t="shared" si="181"/>
        <v>0.6558734509133719</v>
      </c>
      <c r="T1103" s="21">
        <f>(M1103-M1102)/(H1103-H1102)</f>
        <v>1.2792195459500055E-3</v>
      </c>
      <c r="W1103">
        <v>988</v>
      </c>
      <c r="X1103">
        <v>20.019849000000001</v>
      </c>
      <c r="Y1103">
        <v>1.5</v>
      </c>
      <c r="Z1103">
        <f t="shared" si="178"/>
        <v>1.5</v>
      </c>
      <c r="AA1103" s="21">
        <f>IF(X1103&gt;$B$8+$B$9,0,ABS(X1103-O1103)/X1103)</f>
        <v>6.0222105140160312E-3</v>
      </c>
      <c r="AB1103">
        <f>IF(OR(Z1100&lt;&gt;Z1106,X1103&gt;$B$8+$B$9),0,((X1106-X1100)/(W1106-W1100)-(O1106-O1100)/(W1106-W1100))^2)</f>
        <v>5.4551832770857461E-6</v>
      </c>
    </row>
    <row r="1104" spans="7:28" x14ac:dyDescent="0.2">
      <c r="G1104" s="21"/>
      <c r="H1104" s="21">
        <v>989</v>
      </c>
      <c r="I1104">
        <f t="shared" si="184"/>
        <v>1.9653954042747779E-2</v>
      </c>
      <c r="J1104">
        <f t="shared" si="185"/>
        <v>0.48869673971009309</v>
      </c>
      <c r="K1104">
        <f t="shared" si="179"/>
        <v>23.281874958982776</v>
      </c>
      <c r="L1104">
        <f>0.5*Z1104*K1104/J1104/$B$7</f>
        <v>35.73055598773918</v>
      </c>
      <c r="M1104">
        <f t="shared" si="182"/>
        <v>0.71601314608065902</v>
      </c>
      <c r="N1104" s="21">
        <f t="shared" si="186"/>
        <v>6.5242519506809774E-2</v>
      </c>
      <c r="O1104" s="21">
        <f t="shared" si="187"/>
        <v>19.918939208905936</v>
      </c>
      <c r="P1104">
        <f t="shared" si="183"/>
        <v>0.75789643014407249</v>
      </c>
      <c r="Q1104">
        <f t="shared" si="180"/>
        <v>0.48869673971009309</v>
      </c>
      <c r="R1104">
        <f t="shared" si="181"/>
        <v>0.65333630756987326</v>
      </c>
      <c r="T1104" s="21">
        <f>(M1104-M1103)/(H1104-H1103)</f>
        <v>1.2817777169846778E-3</v>
      </c>
      <c r="W1104">
        <v>989</v>
      </c>
      <c r="X1104">
        <v>20.045808999999998</v>
      </c>
      <c r="Y1104">
        <v>1.5</v>
      </c>
      <c r="Z1104">
        <f t="shared" si="178"/>
        <v>1.5</v>
      </c>
      <c r="AA1104" s="21">
        <f>IF(X1104&gt;$B$8+$B$9,0,ABS(X1104-O1104)/X1104)</f>
        <v>6.3289933119717139E-3</v>
      </c>
      <c r="AB1104">
        <f>IF(OR(Z1101&lt;&gt;Z1107,X1104&gt;$B$8+$B$9),0,((X1107-X1101)/(W1107-W1101)-(O1107-O1101)/(W1107-W1101))^2)</f>
        <v>5.5692780851393752E-6</v>
      </c>
    </row>
    <row r="1105" spans="7:28" x14ac:dyDescent="0.2">
      <c r="G1105" s="21"/>
      <c r="H1105" s="21">
        <v>990</v>
      </c>
      <c r="I1105">
        <f t="shared" si="184"/>
        <v>1.9678162082135006E-2</v>
      </c>
      <c r="J1105">
        <f t="shared" si="185"/>
        <v>0.48806948496086378</v>
      </c>
      <c r="K1105">
        <f t="shared" si="179"/>
        <v>23.275604851901093</v>
      </c>
      <c r="L1105">
        <f>0.5*Z1105*K1105/J1105/$B$7</f>
        <v>35.766840945455954</v>
      </c>
      <c r="M1105">
        <f t="shared" si="182"/>
        <v>0.71729749605020243</v>
      </c>
      <c r="N1105" s="21">
        <f t="shared" si="186"/>
        <v>6.529304495655372E-2</v>
      </c>
      <c r="O1105" s="21">
        <f t="shared" si="187"/>
        <v>19.938617370988069</v>
      </c>
      <c r="P1105">
        <f t="shared" si="183"/>
        <v>0.75882619956303199</v>
      </c>
      <c r="Q1105">
        <f t="shared" si="180"/>
        <v>0.48806948496086378</v>
      </c>
      <c r="R1105">
        <f t="shared" si="181"/>
        <v>0.65081690704901995</v>
      </c>
      <c r="T1105" s="21">
        <f>(M1105-M1104)/(H1105-H1104)</f>
        <v>1.284349969543408E-3</v>
      </c>
      <c r="W1105">
        <v>990</v>
      </c>
      <c r="X1105">
        <v>20.075012999999998</v>
      </c>
      <c r="Y1105">
        <v>1.5</v>
      </c>
      <c r="Z1105">
        <f t="shared" si="178"/>
        <v>1.5</v>
      </c>
      <c r="AA1105" s="21">
        <f>IF(X1105&gt;$B$8+$B$9,0,ABS(X1105-O1105)/X1105)</f>
        <v>6.7942984152453119E-3</v>
      </c>
      <c r="AB1105">
        <f>IF(OR(Z1102&lt;&gt;Z1108,X1105&gt;$B$8+$B$9),0,((X1108-X1102)/(W1108-W1102)-(O1108-O1102)/(W1108-W1102))^2)</f>
        <v>1.0654757732542654E-6</v>
      </c>
    </row>
    <row r="1106" spans="7:28" x14ac:dyDescent="0.2">
      <c r="G1106" s="21"/>
      <c r="H1106" s="21">
        <v>991</v>
      </c>
      <c r="I1106">
        <f t="shared" si="184"/>
        <v>1.9702525851867457E-2</v>
      </c>
      <c r="J1106">
        <f t="shared" si="185"/>
        <v>0.48744177457183202</v>
      </c>
      <c r="K1106">
        <f t="shared" si="179"/>
        <v>23.269358806865867</v>
      </c>
      <c r="L1106">
        <f>0.5*Z1106*K1106/J1106/$B$7</f>
        <v>35.803289778516053</v>
      </c>
      <c r="M1106">
        <f t="shared" si="182"/>
        <v>0.7185844324531041</v>
      </c>
      <c r="N1106" s="21">
        <f t="shared" si="186"/>
        <v>6.5343650157567573E-2</v>
      </c>
      <c r="O1106" s="21">
        <f t="shared" si="187"/>
        <v>19.958319896839935</v>
      </c>
      <c r="P1106">
        <f t="shared" si="183"/>
        <v>0.75975664436939161</v>
      </c>
      <c r="Q1106">
        <f t="shared" si="180"/>
        <v>0.48744177457183202</v>
      </c>
      <c r="R1106">
        <f t="shared" si="181"/>
        <v>0.64831505349192831</v>
      </c>
      <c r="T1106" s="21">
        <f>(M1106-M1105)/(H1106-H1105)</f>
        <v>1.2869364029016728E-3</v>
      </c>
      <c r="W1106">
        <v>991</v>
      </c>
      <c r="X1106">
        <v>20.079881</v>
      </c>
      <c r="Y1106">
        <v>1.5</v>
      </c>
      <c r="Z1106">
        <f t="shared" si="178"/>
        <v>1.5</v>
      </c>
      <c r="AA1106" s="21">
        <f>IF(X1106&gt;$B$8+$B$9,0,ABS(X1106-O1106)/X1106)</f>
        <v>6.0538756758600903E-3</v>
      </c>
      <c r="AB1106">
        <f>IF(OR(Z1103&lt;&gt;Z1109,X1106&gt;$B$8+$B$9),0,((X1109-X1103)/(W1109-W1103)-(O1109-O1103)/(W1109-W1103))^2)</f>
        <v>1.2247212170085344E-6</v>
      </c>
    </row>
    <row r="1107" spans="7:28" x14ac:dyDescent="0.2">
      <c r="G1107" s="21"/>
      <c r="H1107" s="21">
        <v>992</v>
      </c>
      <c r="I1107">
        <f t="shared" si="184"/>
        <v>1.972704622492891E-2</v>
      </c>
      <c r="J1107">
        <f t="shared" si="185"/>
        <v>0.48681360542174201</v>
      </c>
      <c r="K1107">
        <f t="shared" si="179"/>
        <v>23.263136798354061</v>
      </c>
      <c r="L1107">
        <f>0.5*Z1107*K1107/J1107/$B$7</f>
        <v>35.839903413649161</v>
      </c>
      <c r="M1107">
        <f t="shared" si="182"/>
        <v>0.71987396957045202</v>
      </c>
      <c r="N1107" s="21">
        <f t="shared" si="186"/>
        <v>6.5394335811724005E-2</v>
      </c>
      <c r="O1107" s="21">
        <f t="shared" si="187"/>
        <v>19.978046943064864</v>
      </c>
      <c r="P1107">
        <f t="shared" si="183"/>
        <v>0.76068776918973779</v>
      </c>
      <c r="Q1107">
        <f t="shared" si="180"/>
        <v>0.48681360542174201</v>
      </c>
      <c r="R1107">
        <f t="shared" si="181"/>
        <v>0.64583055387883037</v>
      </c>
      <c r="T1107" s="21">
        <f>(M1107-M1106)/(H1107-H1106)</f>
        <v>1.2895371173479164E-3</v>
      </c>
      <c r="W1107">
        <v>992</v>
      </c>
      <c r="X1107">
        <v>20.096104999999998</v>
      </c>
      <c r="Y1107">
        <v>1.5</v>
      </c>
      <c r="Z1107">
        <f t="shared" si="178"/>
        <v>1.5</v>
      </c>
      <c r="AA1107" s="21">
        <f>IF(X1107&gt;$B$8+$B$9,0,ABS(X1107-O1107)/X1107)</f>
        <v>5.8746735715768557E-3</v>
      </c>
      <c r="AB1107">
        <f>IF(OR(Z1104&lt;&gt;Z1110,X1107&gt;$B$8+$B$9),0,((X1110-X1104)/(W1110-W1104)-(O1110-O1104)/(W1110-W1104))^2)</f>
        <v>4.6782621438767818E-6</v>
      </c>
    </row>
    <row r="1108" spans="7:28" x14ac:dyDescent="0.2">
      <c r="G1108" s="21"/>
      <c r="H1108" s="21">
        <v>993</v>
      </c>
      <c r="I1108">
        <f t="shared" si="184"/>
        <v>1.9751724083552427E-2</v>
      </c>
      <c r="J1108">
        <f t="shared" si="185"/>
        <v>0.48618497437456076</v>
      </c>
      <c r="K1108">
        <f t="shared" si="179"/>
        <v>23.25693880139335</v>
      </c>
      <c r="L1108">
        <f>0.5*Z1108*K1108/J1108/$B$7</f>
        <v>35.876682786183792</v>
      </c>
      <c r="M1108">
        <f t="shared" si="182"/>
        <v>0.72116612178465034</v>
      </c>
      <c r="N1108" s="21">
        <f t="shared" si="186"/>
        <v>6.5445102626060486E-2</v>
      </c>
      <c r="O1108" s="21">
        <f t="shared" si="187"/>
        <v>19.997798667148416</v>
      </c>
      <c r="P1108">
        <f t="shared" si="183"/>
        <v>0.7616195786725608</v>
      </c>
      <c r="Q1108">
        <f t="shared" si="180"/>
        <v>0.48618497437456076</v>
      </c>
      <c r="R1108">
        <f t="shared" si="181"/>
        <v>0.64336321797747098</v>
      </c>
      <c r="T1108" s="21">
        <f>(M1108-M1107)/(H1108-H1107)</f>
        <v>1.2921522141983166E-3</v>
      </c>
      <c r="W1108">
        <v>993</v>
      </c>
      <c r="X1108">
        <v>20.110706999999998</v>
      </c>
      <c r="Y1108">
        <v>1.5</v>
      </c>
      <c r="Z1108">
        <f t="shared" si="178"/>
        <v>1.5</v>
      </c>
      <c r="AA1108" s="21">
        <f>IF(X1108&gt;$B$8+$B$9,0,ABS(X1108-O1108)/X1108)</f>
        <v>5.6143393094823506E-3</v>
      </c>
      <c r="AB1108">
        <f>IF(OR(Z1105&lt;&gt;Z1111,X1108&gt;$B$8+$B$9),0,((X1111-X1105)/(W1111-W1105)-(O1111-O1105)/(W1111-W1105))^2)</f>
        <v>1.2529386239502693E-5</v>
      </c>
    </row>
    <row r="1109" spans="7:28" x14ac:dyDescent="0.2">
      <c r="G1109" s="21"/>
      <c r="H1109" s="21">
        <v>994</v>
      </c>
      <c r="I1109">
        <f t="shared" si="184"/>
        <v>1.9776560319320704E-2</v>
      </c>
      <c r="J1109">
        <f t="shared" si="185"/>
        <v>0.48555587827931934</v>
      </c>
      <c r="K1109">
        <f t="shared" si="179"/>
        <v>23.250764791562563</v>
      </c>
      <c r="L1109">
        <f>0.5*Z1109*K1109/J1109/$B$7</f>
        <v>35.913628840140518</v>
      </c>
      <c r="M1109">
        <f t="shared" si="182"/>
        <v>0.72246090358045767</v>
      </c>
      <c r="N1109" s="21">
        <f t="shared" si="186"/>
        <v>6.5495951312841513E-2</v>
      </c>
      <c r="O1109" s="21">
        <f t="shared" si="187"/>
        <v>20.017575227467738</v>
      </c>
      <c r="P1109">
        <f t="shared" si="183"/>
        <v>0.76255207748848985</v>
      </c>
      <c r="Q1109">
        <f t="shared" si="180"/>
        <v>0.48555587827931934</v>
      </c>
      <c r="R1109">
        <f t="shared" si="181"/>
        <v>0.6409128582926229</v>
      </c>
      <c r="T1109" s="21">
        <f>(M1109-M1108)/(H1109-H1108)</f>
        <v>1.2947817958073315E-3</v>
      </c>
      <c r="W1109">
        <v>994</v>
      </c>
      <c r="X1109">
        <v>20.144779</v>
      </c>
      <c r="Y1109">
        <v>1.5</v>
      </c>
      <c r="Z1109">
        <f t="shared" si="178"/>
        <v>1.5</v>
      </c>
      <c r="AA1109" s="21">
        <f>IF(X1109&gt;$B$8+$B$9,0,ABS(X1109-O1109)/X1109)</f>
        <v>6.3144784329608131E-3</v>
      </c>
      <c r="AB1109">
        <f>IF(OR(Z1106&lt;&gt;Z1112,X1109&gt;$B$8+$B$9),0,((X1112-X1106)/(W1112-W1106)-(O1112-O1106)/(W1112-W1106))^2)</f>
        <v>1.2790201358561009E-6</v>
      </c>
    </row>
    <row r="1110" spans="7:28" x14ac:dyDescent="0.2">
      <c r="G1110" s="21"/>
      <c r="H1110" s="21">
        <v>995</v>
      </c>
      <c r="I1110">
        <f t="shared" si="184"/>
        <v>1.9801555833267911E-2</v>
      </c>
      <c r="J1110">
        <f t="shared" si="185"/>
        <v>0.48492631396995223</v>
      </c>
      <c r="K1110">
        <f t="shared" si="179"/>
        <v>23.244614744992155</v>
      </c>
      <c r="L1110">
        <f>0.5*Z1110*K1110/J1110/$B$7</f>
        <v>35.950742528326387</v>
      </c>
      <c r="M1110">
        <f t="shared" si="182"/>
        <v>0.72375832954604058</v>
      </c>
      <c r="N1110" s="21">
        <f t="shared" si="186"/>
        <v>6.5546882589621838E-2</v>
      </c>
      <c r="O1110" s="21">
        <f t="shared" si="187"/>
        <v>20.037376783301006</v>
      </c>
      <c r="P1110">
        <f t="shared" si="183"/>
        <v>0.76348527033053215</v>
      </c>
      <c r="Q1110">
        <f t="shared" si="180"/>
        <v>0.48492631396995223</v>
      </c>
      <c r="R1110">
        <f t="shared" si="181"/>
        <v>0.63847929001668813</v>
      </c>
      <c r="T1110" s="21">
        <f>(M1110-M1109)/(H1110-H1109)</f>
        <v>1.2974259655829101E-3</v>
      </c>
      <c r="W1110">
        <v>995</v>
      </c>
      <c r="X1110">
        <v>20.151268999999999</v>
      </c>
      <c r="Y1110">
        <v>1.5</v>
      </c>
      <c r="Z1110">
        <f t="shared" si="178"/>
        <v>1.5</v>
      </c>
      <c r="AA1110" s="21">
        <f>IF(X1110&gt;$B$8+$B$9,0,ABS(X1110-O1110)/X1110)</f>
        <v>5.6518632498525458E-3</v>
      </c>
      <c r="AB1110">
        <f>IF(OR(Z1107&lt;&gt;Z1113,X1110&gt;$B$8+$B$9),0,((X1113-X1107)/(W1113-W1107)-(O1113-O1107)/(W1113-W1107))^2)</f>
        <v>2.3967749668887439E-6</v>
      </c>
    </row>
    <row r="1111" spans="7:28" x14ac:dyDescent="0.2">
      <c r="G1111" s="21"/>
      <c r="H1111" s="21">
        <v>996</v>
      </c>
      <c r="I1111">
        <f t="shared" si="184"/>
        <v>1.982671153598304E-2</v>
      </c>
      <c r="J1111">
        <f t="shared" si="185"/>
        <v>0.48429627826513566</v>
      </c>
      <c r="K1111">
        <f t="shared" si="179"/>
        <v>23.238488638364775</v>
      </c>
      <c r="L1111">
        <f>0.5*Z1111*K1111/J1111/$B$7</f>
        <v>35.98802481243078</v>
      </c>
      <c r="M1111">
        <f t="shared" si="182"/>
        <v>0.72505841437403717</v>
      </c>
      <c r="N1111" s="21">
        <f t="shared" si="186"/>
        <v>6.559789717931036E-2</v>
      </c>
      <c r="O1111" s="21">
        <f t="shared" si="187"/>
        <v>20.05720349483699</v>
      </c>
      <c r="P1111">
        <f t="shared" si="183"/>
        <v>0.7644191619143117</v>
      </c>
      <c r="Q1111">
        <f t="shared" si="180"/>
        <v>0.48429627826513566</v>
      </c>
      <c r="R1111">
        <f t="shared" si="181"/>
        <v>0.63606233098136855</v>
      </c>
      <c r="T1111" s="21">
        <f>(M1111-M1110)/(H1111-H1110)</f>
        <v>1.3000848279965949E-3</v>
      </c>
      <c r="W1111">
        <v>996</v>
      </c>
      <c r="X1111">
        <v>20.172360999999999</v>
      </c>
      <c r="Y1111">
        <v>1.5</v>
      </c>
      <c r="Z1111">
        <f t="shared" si="178"/>
        <v>1.5</v>
      </c>
      <c r="AA1111" s="21">
        <f>IF(X1111&gt;$B$8+$B$9,0,ABS(X1111-O1111)/X1111)</f>
        <v>5.7086775892523575E-3</v>
      </c>
      <c r="AB1111">
        <f>IF(OR(Z1108&lt;&gt;Z1114,X1111&gt;$B$8+$B$9),0,((X1114-X1108)/(W1114-W1108)-(O1114-O1108)/(W1114-W1108))^2)</f>
        <v>4.0992267961712294E-7</v>
      </c>
    </row>
    <row r="1112" spans="7:28" x14ac:dyDescent="0.2">
      <c r="G1112" s="21"/>
      <c r="H1112" s="21">
        <v>997</v>
      </c>
      <c r="I1112">
        <f t="shared" si="184"/>
        <v>1.9852028347714802E-2</v>
      </c>
      <c r="J1112">
        <f t="shared" si="185"/>
        <v>0.48366576796812322</v>
      </c>
      <c r="K1112">
        <f t="shared" si="179"/>
        <v>23.232386448915804</v>
      </c>
      <c r="L1112">
        <f>0.5*Z1112*K1112/J1112/$B$7</f>
        <v>36.025476663122518</v>
      </c>
      <c r="M1112">
        <f t="shared" si="182"/>
        <v>0.72636117286263724</v>
      </c>
      <c r="N1112" s="21">
        <f t="shared" si="186"/>
        <v>6.564899581023502E-2</v>
      </c>
      <c r="O1112" s="21">
        <f t="shared" si="187"/>
        <v>20.077055523184704</v>
      </c>
      <c r="P1112">
        <f t="shared" si="183"/>
        <v>0.7653537569783132</v>
      </c>
      <c r="Q1112">
        <f t="shared" si="180"/>
        <v>0.48366576796812322</v>
      </c>
      <c r="R1112">
        <f t="shared" si="181"/>
        <v>0.63366180161036645</v>
      </c>
      <c r="T1112" s="21">
        <f>(M1112-M1111)/(H1112-H1111)</f>
        <v>1.3027584886000643E-3</v>
      </c>
      <c r="W1112">
        <v>997</v>
      </c>
      <c r="X1112">
        <v>20.191831000000001</v>
      </c>
      <c r="Y1112">
        <v>1.5</v>
      </c>
      <c r="Z1112">
        <f t="shared" si="178"/>
        <v>1.5</v>
      </c>
      <c r="AA1112" s="21">
        <f>IF(X1112&gt;$B$8+$B$9,0,ABS(X1112-O1112)/X1112)</f>
        <v>5.6842530434855773E-3</v>
      </c>
      <c r="AB1112">
        <f>IF(OR(Z1109&lt;&gt;Z1115,X1112&gt;$B$8+$B$9),0,((X1115-X1109)/(W1115-W1109)-(O1115-O1109)/(W1115-W1109))^2)</f>
        <v>1.4556047402547216E-6</v>
      </c>
    </row>
    <row r="1113" spans="7:28" x14ac:dyDescent="0.2">
      <c r="G1113" s="21"/>
      <c r="H1113" s="21">
        <v>998</v>
      </c>
      <c r="I1113">
        <f t="shared" si="184"/>
        <v>1.9877507198478025E-2</v>
      </c>
      <c r="J1113">
        <f t="shared" si="185"/>
        <v>0.48303477986658105</v>
      </c>
      <c r="K1113">
        <f t="shared" si="179"/>
        <v>23.22630815443404</v>
      </c>
      <c r="L1113">
        <f>0.5*Z1113*K1113/J1113/$B$7</f>
        <v>36.063099060148488</v>
      </c>
      <c r="M1113">
        <f t="shared" si="182"/>
        <v>0.72766661991667259</v>
      </c>
      <c r="N1113" s="21">
        <f t="shared" si="186"/>
        <v>6.5700179216208285E-2</v>
      </c>
      <c r="O1113" s="21">
        <f t="shared" si="187"/>
        <v>20.09693303038318</v>
      </c>
      <c r="P1113">
        <f t="shared" si="183"/>
        <v>0.76628906028412636</v>
      </c>
      <c r="Q1113">
        <f t="shared" si="180"/>
        <v>0.48303477986658105</v>
      </c>
      <c r="R1113">
        <f t="shared" si="181"/>
        <v>0.6312775248731004</v>
      </c>
      <c r="T1113" s="21">
        <f>(M1113-M1112)/(H1113-H1112)</f>
        <v>1.3054470540353469E-3</v>
      </c>
      <c r="W1113">
        <v>998</v>
      </c>
      <c r="X1113">
        <v>20.22428</v>
      </c>
      <c r="Y1113">
        <v>1.5</v>
      </c>
      <c r="Z1113">
        <f t="shared" si="178"/>
        <v>1.5</v>
      </c>
      <c r="AA1113" s="21">
        <f>IF(X1113&gt;$B$8+$B$9,0,ABS(X1113-O1113)/X1113)</f>
        <v>6.2967368735411056E-3</v>
      </c>
      <c r="AB1113">
        <f>IF(OR(Z1110&lt;&gt;Z1116,X1113&gt;$B$8+$B$9),0,((X1116-X1110)/(W1116-W1110)-(O1116-O1110)/(W1116-W1110))^2)</f>
        <v>8.6698559320463137E-7</v>
      </c>
    </row>
    <row r="1114" spans="7:28" x14ac:dyDescent="0.2">
      <c r="G1114" s="21"/>
      <c r="H1114" s="21">
        <v>999</v>
      </c>
      <c r="I1114">
        <f t="shared" si="184"/>
        <v>1.9903149028161836E-2</v>
      </c>
      <c r="J1114">
        <f t="shared" si="185"/>
        <v>0.48240331073242027</v>
      </c>
      <c r="K1114">
        <f t="shared" si="179"/>
        <v>23.220253733262311</v>
      </c>
      <c r="L1114">
        <f>0.5*Z1114*K1114/J1114/$B$7</f>
        <v>36.100892992433465</v>
      </c>
      <c r="M1114">
        <f t="shared" si="182"/>
        <v>0.72897477054872295</v>
      </c>
      <c r="N1114" s="21">
        <f t="shared" si="186"/>
        <v>6.5751448136593837E-2</v>
      </c>
      <c r="O1114" s="21">
        <f t="shared" si="187"/>
        <v>20.116836179411344</v>
      </c>
      <c r="P1114">
        <f t="shared" si="183"/>
        <v>0.76722507661669437</v>
      </c>
      <c r="Q1114">
        <f t="shared" si="180"/>
        <v>0.48240331073242027</v>
      </c>
      <c r="R1114">
        <f t="shared" si="181"/>
        <v>0.62890932623940143</v>
      </c>
      <c r="T1114" s="21">
        <f>(M1114-M1113)/(H1114-H1113)</f>
        <v>1.3081506320503644E-3</v>
      </c>
      <c r="W1114">
        <v>999</v>
      </c>
      <c r="X1114">
        <v>20.225902999999999</v>
      </c>
      <c r="Y1114">
        <v>1.5</v>
      </c>
      <c r="Z1114">
        <f t="shared" si="178"/>
        <v>1.5</v>
      </c>
      <c r="AA1114" s="21">
        <f>IF(X1114&gt;$B$8+$B$9,0,ABS(X1114-O1114)/X1114)</f>
        <v>5.3924326932970629E-3</v>
      </c>
      <c r="AB1114">
        <f>IF(OR(Z1111&lt;&gt;Z1117,X1114&gt;$B$8+$B$9),0,((X1117-X1111)/(W1117-W1111)-(O1117-O1111)/(W1117-W1111))^2)</f>
        <v>1.3302715409100569E-7</v>
      </c>
    </row>
    <row r="1115" spans="7:28" x14ac:dyDescent="0.2">
      <c r="G1115" s="21"/>
      <c r="H1115" s="21">
        <v>1000</v>
      </c>
      <c r="I1115">
        <f t="shared" si="184"/>
        <v>1.992895478663928E-2</v>
      </c>
      <c r="J1115">
        <f t="shared" si="185"/>
        <v>0.48177135732162835</v>
      </c>
      <c r="K1115">
        <f t="shared" si="179"/>
        <v>23.214223164298229</v>
      </c>
      <c r="L1115">
        <f>0.5*Z1115*K1115/J1115/$B$7</f>
        <v>36.138859458181507</v>
      </c>
      <c r="M1115">
        <f t="shared" si="182"/>
        <v>0.7302856398802352</v>
      </c>
      <c r="N1115" s="21">
        <f t="shared" si="186"/>
        <v>6.5802803316373934E-2</v>
      </c>
      <c r="O1115" s="21">
        <f t="shared" si="187"/>
        <v>20.136765134197983</v>
      </c>
      <c r="P1115">
        <f t="shared" si="183"/>
        <v>0.76816181078456369</v>
      </c>
      <c r="Q1115">
        <f t="shared" si="180"/>
        <v>0.48177135732162835</v>
      </c>
      <c r="R1115">
        <f t="shared" si="181"/>
        <v>0.62655703363517423</v>
      </c>
      <c r="T1115" s="21">
        <f>(M1115-M1114)/(H1115-H1114)</f>
        <v>1.3108693315122544E-3</v>
      </c>
      <c r="W1115">
        <v>1000</v>
      </c>
      <c r="X1115">
        <v>20.256730000000001</v>
      </c>
      <c r="Y1115">
        <v>1.5</v>
      </c>
      <c r="Z1115">
        <f t="shared" si="178"/>
        <v>1.5</v>
      </c>
      <c r="AA1115" s="21">
        <f>IF(X1115&gt;$B$8+$B$9,0,ABS(X1115-O1115)/X1115)</f>
        <v>5.9222226786859499E-3</v>
      </c>
      <c r="AB1115">
        <f>IF(OR(Z1112&lt;&gt;Z1118,X1115&gt;$B$8+$B$9),0,((X1118-X1112)/(W1118-W1112)-(O1118-O1112)/(W1118-W1112))^2)</f>
        <v>5.5204000302183029E-7</v>
      </c>
    </row>
    <row r="1116" spans="7:28" x14ac:dyDescent="0.2">
      <c r="G1116" s="21"/>
      <c r="H1116" s="21">
        <v>1001</v>
      </c>
      <c r="I1116">
        <f t="shared" si="184"/>
        <v>1.995492543387857E-2</v>
      </c>
      <c r="J1116">
        <f t="shared" si="185"/>
        <v>0.481138916374099</v>
      </c>
      <c r="K1116">
        <f t="shared" si="179"/>
        <v>23.208216426994966</v>
      </c>
      <c r="L1116">
        <f>0.5*Z1116*K1116/J1116/$B$7</f>
        <v>36.176999464978728</v>
      </c>
      <c r="M1116">
        <f t="shared" si="182"/>
        <v>0.73159924314265457</v>
      </c>
      <c r="N1116" s="21">
        <f t="shared" si="186"/>
        <v>6.5854245506217601E-2</v>
      </c>
      <c r="O1116" s="21">
        <f t="shared" si="187"/>
        <v>20.156720059631862</v>
      </c>
      <c r="P1116">
        <f t="shared" si="183"/>
        <v>0.76909926762013658</v>
      </c>
      <c r="Q1116">
        <f t="shared" si="180"/>
        <v>0.481138916374099</v>
      </c>
      <c r="R1116">
        <f t="shared" si="181"/>
        <v>0.62422047739899389</v>
      </c>
      <c r="T1116" s="21">
        <f>(M1116-M1115)/(H1116-H1115)</f>
        <v>1.3136032624193605E-3</v>
      </c>
      <c r="W1116">
        <v>1001</v>
      </c>
      <c r="X1116">
        <v>20.276198999999998</v>
      </c>
      <c r="Y1116">
        <v>1.5</v>
      </c>
      <c r="Z1116">
        <f t="shared" si="178"/>
        <v>1.5</v>
      </c>
      <c r="AA1116" s="21">
        <f>IF(X1116&gt;$B$8+$B$9,0,ABS(X1116-O1116)/X1116)</f>
        <v>5.8925709087850357E-3</v>
      </c>
      <c r="AB1116">
        <f>IF(OR(Z1113&lt;&gt;Z1119,X1116&gt;$B$8+$B$9),0,((X1119-X1113)/(W1119-W1113)-(O1119-O1113)/(W1119-W1113))^2)</f>
        <v>5.9117976983520936E-7</v>
      </c>
    </row>
    <row r="1117" spans="7:28" x14ac:dyDescent="0.2">
      <c r="G1117" s="21"/>
      <c r="H1117" s="21">
        <v>1002</v>
      </c>
      <c r="I1117">
        <f t="shared" si="184"/>
        <v>1.998106194005634E-2</v>
      </c>
      <c r="J1117">
        <f t="shared" si="185"/>
        <v>0.48050598461345873</v>
      </c>
      <c r="K1117">
        <f t="shared" si="179"/>
        <v>23.202233501362041</v>
      </c>
      <c r="L1117">
        <f>0.5*Z1117*K1117/J1117/$B$7</f>
        <v>36.215314029897556</v>
      </c>
      <c r="M1117">
        <f t="shared" si="182"/>
        <v>0.73291559567857456</v>
      </c>
      <c r="N1117" s="21">
        <f t="shared" si="186"/>
        <v>6.5905775462550095E-2</v>
      </c>
      <c r="O1117" s="21">
        <f t="shared" si="187"/>
        <v>20.17670112157192</v>
      </c>
      <c r="P1117">
        <f t="shared" si="183"/>
        <v>0.77003745197992746</v>
      </c>
      <c r="Q1117">
        <f t="shared" si="180"/>
        <v>0.48050598461345873</v>
      </c>
      <c r="R1117">
        <f t="shared" si="181"/>
        <v>0.62189949023961444</v>
      </c>
      <c r="T1117" s="21">
        <f>(M1117-M1116)/(H1117-H1116)</f>
        <v>1.3163525359199957E-3</v>
      </c>
      <c r="W1117">
        <v>1002</v>
      </c>
      <c r="X1117">
        <v>20.294046999999999</v>
      </c>
      <c r="Y1117">
        <v>1.5</v>
      </c>
      <c r="Z1117">
        <f t="shared" si="178"/>
        <v>1.5</v>
      </c>
      <c r="AA1117" s="21">
        <f>IF(X1117&gt;$B$8+$B$9,0,ABS(X1117-O1117)/X1117)</f>
        <v>5.7822808052075065E-3</v>
      </c>
      <c r="AB1117">
        <f>IF(OR(Z1114&lt;&gt;Z1120,X1117&gt;$B$8+$B$9),0,((X1120-X1114)/(W1120-W1114)-(O1120-O1114)/(W1120-W1114))^2)</f>
        <v>6.8430936882224448E-7</v>
      </c>
    </row>
    <row r="1118" spans="7:28" x14ac:dyDescent="0.2">
      <c r="G1118" s="21"/>
      <c r="H1118" s="21">
        <v>1003</v>
      </c>
      <c r="I1118">
        <f t="shared" si="184"/>
        <v>2.00073652856721E-2</v>
      </c>
      <c r="J1118">
        <f t="shared" si="185"/>
        <v>0.4798725587468935</v>
      </c>
      <c r="K1118">
        <f t="shared" si="179"/>
        <v>23.19627436796619</v>
      </c>
      <c r="L1118">
        <f>0.5*Z1118*K1118/J1118/$B$7</f>
        <v>36.253804179602433</v>
      </c>
      <c r="M1118">
        <f t="shared" si="182"/>
        <v>0.73423471294289688</v>
      </c>
      <c r="N1118" s="21">
        <f t="shared" si="186"/>
        <v>6.5957393947622886E-2</v>
      </c>
      <c r="O1118" s="21">
        <f t="shared" si="187"/>
        <v>20.196708486857592</v>
      </c>
      <c r="P1118">
        <f t="shared" si="183"/>
        <v>0.77097636874482056</v>
      </c>
      <c r="Q1118">
        <f t="shared" si="180"/>
        <v>0.4798725587468935</v>
      </c>
      <c r="R1118">
        <f t="shared" si="181"/>
        <v>0.61959390719437146</v>
      </c>
      <c r="T1118" s="21">
        <f>(M1118-M1117)/(H1118-H1117)</f>
        <v>1.3191172643223226E-3</v>
      </c>
      <c r="W1118">
        <v>1003</v>
      </c>
      <c r="X1118">
        <v>20.307026</v>
      </c>
      <c r="Y1118">
        <v>1.5</v>
      </c>
      <c r="Z1118">
        <f t="shared" si="178"/>
        <v>1.5</v>
      </c>
      <c r="AA1118" s="21">
        <f>IF(X1118&gt;$B$8+$B$9,0,ABS(X1118-O1118)/X1118)</f>
        <v>5.4324800264897869E-3</v>
      </c>
      <c r="AB1118">
        <f>IF(OR(Z1115&lt;&gt;Z1121,X1118&gt;$B$8+$B$9),0,((X1121-X1115)/(W1121-W1115)-(O1121-O1115)/(W1121-W1115))^2)</f>
        <v>2.6661185214149982E-6</v>
      </c>
    </row>
    <row r="1119" spans="7:28" x14ac:dyDescent="0.2">
      <c r="G1119" s="21"/>
      <c r="H1119" s="21">
        <v>1004</v>
      </c>
      <c r="I1119">
        <f t="shared" si="184"/>
        <v>2.0033836461664914E-2</v>
      </c>
      <c r="J1119">
        <f t="shared" si="185"/>
        <v>0.4792386354649727</v>
      </c>
      <c r="K1119">
        <f t="shared" si="179"/>
        <v>23.190339007932291</v>
      </c>
      <c r="L1119">
        <f>0.5*Z1119*K1119/J1119/$B$7</f>
        <v>36.292470950457094</v>
      </c>
      <c r="M1119">
        <f t="shared" si="182"/>
        <v>0.73555661050400756</v>
      </c>
      <c r="N1119" s="21">
        <f t="shared" si="186"/>
        <v>6.6009101729584699E-2</v>
      </c>
      <c r="O1119" s="21">
        <f t="shared" si="187"/>
        <v>20.216742323319256</v>
      </c>
      <c r="P1119">
        <f t="shared" si="183"/>
        <v>0.77191602282033056</v>
      </c>
      <c r="Q1119">
        <f t="shared" si="180"/>
        <v>0.4792386354649727</v>
      </c>
      <c r="R1119">
        <f t="shared" si="181"/>
        <v>0.61730356558845445</v>
      </c>
      <c r="T1119" s="21">
        <f>(M1119-M1118)/(H1119-H1118)</f>
        <v>1.3218975611106742E-3</v>
      </c>
      <c r="W1119">
        <v>1004</v>
      </c>
      <c r="X1119">
        <v>20.339475999999998</v>
      </c>
      <c r="Y1119">
        <v>1.5</v>
      </c>
      <c r="Z1119">
        <f t="shared" si="178"/>
        <v>1.5</v>
      </c>
      <c r="AA1119" s="21">
        <f>IF(X1119&gt;$B$8+$B$9,0,ABS(X1119-O1119)/X1119)</f>
        <v>6.0342595197999142E-3</v>
      </c>
      <c r="AB1119">
        <f>IF(OR(Z1116&lt;&gt;Z1122,X1119&gt;$B$8+$B$9),0,((X1122-X1116)/(W1122-W1116)-(O1122-O1116)/(W1122-W1116))^2)</f>
        <v>1.9289939130468709E-6</v>
      </c>
    </row>
    <row r="1120" spans="7:28" x14ac:dyDescent="0.2">
      <c r="G1120" s="21"/>
      <c r="H1120" s="21">
        <v>1005</v>
      </c>
      <c r="I1120">
        <f t="shared" si="184"/>
        <v>2.0060476469531453E-2</v>
      </c>
      <c r="J1120">
        <f t="shared" si="185"/>
        <v>0.47860421144147103</v>
      </c>
      <c r="K1120">
        <f t="shared" si="179"/>
        <v>23.184427402944308</v>
      </c>
      <c r="L1120">
        <f>0.5*Z1120*K1120/J1120/$B$7</f>
        <v>36.331315388633321</v>
      </c>
      <c r="M1120">
        <f t="shared" si="182"/>
        <v>0.73688130404496843</v>
      </c>
      <c r="N1120" s="21">
        <f t="shared" si="186"/>
        <v>6.6060899582553803E-2</v>
      </c>
      <c r="O1120" s="21">
        <f t="shared" si="187"/>
        <v>20.236802799788787</v>
      </c>
      <c r="P1120">
        <f t="shared" si="183"/>
        <v>0.77285641913686676</v>
      </c>
      <c r="Q1120">
        <f t="shared" si="180"/>
        <v>0.47860421144147103</v>
      </c>
      <c r="R1120">
        <f t="shared" si="181"/>
        <v>0.61502830499502548</v>
      </c>
      <c r="T1120" s="21">
        <f>(M1120-M1119)/(H1120-H1119)</f>
        <v>1.3246935409608751E-3</v>
      </c>
      <c r="W1120">
        <v>1005</v>
      </c>
      <c r="X1120">
        <v>20.350832999999998</v>
      </c>
      <c r="Y1120">
        <v>1.5</v>
      </c>
      <c r="Z1120">
        <f t="shared" si="178"/>
        <v>1.5</v>
      </c>
      <c r="AA1120" s="21">
        <f>IF(X1120&gt;$B$8+$B$9,0,ABS(X1120-O1120)/X1120)</f>
        <v>5.6032202815094008E-3</v>
      </c>
      <c r="AB1120">
        <f>IF(OR(Z1117&lt;&gt;Z1123,X1120&gt;$B$8+$B$9),0,((X1123-X1117)/(W1123-W1117)-(O1123-O1117)/(W1123-W1117))^2)</f>
        <v>2.0044194353088152E-6</v>
      </c>
    </row>
    <row r="1121" spans="7:28" x14ac:dyDescent="0.2">
      <c r="G1121" s="21"/>
      <c r="H1121" s="21">
        <v>1006</v>
      </c>
      <c r="I1121">
        <f t="shared" si="184"/>
        <v>2.0087286321446143E-2</v>
      </c>
      <c r="J1121">
        <f t="shared" si="185"/>
        <v>0.47796928333318855</v>
      </c>
      <c r="K1121">
        <f t="shared" si="179"/>
        <v>23.178539535246298</v>
      </c>
      <c r="L1121">
        <f>0.5*Z1121*K1121/J1121/$B$7</f>
        <v>36.370338550221319</v>
      </c>
      <c r="M1121">
        <f t="shared" si="182"/>
        <v>0.73820880936472433</v>
      </c>
      <c r="N1121" s="21">
        <f t="shared" si="186"/>
        <v>6.6112788286690927E-2</v>
      </c>
      <c r="O1121" s="21">
        <f t="shared" si="187"/>
        <v>20.256890086110232</v>
      </c>
      <c r="P1121">
        <f t="shared" si="183"/>
        <v>0.77379756264999933</v>
      </c>
      <c r="Q1121">
        <f t="shared" si="180"/>
        <v>0.47796928333318855</v>
      </c>
      <c r="R1121">
        <f t="shared" si="181"/>
        <v>0.61276796719616733</v>
      </c>
      <c r="T1121" s="21">
        <f>(M1121-M1120)/(H1121-H1120)</f>
        <v>1.327505319755895E-3</v>
      </c>
      <c r="W1121">
        <v>1006</v>
      </c>
      <c r="X1121">
        <v>20.367058</v>
      </c>
      <c r="Y1121">
        <v>1.5</v>
      </c>
      <c r="Z1121">
        <f t="shared" si="178"/>
        <v>1.5</v>
      </c>
      <c r="AA1121" s="21">
        <f>IF(X1121&gt;$B$8+$B$9,0,ABS(X1121-O1121)/X1121)</f>
        <v>5.4091226081728633E-3</v>
      </c>
      <c r="AB1121">
        <f>IF(OR(Z1118&lt;&gt;Z1124,X1121&gt;$B$8+$B$9),0,((X1124-X1118)/(W1124-W1118)-(O1124-O1118)/(W1124-W1118))^2)</f>
        <v>1.3739868768865942E-6</v>
      </c>
    </row>
    <row r="1122" spans="7:28" x14ac:dyDescent="0.2">
      <c r="G1122" s="21"/>
      <c r="H1122" s="21">
        <v>1007</v>
      </c>
      <c r="I1122">
        <f t="shared" si="184"/>
        <v>2.0114267040382869E-2</v>
      </c>
      <c r="J1122">
        <f t="shared" si="185"/>
        <v>0.4773338477797695</v>
      </c>
      <c r="K1122">
        <f t="shared" si="179"/>
        <v>23.172675387643462</v>
      </c>
      <c r="L1122">
        <f>0.5*Z1122*K1122/J1122/$B$7</f>
        <v>36.409541501341607</v>
      </c>
      <c r="M1122">
        <f t="shared" si="182"/>
        <v>0.73953914237932283</v>
      </c>
      <c r="N1122" s="21">
        <f t="shared" si="186"/>
        <v>6.6164768628273238E-2</v>
      </c>
      <c r="O1122" s="21">
        <f t="shared" si="187"/>
        <v>20.277004353150616</v>
      </c>
      <c r="P1122">
        <f t="shared" si="183"/>
        <v>0.77473945834072866</v>
      </c>
      <c r="Q1122">
        <f t="shared" si="180"/>
        <v>0.4773338477797695</v>
      </c>
      <c r="R1122">
        <f t="shared" si="181"/>
        <v>0.61052239614463921</v>
      </c>
      <c r="T1122" s="21">
        <f>(M1122-M1121)/(H1122-H1121)</f>
        <v>1.3303330145985059E-3</v>
      </c>
      <c r="W1122">
        <v>1007</v>
      </c>
      <c r="X1122">
        <v>20.38815</v>
      </c>
      <c r="Y1122">
        <v>1.5</v>
      </c>
      <c r="Z1122">
        <f t="shared" si="178"/>
        <v>1.5</v>
      </c>
      <c r="AA1122" s="21">
        <f>IF(X1122&gt;$B$8+$B$9,0,ABS(X1122-O1122)/X1122)</f>
        <v>5.4514826921218179E-3</v>
      </c>
      <c r="AB1122">
        <f>IF(OR(Z1119&lt;&gt;Z1125,X1122&gt;$B$8+$B$9),0,((X1125-X1119)/(W1125-W1119)-(O1125-O1119)/(W1125-W1119))^2)</f>
        <v>3.027854921876185E-6</v>
      </c>
    </row>
    <row r="1123" spans="7:28" x14ac:dyDescent="0.2">
      <c r="G1123" s="21"/>
      <c r="H1123" s="21">
        <v>1008</v>
      </c>
      <c r="I1123">
        <f t="shared" si="184"/>
        <v>2.0141419660238795E-2</v>
      </c>
      <c r="J1123">
        <f t="shared" si="185"/>
        <v>0.47669790140351875</v>
      </c>
      <c r="K1123">
        <f t="shared" si="179"/>
        <v>23.166834943503272</v>
      </c>
      <c r="L1123">
        <f>0.5*Z1123*K1123/J1123/$B$7</f>
        <v>36.448925318258595</v>
      </c>
      <c r="M1123">
        <f t="shared" si="182"/>
        <v>0.74087231912315199</v>
      </c>
      <c r="N1123" s="21">
        <f t="shared" si="186"/>
        <v>6.6216841399769424E-2</v>
      </c>
      <c r="O1123" s="21">
        <f t="shared" si="187"/>
        <v>20.297145772810854</v>
      </c>
      <c r="P1123">
        <f t="shared" si="183"/>
        <v>0.7756821112157567</v>
      </c>
      <c r="Q1123">
        <f t="shared" si="180"/>
        <v>0.47669790140351875</v>
      </c>
      <c r="R1123">
        <f t="shared" si="181"/>
        <v>0.60829143792642293</v>
      </c>
      <c r="T1123" s="21">
        <f>(M1123-M1122)/(H1123-H1122)</f>
        <v>1.3331767438291564E-3</v>
      </c>
      <c r="W1123">
        <v>1008</v>
      </c>
      <c r="X1123">
        <v>20.405996999999999</v>
      </c>
      <c r="Y1123">
        <v>1.5</v>
      </c>
      <c r="Z1123">
        <f t="shared" si="178"/>
        <v>1.5</v>
      </c>
      <c r="AA1123" s="21">
        <f>IF(X1123&gt;$B$8+$B$9,0,ABS(X1123-O1123)/X1123)</f>
        <v>5.3342763496998114E-3</v>
      </c>
      <c r="AB1123">
        <f>IF(OR(Z1120&lt;&gt;Z1126,X1123&gt;$B$8+$B$9),0,((X1126-X1120)/(W1126-W1120)-(O1126-O1120)/(W1126-W1120))^2)</f>
        <v>3.1233978747293252E-6</v>
      </c>
    </row>
    <row r="1124" spans="7:28" x14ac:dyDescent="0.2">
      <c r="G1124" s="21"/>
      <c r="H1124" s="21">
        <v>1009</v>
      </c>
      <c r="I1124">
        <f t="shared" si="184"/>
        <v>2.0168745225959923E-2</v>
      </c>
      <c r="J1124">
        <f t="shared" si="185"/>
        <v>0.47606144080921553</v>
      </c>
      <c r="K1124">
        <f t="shared" si="179"/>
        <v>23.161018186756593</v>
      </c>
      <c r="L1124">
        <f>0.5*Z1124*K1124/J1124/$B$7</f>
        <v>36.488491087495746</v>
      </c>
      <c r="M1124">
        <f t="shared" si="182"/>
        <v>0.74220835575019417</v>
      </c>
      <c r="N1124" s="21">
        <f t="shared" si="186"/>
        <v>6.6269007399916008E-2</v>
      </c>
      <c r="O1124" s="21">
        <f t="shared" si="187"/>
        <v>20.317314518036813</v>
      </c>
      <c r="P1124">
        <f t="shared" si="183"/>
        <v>0.7766255263077636</v>
      </c>
      <c r="Q1124">
        <f t="shared" si="180"/>
        <v>0.47606144080921553</v>
      </c>
      <c r="R1124">
        <f t="shared" si="181"/>
        <v>0.60607494072403256</v>
      </c>
      <c r="T1124" s="21">
        <f>(M1124-M1123)/(H1124-H1123)</f>
        <v>1.3360366270421808E-3</v>
      </c>
      <c r="W1124">
        <v>1009</v>
      </c>
      <c r="X1124">
        <v>20.420598999999999</v>
      </c>
      <c r="Y1124">
        <v>1.5</v>
      </c>
      <c r="Z1124">
        <f t="shared" si="178"/>
        <v>1.5</v>
      </c>
      <c r="AA1124" s="21">
        <f>IF(X1124&gt;$B$8+$B$9,0,ABS(X1124-O1124)/X1124)</f>
        <v>5.0578576056062889E-3</v>
      </c>
      <c r="AB1124">
        <f>IF(OR(Z1121&lt;&gt;Z1127,X1124&gt;$B$8+$B$9),0,((X1127-X1121)/(W1127-W1121)-(O1127-O1121)/(W1127-W1121))^2)</f>
        <v>2.1028062669881081E-6</v>
      </c>
    </row>
    <row r="1125" spans="7:28" x14ac:dyDescent="0.2">
      <c r="G1125" s="21"/>
      <c r="H1125" s="21">
        <v>1010</v>
      </c>
      <c r="I1125">
        <f t="shared" si="184"/>
        <v>2.019624479366839E-2</v>
      </c>
      <c r="J1125">
        <f t="shared" si="185"/>
        <v>0.47542446258392612</v>
      </c>
      <c r="K1125">
        <f t="shared" si="179"/>
        <v>23.1552251018989</v>
      </c>
      <c r="L1125">
        <f>0.5*Z1125*K1125/J1125/$B$7</f>
        <v>36.528239905952461</v>
      </c>
      <c r="M1125">
        <f t="shared" si="182"/>
        <v>0.74354726853529463</v>
      </c>
      <c r="N1125" s="21">
        <f t="shared" si="186"/>
        <v>6.6321267433794073E-2</v>
      </c>
      <c r="O1125" s="21">
        <f t="shared" si="187"/>
        <v>20.337510762830483</v>
      </c>
      <c r="P1125">
        <f t="shared" si="183"/>
        <v>0.77756970867568476</v>
      </c>
      <c r="Q1125">
        <f t="shared" si="180"/>
        <v>0.47542446258392612</v>
      </c>
      <c r="R1125">
        <f t="shared" si="181"/>
        <v>0.60387275478058156</v>
      </c>
      <c r="T1125" s="21">
        <f>(M1125-M1124)/(H1125-H1124)</f>
        <v>1.3389127851004545E-3</v>
      </c>
      <c r="W1125">
        <v>1010</v>
      </c>
      <c r="X1125">
        <v>20.449804</v>
      </c>
      <c r="Y1125">
        <v>1.5</v>
      </c>
      <c r="Z1125">
        <f t="shared" si="178"/>
        <v>1.5</v>
      </c>
      <c r="AA1125" s="21">
        <f>IF(X1125&gt;$B$8+$B$9,0,ABS(X1125-O1125)/X1125)</f>
        <v>5.4911644712837887E-3</v>
      </c>
      <c r="AB1125">
        <f>IF(OR(Z1122&lt;&gt;Z1128,X1125&gt;$B$8+$B$9),0,((X1128-X1122)/(W1128-W1122)-(O1128-O1122)/(W1128-W1122))^2)</f>
        <v>2.2119738554442533E-7</v>
      </c>
    </row>
    <row r="1126" spans="7:28" x14ac:dyDescent="0.2">
      <c r="G1126" s="21"/>
      <c r="H1126" s="21">
        <v>1011</v>
      </c>
      <c r="I1126">
        <f t="shared" si="184"/>
        <v>2.0223919430792214E-2</v>
      </c>
      <c r="J1126">
        <f t="shared" si="185"/>
        <v>0.47478696329681525</v>
      </c>
      <c r="K1126">
        <f t="shared" si="179"/>
        <v>23.149455673991557</v>
      </c>
      <c r="L1126">
        <f>0.5*Z1126*K1126/J1126/$B$7</f>
        <v>36.568172881022591</v>
      </c>
      <c r="M1126">
        <f t="shared" si="182"/>
        <v>0.74488907387544478</v>
      </c>
      <c r="N1126" s="21">
        <f t="shared" si="186"/>
        <v>6.6373622312907721E-2</v>
      </c>
      <c r="O1126" s="21">
        <f t="shared" si="187"/>
        <v>20.357734682261274</v>
      </c>
      <c r="P1126">
        <f t="shared" si="183"/>
        <v>0.7785146634049912</v>
      </c>
      <c r="Q1126">
        <f t="shared" si="180"/>
        <v>0.47478696329681525</v>
      </c>
      <c r="R1126">
        <f t="shared" si="181"/>
        <v>0.60168473236458231</v>
      </c>
      <c r="T1126" s="21">
        <f>(M1126-M1125)/(H1126-H1125)</f>
        <v>1.3418053401501595E-3</v>
      </c>
      <c r="W1126">
        <v>1011</v>
      </c>
      <c r="X1126">
        <v>20.461161000000001</v>
      </c>
      <c r="Y1126">
        <v>1.5</v>
      </c>
      <c r="Z1126">
        <f t="shared" si="178"/>
        <v>1.5</v>
      </c>
      <c r="AA1126" s="21">
        <f>IF(X1126&gt;$B$8+$B$9,0,ABS(X1126-O1126)/X1126)</f>
        <v>5.0547629109964328E-3</v>
      </c>
      <c r="AB1126">
        <f>IF(OR(Z1123&lt;&gt;Z1129,X1126&gt;$B$8+$B$9),0,((X1129-X1123)/(W1129-W1123)-(O1129-O1123)/(W1129-W1123))^2)</f>
        <v>1.080931922765328E-5</v>
      </c>
    </row>
    <row r="1127" spans="7:28" x14ac:dyDescent="0.2">
      <c r="G1127" s="21"/>
      <c r="H1127" s="21">
        <v>1012</v>
      </c>
      <c r="I1127">
        <f t="shared" si="184"/>
        <v>2.0251770216196497E-2</v>
      </c>
      <c r="J1127">
        <f t="shared" si="185"/>
        <v>0.47414893949895276</v>
      </c>
      <c r="K1127">
        <f t="shared" si="179"/>
        <v>23.143709888663089</v>
      </c>
      <c r="L1127">
        <f>0.5*Z1127*K1127/J1127/$B$7</f>
        <v>36.608291130714747</v>
      </c>
      <c r="M1127">
        <f t="shared" si="182"/>
        <v>0.74623378829108711</v>
      </c>
      <c r="N1127" s="21">
        <f t="shared" si="186"/>
        <v>6.6426072855263266E-2</v>
      </c>
      <c r="O1127" s="21">
        <f t="shared" si="187"/>
        <v>20.377986452477469</v>
      </c>
      <c r="P1127">
        <f t="shared" si="183"/>
        <v>0.77946039560797531</v>
      </c>
      <c r="Q1127">
        <f t="shared" si="180"/>
        <v>0.47414893949895276</v>
      </c>
      <c r="R1127">
        <f t="shared" si="181"/>
        <v>0.59951072773545511</v>
      </c>
      <c r="T1127" s="21">
        <f>(M1127-M1126)/(H1127-H1126)</f>
        <v>1.344714415642323E-3</v>
      </c>
      <c r="W1127">
        <v>1012</v>
      </c>
      <c r="X1127">
        <v>20.496855</v>
      </c>
      <c r="Y1127">
        <v>1.5</v>
      </c>
      <c r="Z1127">
        <f t="shared" si="178"/>
        <v>1.5</v>
      </c>
      <c r="AA1127" s="21">
        <f>IF(X1127&gt;$B$8+$B$9,0,ABS(X1127-O1127)/X1127)</f>
        <v>5.7993554387993319E-3</v>
      </c>
      <c r="AB1127">
        <f>IF(OR(Z1124&lt;&gt;Z1130,X1127&gt;$B$8+$B$9),0,((X1130-X1124)/(W1130-W1124)-(O1130-O1124)/(W1130-W1124))^2)</f>
        <v>3.6397468108855965E-6</v>
      </c>
    </row>
    <row r="1128" spans="7:28" x14ac:dyDescent="0.2">
      <c r="G1128" s="21"/>
      <c r="H1128" s="21">
        <v>1013</v>
      </c>
      <c r="I1128">
        <f t="shared" si="184"/>
        <v>2.0279798240316903E-2</v>
      </c>
      <c r="J1128">
        <f t="shared" si="185"/>
        <v>0.4735103877231206</v>
      </c>
      <c r="K1128">
        <f t="shared" si="179"/>
        <v>23.137987732110545</v>
      </c>
      <c r="L1128">
        <f>0.5*Z1128*K1128/J1128/$B$7</f>
        <v>36.64859578377434</v>
      </c>
      <c r="M1128">
        <f t="shared" si="182"/>
        <v>0.74758142842743291</v>
      </c>
      <c r="N1128" s="21">
        <f t="shared" si="186"/>
        <v>6.6478619885449716E-2</v>
      </c>
      <c r="O1128" s="21">
        <f t="shared" si="187"/>
        <v>20.398266250717786</v>
      </c>
      <c r="P1128">
        <f t="shared" si="183"/>
        <v>0.78040691042403754</v>
      </c>
      <c r="Q1128">
        <f t="shared" si="180"/>
        <v>0.4735103877231206</v>
      </c>
      <c r="R1128">
        <f t="shared" si="181"/>
        <v>0.59735059710974214</v>
      </c>
      <c r="T1128" s="21">
        <f>(M1128-M1127)/(H1128-H1127)</f>
        <v>1.3476401363458068E-3</v>
      </c>
      <c r="W1128">
        <v>1013</v>
      </c>
      <c r="X1128">
        <v>20.506589999999999</v>
      </c>
      <c r="Y1128">
        <v>1.5</v>
      </c>
      <c r="Z1128">
        <f t="shared" si="178"/>
        <v>1.5</v>
      </c>
      <c r="AA1128" s="21">
        <f>IF(X1128&gt;$B$8+$B$9,0,ABS(X1128-O1128)/X1128)</f>
        <v>5.2823872366011878E-3</v>
      </c>
      <c r="AB1128">
        <f>IF(OR(Z1125&lt;&gt;Z1131,X1128&gt;$B$8+$B$9),0,((X1131-X1125)/(W1131-W1125)-(O1131-O1125)/(W1131-W1125))^2)</f>
        <v>1.8640621772960376E-6</v>
      </c>
    </row>
    <row r="1129" spans="7:28" x14ac:dyDescent="0.2">
      <c r="G1129" s="21"/>
      <c r="H1129" s="21">
        <v>1014</v>
      </c>
      <c r="I1129">
        <f t="shared" si="184"/>
        <v>2.0308004605295318E-2</v>
      </c>
      <c r="J1129">
        <f t="shared" si="185"/>
        <v>0.47287130448361792</v>
      </c>
      <c r="K1129">
        <f t="shared" si="179"/>
        <v>23.132289191100941</v>
      </c>
      <c r="L1129">
        <f>0.5*Z1129*K1129/J1129/$B$7</f>
        <v>36.689087979807304</v>
      </c>
      <c r="M1129">
        <f t="shared" si="182"/>
        <v>0.74893201105579521</v>
      </c>
      <c r="N1129" s="21">
        <f t="shared" si="186"/>
        <v>6.6531264234719972E-2</v>
      </c>
      <c r="O1129" s="21">
        <f t="shared" si="187"/>
        <v>20.41857425532308</v>
      </c>
      <c r="P1129">
        <f t="shared" si="183"/>
        <v>0.78135421301997521</v>
      </c>
      <c r="Q1129">
        <f t="shared" si="180"/>
        <v>0.47287130448361792</v>
      </c>
      <c r="R1129">
        <f t="shared" si="181"/>
        <v>0.59520419862800489</v>
      </c>
      <c r="T1129" s="21">
        <f>(M1129-M1128)/(H1129-H1128)</f>
        <v>1.3505826283622957E-3</v>
      </c>
      <c r="W1129">
        <v>1014</v>
      </c>
      <c r="X1129">
        <v>20.547152000000001</v>
      </c>
      <c r="Y1129">
        <v>1.5</v>
      </c>
      <c r="Z1129">
        <f t="shared" si="178"/>
        <v>1.5</v>
      </c>
      <c r="AA1129" s="21">
        <f>IF(X1129&gt;$B$8+$B$9,0,ABS(X1129-O1129)/X1129)</f>
        <v>6.2576918045343195E-3</v>
      </c>
      <c r="AB1129">
        <f>IF(OR(Z1126&lt;&gt;Z1132,X1129&gt;$B$8+$B$9),0,((X1132-X1126)/(W1132-W1126)-(O1132-O1126)/(W1132-W1126))^2)</f>
        <v>3.4276663724822004E-6</v>
      </c>
    </row>
    <row r="1130" spans="7:28" x14ac:dyDescent="0.2">
      <c r="G1130" s="21"/>
      <c r="H1130" s="21">
        <v>1015</v>
      </c>
      <c r="I1130">
        <f t="shared" si="184"/>
        <v>2.0336390425117097E-2</v>
      </c>
      <c r="J1130">
        <f t="shared" si="185"/>
        <v>0.47223168627606071</v>
      </c>
      <c r="K1130">
        <f t="shared" si="179"/>
        <v>23.126614252972661</v>
      </c>
      <c r="L1130">
        <f>0.5*Z1130*K1130/J1130/$B$7</f>
        <v>36.729768869405873</v>
      </c>
      <c r="M1130">
        <f t="shared" si="182"/>
        <v>0.75028555307494693</v>
      </c>
      <c r="N1130" s="21">
        <f t="shared" si="186"/>
        <v>6.6584006741073898E-2</v>
      </c>
      <c r="O1130" s="21">
        <f t="shared" si="187"/>
        <v>20.438910645748198</v>
      </c>
      <c r="P1130">
        <f t="shared" si="183"/>
        <v>0.78230230859027894</v>
      </c>
      <c r="Q1130">
        <f t="shared" si="180"/>
        <v>0.47223168627606071</v>
      </c>
      <c r="R1130">
        <f t="shared" si="181"/>
        <v>0.59307139232237815</v>
      </c>
      <c r="T1130" s="21">
        <f>(M1130-M1129)/(H1130-H1129)</f>
        <v>1.3535420191517211E-3</v>
      </c>
      <c r="W1130">
        <v>1015</v>
      </c>
      <c r="X1130">
        <v>20.553642</v>
      </c>
      <c r="Y1130">
        <v>1.5</v>
      </c>
      <c r="Z1130">
        <f t="shared" si="178"/>
        <v>1.5</v>
      </c>
      <c r="AA1130" s="21">
        <f>IF(X1130&gt;$B$8+$B$9,0,ABS(X1130-O1130)/X1130)</f>
        <v>5.5820449851078473E-3</v>
      </c>
      <c r="AB1130">
        <f>IF(OR(Z1127&lt;&gt;Z1133,X1130&gt;$B$8+$B$9),0,((X1133-X1127)/(W1133-W1127)-(O1133-O1127)/(W1133-W1127))^2)</f>
        <v>4.9873988447930595E-6</v>
      </c>
    </row>
    <row r="1131" spans="7:28" x14ac:dyDescent="0.2">
      <c r="G1131" s="21"/>
      <c r="H1131" s="21">
        <v>1016</v>
      </c>
      <c r="I1131">
        <f t="shared" si="184"/>
        <v>2.0364956825751145E-2</v>
      </c>
      <c r="J1131">
        <f t="shared" si="185"/>
        <v>0.47159152957718398</v>
      </c>
      <c r="K1131">
        <f t="shared" si="179"/>
        <v>23.120962905637029</v>
      </c>
      <c r="L1131">
        <f>0.5*Z1131*K1131/J1131/$B$7</f>
        <v>36.770639614275915</v>
      </c>
      <c r="M1131">
        <f t="shared" si="182"/>
        <v>0.75164207151248719</v>
      </c>
      <c r="N1131" s="21">
        <f t="shared" si="186"/>
        <v>6.6636848249341712E-2</v>
      </c>
      <c r="O1131" s="21">
        <f t="shared" si="187"/>
        <v>20.45927560257395</v>
      </c>
      <c r="P1131">
        <f t="shared" si="183"/>
        <v>0.78325120235742685</v>
      </c>
      <c r="Q1131">
        <f t="shared" si="180"/>
        <v>0.47159152957718398</v>
      </c>
      <c r="R1131">
        <f t="shared" si="181"/>
        <v>0.59095204008478652</v>
      </c>
      <c r="T1131" s="21">
        <f>(M1131-M1130)/(H1131-H1130)</f>
        <v>1.356518437540255E-3</v>
      </c>
      <c r="W1131">
        <v>1016</v>
      </c>
      <c r="X1131">
        <v>20.563376999999999</v>
      </c>
      <c r="Y1131">
        <v>1.5</v>
      </c>
      <c r="Z1131">
        <f t="shared" si="178"/>
        <v>1.5</v>
      </c>
      <c r="AA1131" s="21">
        <f>IF(X1131&gt;$B$8+$B$9,0,ABS(X1131-O1131)/X1131)</f>
        <v>5.0624660252082824E-3</v>
      </c>
      <c r="AB1131">
        <f>IF(OR(Z1128&lt;&gt;Z1134,X1131&gt;$B$8+$B$9),0,((X1134-X1128)/(W1134-W1128)-(O1134-O1128)/(W1134-W1128))^2)</f>
        <v>5.0778838209987675E-7</v>
      </c>
    </row>
    <row r="1132" spans="7:28" x14ac:dyDescent="0.2">
      <c r="G1132" s="21"/>
      <c r="H1132" s="21">
        <v>1017</v>
      </c>
      <c r="I1132">
        <f t="shared" si="184"/>
        <v>2.0393704945291413E-2</v>
      </c>
      <c r="J1132">
        <f t="shared" si="185"/>
        <v>0.47095083084463774</v>
      </c>
      <c r="K1132">
        <f t="shared" si="179"/>
        <v>23.115335137579851</v>
      </c>
      <c r="L1132">
        <f>0.5*Z1132*K1132/J1132/$B$7</f>
        <v>36.811701387366355</v>
      </c>
      <c r="M1132">
        <f t="shared" si="182"/>
        <v>0.75300158352623192</v>
      </c>
      <c r="N1132" s="21">
        <f t="shared" si="186"/>
        <v>6.6689789611269187E-2</v>
      </c>
      <c r="O1132" s="21">
        <f t="shared" si="187"/>
        <v>20.479669307519242</v>
      </c>
      <c r="P1132">
        <f t="shared" si="183"/>
        <v>0.78420089957218619</v>
      </c>
      <c r="Q1132">
        <f t="shared" si="180"/>
        <v>0.47095083084463774</v>
      </c>
      <c r="R1132">
        <f t="shared" si="181"/>
        <v>0.58884600563578737</v>
      </c>
      <c r="T1132" s="21">
        <f>(M1132-M1131)/(H1132-H1131)</f>
        <v>1.3595120137447347E-3</v>
      </c>
      <c r="W1132">
        <v>1017</v>
      </c>
      <c r="X1132">
        <v>20.594203999999998</v>
      </c>
      <c r="Y1132">
        <v>1.5</v>
      </c>
      <c r="Z1132">
        <f t="shared" si="178"/>
        <v>1.5</v>
      </c>
      <c r="AA1132" s="21">
        <f>IF(X1132&gt;$B$8+$B$9,0,ABS(X1132-O1132)/X1132)</f>
        <v>5.5615013078804216E-3</v>
      </c>
      <c r="AB1132">
        <f>IF(OR(Z1129&lt;&gt;Z1135,X1132&gt;$B$8+$B$9),0,((X1135-X1129)/(W1135-W1129)-(O1135-O1129)/(W1135-W1129))^2)</f>
        <v>3.371252022786648E-5</v>
      </c>
    </row>
    <row r="1133" spans="7:28" x14ac:dyDescent="0.2">
      <c r="G1133" s="21"/>
      <c r="H1133" s="21">
        <v>1018</v>
      </c>
      <c r="I1133">
        <f t="shared" si="184"/>
        <v>2.0422635934101239E-2</v>
      </c>
      <c r="J1133">
        <f t="shared" si="185"/>
        <v>0.47030958651678256</v>
      </c>
      <c r="K1133">
        <f t="shared" si="179"/>
        <v>23.109730937863027</v>
      </c>
      <c r="L1133">
        <f>0.5*Z1133*K1133/J1133/$B$7</f>
        <v>36.852955373000427</v>
      </c>
      <c r="M1133">
        <f t="shared" si="182"/>
        <v>0.75436410640562146</v>
      </c>
      <c r="N1133" s="21">
        <f t="shared" si="186"/>
        <v>6.6742831685603798E-2</v>
      </c>
      <c r="O1133" s="21">
        <f t="shared" si="187"/>
        <v>20.500091943453342</v>
      </c>
      <c r="P1133">
        <f t="shared" si="183"/>
        <v>0.78515140551391638</v>
      </c>
      <c r="Q1133">
        <f t="shared" si="180"/>
        <v>0.47030958651678256</v>
      </c>
      <c r="R1133">
        <f t="shared" si="181"/>
        <v>0.58675315449403853</v>
      </c>
      <c r="T1133" s="21">
        <f>(M1133-M1132)/(H1133-H1132)</f>
        <v>1.3625228793895383E-3</v>
      </c>
      <c r="W1133">
        <v>1018</v>
      </c>
      <c r="X1133">
        <v>20.605560999999998</v>
      </c>
      <c r="Y1133">
        <v>1.5</v>
      </c>
      <c r="Z1133">
        <f t="shared" si="178"/>
        <v>1.5</v>
      </c>
      <c r="AA1133" s="21">
        <f>IF(X1133&gt;$B$8+$B$9,0,ABS(X1133-O1133)/X1133)</f>
        <v>5.1184753740340537E-3</v>
      </c>
      <c r="AB1133">
        <f>IF(OR(Z1130&lt;&gt;Z1136,X1133&gt;$B$8+$B$9),0,((X1136-X1130)/(W1136-W1130)-(O1136-O1130)/(W1136-W1130))^2)</f>
        <v>2.2758928930818476E-6</v>
      </c>
    </row>
    <row r="1134" spans="7:28" x14ac:dyDescent="0.2">
      <c r="G1134" s="21"/>
      <c r="H1134" s="21">
        <v>1019</v>
      </c>
      <c r="I1134">
        <f t="shared" si="184"/>
        <v>2.0451750954959508E-2</v>
      </c>
      <c r="J1134">
        <f t="shared" si="185"/>
        <v>0.46966779301248296</v>
      </c>
      <c r="K1134">
        <f t="shared" si="179"/>
        <v>23.104150296126253</v>
      </c>
      <c r="L1134">
        <f>0.5*Z1134*K1134/J1134/$B$7</f>
        <v>36.894402767008849</v>
      </c>
      <c r="M1134">
        <f t="shared" si="182"/>
        <v>0.75572965757314414</v>
      </c>
      <c r="N1134" s="21">
        <f t="shared" si="186"/>
        <v>6.6795975338182018E-2</v>
      </c>
      <c r="O1134" s="21">
        <f t="shared" si="187"/>
        <v>20.5205436944083</v>
      </c>
      <c r="P1134">
        <f t="shared" si="183"/>
        <v>0.78610272549087579</v>
      </c>
      <c r="Q1134">
        <f t="shared" si="180"/>
        <v>0.46966779301248296</v>
      </c>
      <c r="R1134">
        <f t="shared" si="181"/>
        <v>0.5846733539463701</v>
      </c>
      <c r="T1134" s="21">
        <f>(M1134-M1133)/(H1134-H1133)</f>
        <v>1.3655511675226828E-3</v>
      </c>
      <c r="W1134">
        <v>1019</v>
      </c>
      <c r="X1134">
        <v>20.633143</v>
      </c>
      <c r="Y1134">
        <v>1.5</v>
      </c>
      <c r="Z1134">
        <f t="shared" si="178"/>
        <v>1.5</v>
      </c>
      <c r="AA1134" s="21">
        <f>IF(X1134&gt;$B$8+$B$9,0,ABS(X1134-O1134)/X1134)</f>
        <v>5.4572057001543934E-3</v>
      </c>
      <c r="AB1134">
        <f>IF(OR(Z1131&lt;&gt;Z1137,X1134&gt;$B$8+$B$9),0,((X1137-X1131)/(W1137-W1131)-(O1137-O1131)/(W1137-W1131))^2)</f>
        <v>3.4527390839557637E-8</v>
      </c>
    </row>
    <row r="1135" spans="7:28" x14ac:dyDescent="0.2">
      <c r="G1135" s="21"/>
      <c r="H1135" s="21">
        <v>1020</v>
      </c>
      <c r="I1135">
        <f t="shared" si="184"/>
        <v>2.0481051183209226E-2</v>
      </c>
      <c r="J1135">
        <f t="shared" si="185"/>
        <v>0.46902544673089774</v>
      </c>
      <c r="K1135">
        <f t="shared" si="179"/>
        <v>23.098593202588724</v>
      </c>
      <c r="L1135">
        <f>0.5*Z1135*K1135/J1135/$B$7</f>
        <v>36.936044776864989</v>
      </c>
      <c r="M1135">
        <f t="shared" si="182"/>
        <v>0.7570982545857815</v>
      </c>
      <c r="N1135" s="21">
        <f t="shared" si="186"/>
        <v>6.6849221442018034E-2</v>
      </c>
      <c r="O1135" s="21">
        <f t="shared" si="187"/>
        <v>20.54102474559151</v>
      </c>
      <c r="P1135">
        <f t="shared" si="183"/>
        <v>0.78705486484053255</v>
      </c>
      <c r="Q1135">
        <f t="shared" si="180"/>
        <v>0.46902544673089774</v>
      </c>
      <c r="R1135">
        <f t="shared" si="181"/>
        <v>0.58260647301844903</v>
      </c>
      <c r="T1135" s="21">
        <f>(M1135-M1134)/(H1135-H1134)</f>
        <v>1.3685970126373626E-3</v>
      </c>
      <c r="W1135">
        <v>1020</v>
      </c>
      <c r="X1135">
        <v>20.634764999999998</v>
      </c>
      <c r="Y1135">
        <v>1.5</v>
      </c>
      <c r="Z1135">
        <f t="shared" si="178"/>
        <v>1.5</v>
      </c>
      <c r="AA1135" s="21">
        <f>IF(X1135&gt;$B$8+$B$9,0,ABS(X1135-O1135)/X1135)</f>
        <v>4.5428312078420836E-3</v>
      </c>
      <c r="AB1135">
        <f>IF(OR(Z1132&lt;&gt;Z1138,X1135&gt;$B$8+$B$9),0,((X1138-X1132)/(W1138-W1132)-(O1138-O1132)/(W1138-W1132))^2)</f>
        <v>3.3771798594803112E-6</v>
      </c>
    </row>
    <row r="1136" spans="7:28" x14ac:dyDescent="0.2">
      <c r="G1136" s="21"/>
      <c r="H1136" s="21">
        <v>1021</v>
      </c>
      <c r="I1136">
        <f t="shared" si="184"/>
        <v>2.0510537806908404E-2</v>
      </c>
      <c r="J1136">
        <f t="shared" si="185"/>
        <v>0.46838254405126811</v>
      </c>
      <c r="K1136">
        <f t="shared" si="179"/>
        <v>23.093059648050943</v>
      </c>
      <c r="L1136">
        <f>0.5*Z1136*K1136/J1136/$B$7</f>
        <v>36.97788262182209</v>
      </c>
      <c r="M1136">
        <f t="shared" si="182"/>
        <v>0.75846991513647188</v>
      </c>
      <c r="N1136" s="21">
        <f t="shared" si="186"/>
        <v>6.6902570877393666E-2</v>
      </c>
      <c r="O1136" s="21">
        <f t="shared" si="187"/>
        <v>20.56153528339842</v>
      </c>
      <c r="P1136">
        <f t="shared" si="183"/>
        <v>0.78800782892987764</v>
      </c>
      <c r="Q1136">
        <f t="shared" si="180"/>
        <v>0.46838254405126811</v>
      </c>
      <c r="R1136">
        <f t="shared" si="181"/>
        <v>0.5805523824460227</v>
      </c>
      <c r="T1136" s="21">
        <f>(M1136-M1135)/(H1136-H1135)</f>
        <v>1.371660550690379E-3</v>
      </c>
      <c r="W1136">
        <v>1021</v>
      </c>
      <c r="X1136">
        <v>20.667214999999999</v>
      </c>
      <c r="Y1136">
        <v>1.5</v>
      </c>
      <c r="Z1136">
        <f t="shared" si="178"/>
        <v>1.5</v>
      </c>
      <c r="AA1136" s="21">
        <f>IF(X1136&gt;$B$8+$B$9,0,ABS(X1136-O1136)/X1136)</f>
        <v>5.1133990042479547E-3</v>
      </c>
      <c r="AB1136">
        <f>IF(OR(Z1133&lt;&gt;Z1139,X1136&gt;$B$8+$B$9),0,((X1139-X1133)/(W1139-W1133)-(O1139-O1133)/(W1139-W1133))^2)</f>
        <v>7.0035832768286539E-7</v>
      </c>
    </row>
    <row r="1137" spans="7:28" x14ac:dyDescent="0.2">
      <c r="G1137" s="21"/>
      <c r="H1137" s="21">
        <v>1022</v>
      </c>
      <c r="I1137">
        <f t="shared" si="184"/>
        <v>2.0540212026983338E-2</v>
      </c>
      <c r="J1137">
        <f t="shared" si="185"/>
        <v>0.46773908133270414</v>
      </c>
      <c r="K1137">
        <f t="shared" si="179"/>
        <v>23.087549623896553</v>
      </c>
      <c r="L1137">
        <f>0.5*Z1137*K1137/J1137/$B$7</f>
        <v>37.019917533052443</v>
      </c>
      <c r="M1137">
        <f t="shared" si="182"/>
        <v>0.75984465705559134</v>
      </c>
      <c r="N1137" s="21">
        <f t="shared" si="186"/>
        <v>6.6956024531949432E-2</v>
      </c>
      <c r="O1137" s="21">
        <f t="shared" si="187"/>
        <v>20.582075495425403</v>
      </c>
      <c r="P1137">
        <f t="shared" si="183"/>
        <v>0.78896162315574248</v>
      </c>
      <c r="Q1137">
        <f t="shared" si="180"/>
        <v>0.46773908133270414</v>
      </c>
      <c r="R1137">
        <f t="shared" si="181"/>
        <v>0.57851095464672642</v>
      </c>
      <c r="T1137" s="21">
        <f>(M1137-M1136)/(H1137-H1136)</f>
        <v>1.3747419191194599E-3</v>
      </c>
      <c r="W1137">
        <v>1022</v>
      </c>
      <c r="X1137">
        <v>20.685061999999999</v>
      </c>
      <c r="Y1137">
        <v>1.5</v>
      </c>
      <c r="Z1137">
        <f t="shared" si="178"/>
        <v>1.5</v>
      </c>
      <c r="AA1137" s="21">
        <f>IF(X1137&gt;$B$8+$B$9,0,ABS(X1137-O1137)/X1137)</f>
        <v>4.9787863616069907E-3</v>
      </c>
      <c r="AB1137">
        <f>IF(OR(Z1134&lt;&gt;Z1140,X1137&gt;$B$8+$B$9),0,((X1140-X1134)/(W1140-W1134)-(O1140-O1134)/(W1140-W1134))^2)</f>
        <v>3.5988471854204258E-6</v>
      </c>
    </row>
    <row r="1138" spans="7:28" x14ac:dyDescent="0.2">
      <c r="G1138" s="21"/>
      <c r="H1138" s="21">
        <v>1023</v>
      </c>
      <c r="I1138">
        <f t="shared" si="184"/>
        <v>2.057007505738408E-2</v>
      </c>
      <c r="J1138">
        <f t="shared" si="185"/>
        <v>0.46709505491396741</v>
      </c>
      <c r="K1138">
        <f t="shared" si="179"/>
        <v>23.082063122094223</v>
      </c>
      <c r="L1138">
        <f>0.5*Z1138*K1138/J1138/$B$7</f>
        <v>37.062150753788686</v>
      </c>
      <c r="M1138">
        <f t="shared" si="182"/>
        <v>0.76122249831245847</v>
      </c>
      <c r="N1138" s="21">
        <f t="shared" si="186"/>
        <v>6.7009583300777192E-2</v>
      </c>
      <c r="O1138" s="21">
        <f t="shared" si="187"/>
        <v>20.602645570482789</v>
      </c>
      <c r="P1138">
        <f t="shared" si="183"/>
        <v>0.78991625294512091</v>
      </c>
      <c r="Q1138">
        <f t="shared" si="180"/>
        <v>0.46709505491396741</v>
      </c>
      <c r="R1138">
        <f t="shared" si="181"/>
        <v>0.57648206369244126</v>
      </c>
      <c r="T1138" s="21">
        <f>(M1138-M1137)/(H1138-H1137)</f>
        <v>1.3778412568671294E-3</v>
      </c>
      <c r="W1138">
        <v>1023</v>
      </c>
      <c r="X1138">
        <v>20.706153999999998</v>
      </c>
      <c r="Y1138">
        <v>1.5</v>
      </c>
      <c r="Z1138">
        <f t="shared" si="178"/>
        <v>1.5</v>
      </c>
      <c r="AA1138" s="21">
        <f>IF(X1138&gt;$B$8+$B$9,0,ABS(X1138-O1138)/X1138)</f>
        <v>4.9989210703836684E-3</v>
      </c>
      <c r="AB1138">
        <f>IF(OR(Z1135&lt;&gt;Z1141,X1138&gt;$B$8+$B$9),0,((X1141-X1135)/(W1141-W1135)-(O1141-O1135)/(W1141-W1135))^2)</f>
        <v>4.5339647411478039E-6</v>
      </c>
    </row>
    <row r="1139" spans="7:28" x14ac:dyDescent="0.2">
      <c r="G1139" s="21"/>
      <c r="H1139" s="21">
        <v>1024</v>
      </c>
      <c r="I1139">
        <f t="shared" si="184"/>
        <v>2.0600128125242721E-2</v>
      </c>
      <c r="J1139">
        <f t="shared" si="185"/>
        <v>0.46645046111325272</v>
      </c>
      <c r="K1139">
        <f t="shared" si="179"/>
        <v>23.076600135199627</v>
      </c>
      <c r="L1139">
        <f>0.5*Z1139*K1139/J1139/$B$7</f>
        <v>37.104583539467278</v>
      </c>
      <c r="M1139">
        <f t="shared" si="182"/>
        <v>0.76260345701685461</v>
      </c>
      <c r="N1139" s="21">
        <f t="shared" si="186"/>
        <v>6.7063248086513844E-2</v>
      </c>
      <c r="O1139" s="21">
        <f t="shared" si="187"/>
        <v>20.623245698608031</v>
      </c>
      <c r="P1139">
        <f t="shared" si="183"/>
        <v>0.7908717237554922</v>
      </c>
      <c r="Q1139">
        <f t="shared" si="180"/>
        <v>0.46645046111325272</v>
      </c>
      <c r="R1139">
        <f t="shared" si="181"/>
        <v>0.57446558528219682</v>
      </c>
      <c r="T1139" s="21">
        <f>(M1139-M1138)/(H1139-H1138)</f>
        <v>1.3809587043961402E-3</v>
      </c>
      <c r="W1139">
        <v>1024</v>
      </c>
      <c r="X1139">
        <v>20.733736</v>
      </c>
      <c r="Y1139">
        <v>1.5</v>
      </c>
      <c r="Z1139">
        <f t="shared" si="178"/>
        <v>1.5</v>
      </c>
      <c r="AA1139" s="21">
        <f>IF(X1139&gt;$B$8+$B$9,0,ABS(X1139-O1139)/X1139)</f>
        <v>5.3290107191472673E-3</v>
      </c>
      <c r="AB1139">
        <f>IF(OR(Z1136&lt;&gt;Z1142,X1139&gt;$B$8+$B$9),0,((X1142-X1136)/(W1142-W1136)-(O1142-O1136)/(W1142-W1136))^2)</f>
        <v>7.6637036383696374E-6</v>
      </c>
    </row>
    <row r="1140" spans="7:28" x14ac:dyDescent="0.2">
      <c r="G1140" s="21"/>
      <c r="H1140" s="21">
        <v>1025</v>
      </c>
      <c r="I1140">
        <f t="shared" si="184"/>
        <v>2.0630372471033772E-2</v>
      </c>
      <c r="J1140">
        <f t="shared" si="185"/>
        <v>0.46580529622796574</v>
      </c>
      <c r="K1140">
        <f t="shared" si="179"/>
        <v>23.071160656357442</v>
      </c>
      <c r="L1140">
        <f>0.5*Z1140*K1140/J1140/$B$7</f>
        <v>37.147217157874017</v>
      </c>
      <c r="M1140">
        <f t="shared" si="182"/>
        <v>0.76398755142056873</v>
      </c>
      <c r="N1140" s="21">
        <f t="shared" si="186"/>
        <v>6.71170197994366E-2</v>
      </c>
      <c r="O1140" s="21">
        <f t="shared" si="187"/>
        <v>20.643876071079063</v>
      </c>
      <c r="P1140">
        <f t="shared" si="183"/>
        <v>0.79182804107515103</v>
      </c>
      <c r="Q1140">
        <f t="shared" si="180"/>
        <v>0.46580529622796574</v>
      </c>
      <c r="R1140">
        <f t="shared" si="181"/>
        <v>0.57246139671559393</v>
      </c>
      <c r="T1140" s="21">
        <f>(M1140-M1139)/(H1140-H1139)</f>
        <v>1.3840944037141201E-3</v>
      </c>
      <c r="W1140">
        <v>1025</v>
      </c>
      <c r="X1140">
        <v>20.745093000000001</v>
      </c>
      <c r="Y1140">
        <v>1.5</v>
      </c>
      <c r="Z1140">
        <f t="shared" si="178"/>
        <v>1.5</v>
      </c>
      <c r="AA1140" s="21">
        <f>IF(X1140&gt;$B$8+$B$9,0,ABS(X1140-O1140)/X1140)</f>
        <v>4.879078099140721E-3</v>
      </c>
      <c r="AB1140">
        <f>IF(OR(Z1137&lt;&gt;Z1143,X1140&gt;$B$8+$B$9),0,((X1143-X1137)/(W1143-W1137)-(O1143-O1137)/(W1143-W1137))^2)</f>
        <v>3.9502164136612041E-6</v>
      </c>
    </row>
    <row r="1141" spans="7:28" x14ac:dyDescent="0.2">
      <c r="G1141" s="21"/>
      <c r="H1141" s="21">
        <v>1026</v>
      </c>
      <c r="I1141">
        <f t="shared" si="184"/>
        <v>2.066080934873734E-2</v>
      </c>
      <c r="J1141">
        <f t="shared" si="185"/>
        <v>0.46515955653449992</v>
      </c>
      <c r="K1141">
        <f t="shared" si="179"/>
        <v>23.065744679303428</v>
      </c>
      <c r="L1141">
        <f>0.5*Z1141*K1141/J1141/$B$7</f>
        <v>37.190052889291799</v>
      </c>
      <c r="M1141">
        <f t="shared" si="182"/>
        <v>0.76537479991895829</v>
      </c>
      <c r="N1141" s="21">
        <f t="shared" si="186"/>
        <v>6.7170899357559447E-2</v>
      </c>
      <c r="O1141" s="21">
        <f t="shared" si="187"/>
        <v>20.6645368804278</v>
      </c>
      <c r="P1141">
        <f t="shared" si="183"/>
        <v>0.79278521042353856</v>
      </c>
      <c r="Q1141">
        <f t="shared" si="180"/>
        <v>0.46515955653449992</v>
      </c>
      <c r="R1141">
        <f t="shared" si="181"/>
        <v>0.57046937686674881</v>
      </c>
      <c r="T1141" s="21">
        <f>(M1141-M1140)/(H1141-H1140)</f>
        <v>1.3872484983895594E-3</v>
      </c>
      <c r="W1141">
        <v>1026</v>
      </c>
      <c r="X1141">
        <v>20.771052999999998</v>
      </c>
      <c r="Y1141">
        <v>1.5</v>
      </c>
      <c r="Z1141">
        <f t="shared" si="178"/>
        <v>1.5</v>
      </c>
      <c r="AA1141" s="21">
        <f>IF(X1141&gt;$B$8+$B$9,0,ABS(X1141-O1141)/X1141)</f>
        <v>5.1281039806791899E-3</v>
      </c>
      <c r="AB1141">
        <f>IF(OR(Z1138&lt;&gt;Z1144,X1141&gt;$B$8+$B$9),0,((X1144-X1138)/(W1144-W1138)-(O1144-O1138)/(W1144-W1138))^2)</f>
        <v>5.2367010831985284E-6</v>
      </c>
    </row>
    <row r="1142" spans="7:28" x14ac:dyDescent="0.2">
      <c r="G1142" s="21"/>
      <c r="H1142" s="21">
        <v>1027</v>
      </c>
      <c r="I1142">
        <f t="shared" si="184"/>
        <v>2.069144002600469E-2</v>
      </c>
      <c r="J1142">
        <f t="shared" si="185"/>
        <v>0.4645132382880085</v>
      </c>
      <c r="K1142">
        <f t="shared" si="179"/>
        <v>23.060352198366537</v>
      </c>
      <c r="L1142">
        <f>0.5*Z1142*K1142/J1142/$B$7</f>
        <v>37.23309202665061</v>
      </c>
      <c r="M1142">
        <f t="shared" si="182"/>
        <v>0.76676522105253675</v>
      </c>
      <c r="N1142" s="21">
        <f t="shared" si="186"/>
        <v>6.7224887686731211E-2</v>
      </c>
      <c r="O1142" s="21">
        <f t="shared" si="187"/>
        <v>20.685228320453806</v>
      </c>
      <c r="P1142">
        <f t="shared" si="183"/>
        <v>0.79374323735157948</v>
      </c>
      <c r="Q1142">
        <f t="shared" si="180"/>
        <v>0.4645132382880085</v>
      </c>
      <c r="R1142">
        <f t="shared" si="181"/>
        <v>0.568489406158735</v>
      </c>
      <c r="T1142" s="21">
        <f>(M1142-M1141)/(H1142-H1141)</f>
        <v>1.3904211335784566E-3</v>
      </c>
      <c r="W1142">
        <v>1027</v>
      </c>
      <c r="X1142">
        <v>20.774297999999998</v>
      </c>
      <c r="Y1142">
        <v>1.5</v>
      </c>
      <c r="Z1142">
        <f t="shared" si="178"/>
        <v>1.5</v>
      </c>
      <c r="AA1142" s="21">
        <f>IF(X1142&gt;$B$8+$B$9,0,ABS(X1142-O1142)/X1142)</f>
        <v>4.2874940730219645E-3</v>
      </c>
      <c r="AB1142">
        <f>IF(OR(Z1139&lt;&gt;Z1145,X1142&gt;$B$8+$B$9),0,((X1145-X1139)/(W1145-W1139)-(O1145-O1139)/(W1145-W1139))^2)</f>
        <v>8.1792980722306881E-6</v>
      </c>
    </row>
    <row r="1143" spans="7:28" x14ac:dyDescent="0.2">
      <c r="G1143" s="21"/>
      <c r="H1143" s="21">
        <v>1028</v>
      </c>
      <c r="I1143">
        <f t="shared" si="184"/>
        <v>2.0722265784326538E-2</v>
      </c>
      <c r="J1143">
        <f t="shared" si="185"/>
        <v>0.46386633772217656</v>
      </c>
      <c r="K1143">
        <f t="shared" si="179"/>
        <v>23.054983208471135</v>
      </c>
      <c r="L1143">
        <f>0.5*Z1143*K1143/J1143/$B$7</f>
        <v>37.276335875679763</v>
      </c>
      <c r="M1143">
        <f t="shared" si="182"/>
        <v>0.76815883350857661</v>
      </c>
      <c r="N1143" s="21">
        <f t="shared" si="186"/>
        <v>6.7278985720734832E-2</v>
      </c>
      <c r="O1143" s="21">
        <f t="shared" si="187"/>
        <v>20.705950586238131</v>
      </c>
      <c r="P1143">
        <f t="shared" si="183"/>
        <v>0.79470212744202051</v>
      </c>
      <c r="Q1143">
        <f t="shared" si="180"/>
        <v>0.46386633772217656</v>
      </c>
      <c r="R1143">
        <f t="shared" si="181"/>
        <v>0.56652136653852425</v>
      </c>
      <c r="T1143" s="21">
        <f>(M1143-M1142)/(H1143-H1142)</f>
        <v>1.3936124560398611E-3</v>
      </c>
      <c r="W1143">
        <v>1028</v>
      </c>
      <c r="X1143">
        <v>20.797011999999999</v>
      </c>
      <c r="Y1143">
        <v>1.5</v>
      </c>
      <c r="Z1143">
        <f t="shared" si="178"/>
        <v>1.5</v>
      </c>
      <c r="AA1143" s="21">
        <f>IF(X1143&gt;$B$8+$B$9,0,ABS(X1143-O1143)/X1143)</f>
        <v>4.3785815847905115E-3</v>
      </c>
      <c r="AB1143">
        <f>IF(OR(Z1140&lt;&gt;Z1146,X1143&gt;$B$8+$B$9),0,((X1146-X1140)/(W1146-W1140)-(O1146-O1140)/(W1146-W1140))^2)</f>
        <v>2.0903753832353481E-7</v>
      </c>
    </row>
    <row r="1144" spans="7:28" x14ac:dyDescent="0.2">
      <c r="G1144" s="21"/>
      <c r="H1144" s="21">
        <v>1029</v>
      </c>
      <c r="I1144">
        <f t="shared" si="184"/>
        <v>2.0753287919204021E-2</v>
      </c>
      <c r="J1144">
        <f t="shared" si="185"/>
        <v>0.4632188510489883</v>
      </c>
      <c r="K1144">
        <f t="shared" si="179"/>
        <v>23.049637705139233</v>
      </c>
      <c r="L1144">
        <f>0.5*Z1144*K1144/J1144/$B$7</f>
        <v>37.319785755062441</v>
      </c>
      <c r="M1144">
        <f t="shared" si="182"/>
        <v>0.76955565612273824</v>
      </c>
      <c r="N1144" s="21">
        <f t="shared" si="186"/>
        <v>6.7333194401388241E-2</v>
      </c>
      <c r="O1144" s="21">
        <f t="shared" si="187"/>
        <v>20.726703874157334</v>
      </c>
      <c r="P1144">
        <f t="shared" si="183"/>
        <v>0.79566188630977552</v>
      </c>
      <c r="Q1144">
        <f t="shared" si="180"/>
        <v>0.4632188510489883</v>
      </c>
      <c r="R1144">
        <f t="shared" si="181"/>
        <v>0.564565141452401</v>
      </c>
      <c r="T1144" s="21">
        <f>(M1144-M1143)/(H1144-H1143)</f>
        <v>1.3968226141616302E-3</v>
      </c>
      <c r="W1144">
        <v>1029</v>
      </c>
      <c r="X1144">
        <v>20.816482000000001</v>
      </c>
      <c r="Y1144">
        <v>1.5</v>
      </c>
      <c r="Z1144">
        <f t="shared" si="178"/>
        <v>1.5</v>
      </c>
      <c r="AA1144" s="21">
        <f>IF(X1144&gt;$B$8+$B$9,0,ABS(X1144-O1144)/X1144)</f>
        <v>4.3128385402810554E-3</v>
      </c>
      <c r="AB1144">
        <f>IF(OR(Z1141&lt;&gt;Z1147,X1144&gt;$B$8+$B$9),0,((X1147-X1141)/(W1147-W1141)-(O1147-O1141)/(W1147-W1141))^2)</f>
        <v>5.6699338938464855E-6</v>
      </c>
    </row>
    <row r="1145" spans="7:28" x14ac:dyDescent="0.2">
      <c r="G1145" s="21"/>
      <c r="H1145" s="21">
        <v>1030</v>
      </c>
      <c r="I1145">
        <f t="shared" si="184"/>
        <v>2.0784507740322214E-2</v>
      </c>
      <c r="J1145">
        <f t="shared" si="185"/>
        <v>0.46257077445849182</v>
      </c>
      <c r="K1145">
        <f t="shared" si="179"/>
        <v>23.044315684492794</v>
      </c>
      <c r="L1145">
        <f>0.5*Z1145*K1145/J1145/$B$7</f>
        <v>37.363442996592696</v>
      </c>
      <c r="M1145">
        <f t="shared" si="182"/>
        <v>0.77095570788072065</v>
      </c>
      <c r="N1145" s="21">
        <f t="shared" si="186"/>
        <v>6.7387514678646759E-2</v>
      </c>
      <c r="O1145" s="21">
        <f t="shared" si="187"/>
        <v>20.747488381897657</v>
      </c>
      <c r="P1145">
        <f t="shared" si="183"/>
        <v>0.79662251960227337</v>
      </c>
      <c r="Q1145">
        <f t="shared" si="180"/>
        <v>0.46257077445849182</v>
      </c>
      <c r="R1145">
        <f t="shared" si="181"/>
        <v>0.56262061582185108</v>
      </c>
      <c r="T1145" s="21">
        <f>(M1145-M1144)/(H1145-H1144)</f>
        <v>1.4000517579824123E-3</v>
      </c>
      <c r="W1145">
        <v>1030</v>
      </c>
      <c r="X1145">
        <v>20.840819</v>
      </c>
      <c r="Y1145">
        <v>1.5</v>
      </c>
      <c r="Z1145">
        <f t="shared" si="178"/>
        <v>1.5</v>
      </c>
      <c r="AA1145" s="21">
        <f>IF(X1145&gt;$B$8+$B$9,0,ABS(X1145-O1145)/X1145)</f>
        <v>4.4782605761483057E-3</v>
      </c>
      <c r="AB1145">
        <f>IF(OR(Z1142&lt;&gt;Z1148,X1145&gt;$B$8+$B$9),0,((X1148-X1142)/(W1148-W1142)-(O1148-O1142)/(W1148-W1142))^2)</f>
        <v>2.7016946800062766E-6</v>
      </c>
    </row>
    <row r="1146" spans="7:28" x14ac:dyDescent="0.2">
      <c r="G1146" s="21"/>
      <c r="H1146" s="21">
        <v>1031</v>
      </c>
      <c r="I1146">
        <f t="shared" si="184"/>
        <v>2.0815926571726703E-2</v>
      </c>
      <c r="J1146">
        <f t="shared" si="185"/>
        <v>0.46192210411856283</v>
      </c>
      <c r="K1146">
        <f t="shared" si="179"/>
        <v>23.03901714325611</v>
      </c>
      <c r="L1146">
        <f>0.5*Z1146*K1146/J1146/$B$7</f>
        <v>37.407308945334577</v>
      </c>
      <c r="M1146">
        <f t="shared" si="182"/>
        <v>0.77235900791993128</v>
      </c>
      <c r="N1146" s="21">
        <f t="shared" si="186"/>
        <v>6.744194751070684E-2</v>
      </c>
      <c r="O1146" s="21">
        <f t="shared" si="187"/>
        <v>20.768304308469382</v>
      </c>
      <c r="P1146">
        <f t="shared" si="183"/>
        <v>0.79758403299980929</v>
      </c>
      <c r="Q1146">
        <f t="shared" si="180"/>
        <v>0.46192210411856283</v>
      </c>
      <c r="R1146">
        <f t="shared" si="181"/>
        <v>0.56068767601991087</v>
      </c>
      <c r="T1146" s="21">
        <f>(M1146-M1145)/(H1146-H1145)</f>
        <v>1.403300039210631E-3</v>
      </c>
      <c r="W1146">
        <v>1031</v>
      </c>
      <c r="X1146">
        <v>20.866778</v>
      </c>
      <c r="Y1146">
        <v>1.5</v>
      </c>
      <c r="Z1146">
        <f t="shared" si="178"/>
        <v>1.5</v>
      </c>
      <c r="AA1146" s="21">
        <f>IF(X1146&gt;$B$8+$B$9,0,ABS(X1146-O1146)/X1146)</f>
        <v>4.7191613161657207E-3</v>
      </c>
      <c r="AB1146">
        <f>IF(OR(Z1143&lt;&gt;Z1149,X1146&gt;$B$8+$B$9),0,((X1149-X1143)/(W1149-W1143)-(O1149-O1143)/(W1149-W1143))^2)</f>
        <v>6.4159427028016091E-7</v>
      </c>
    </row>
    <row r="1147" spans="7:28" x14ac:dyDescent="0.2">
      <c r="G1147" s="21"/>
      <c r="H1147" s="21">
        <v>1032</v>
      </c>
      <c r="I1147">
        <f t="shared" si="184"/>
        <v>2.0847545752002566E-2</v>
      </c>
      <c r="J1147">
        <f t="shared" si="185"/>
        <v>0.4612728361746633</v>
      </c>
      <c r="K1147">
        <f t="shared" si="179"/>
        <v>23.033742078758241</v>
      </c>
      <c r="L1147">
        <f>0.5*Z1147*K1147/J1147/$B$7</f>
        <v>37.451384959783972</v>
      </c>
      <c r="M1147">
        <f t="shared" si="182"/>
        <v>0.77376557553118286</v>
      </c>
      <c r="N1147" s="21">
        <f t="shared" si="186"/>
        <v>6.7496493864111454E-2</v>
      </c>
      <c r="O1147" s="21">
        <f t="shared" si="187"/>
        <v>20.789151854221384</v>
      </c>
      <c r="P1147">
        <f t="shared" si="183"/>
        <v>0.7985464322159016</v>
      </c>
      <c r="Q1147">
        <f t="shared" si="180"/>
        <v>0.4612728361746633</v>
      </c>
      <c r="R1147">
        <f t="shared" si="181"/>
        <v>0.55876620984796288</v>
      </c>
      <c r="T1147" s="21">
        <f>(M1147-M1146)/(H1147-H1146)</f>
        <v>1.4065676112515746E-3</v>
      </c>
      <c r="W1147">
        <v>1032</v>
      </c>
      <c r="X1147">
        <v>20.881381000000001</v>
      </c>
      <c r="Y1147">
        <v>1.5</v>
      </c>
      <c r="Z1147">
        <f t="shared" si="178"/>
        <v>1.5</v>
      </c>
      <c r="AA1147" s="21">
        <f>IF(X1147&gt;$B$8+$B$9,0,ABS(X1147-O1147)/X1147)</f>
        <v>4.4168125555784496E-3</v>
      </c>
      <c r="AB1147">
        <f>IF(OR(Z1144&lt;&gt;Z1150,X1147&gt;$B$8+$B$9),0,((X1150-X1144)/(W1150-W1144)-(O1150-O1144)/(W1150-W1144))^2)</f>
        <v>1.7689914411634667E-9</v>
      </c>
    </row>
    <row r="1148" spans="7:28" x14ac:dyDescent="0.2">
      <c r="G1148" s="21"/>
      <c r="H1148" s="21">
        <v>1033</v>
      </c>
      <c r="I1148">
        <f t="shared" si="184"/>
        <v>2.0879366634456623E-2</v>
      </c>
      <c r="J1148">
        <f t="shared" si="185"/>
        <v>0.46062296674959902</v>
      </c>
      <c r="K1148">
        <f t="shared" si="179"/>
        <v>23.028490488935514</v>
      </c>
      <c r="L1148">
        <f>0.5*Z1148*K1148/J1148/$B$7</f>
        <v>37.495672412032782</v>
      </c>
      <c r="M1148">
        <f t="shared" si="182"/>
        <v>0.77517543016041057</v>
      </c>
      <c r="N1148" s="21">
        <f t="shared" si="186"/>
        <v>6.7551154713856934E-2</v>
      </c>
      <c r="O1148" s="21">
        <f t="shared" si="187"/>
        <v>20.810031220855841</v>
      </c>
      <c r="P1148">
        <f t="shared" si="183"/>
        <v>0.79950972299765155</v>
      </c>
      <c r="Q1148">
        <f t="shared" si="180"/>
        <v>0.46062296674959902</v>
      </c>
      <c r="R1148">
        <f t="shared" si="181"/>
        <v>0.55685610651297412</v>
      </c>
      <c r="T1148" s="21">
        <f>(M1148-M1147)/(H1148-H1147)</f>
        <v>1.4098546292277137E-3</v>
      </c>
      <c r="W1148">
        <v>1033</v>
      </c>
      <c r="X1148">
        <v>20.908963</v>
      </c>
      <c r="Y1148">
        <v>1.5</v>
      </c>
      <c r="Z1148">
        <f t="shared" si="178"/>
        <v>1.5</v>
      </c>
      <c r="AA1148" s="21">
        <f>IF(X1148&gt;$B$8+$B$9,0,ABS(X1148-O1148)/X1148)</f>
        <v>4.7315488168475544E-3</v>
      </c>
      <c r="AB1148">
        <f>IF(OR(Z1145&lt;&gt;Z1151,X1148&gt;$B$8+$B$9),0,((X1151-X1145)/(W1151-W1145)-(O1151-O1145)/(W1151-W1145))^2)</f>
        <v>2.0334293187405881E-6</v>
      </c>
    </row>
    <row r="1149" spans="7:28" x14ac:dyDescent="0.2">
      <c r="G1149" s="21"/>
      <c r="H1149" s="21">
        <v>1034</v>
      </c>
      <c r="I1149">
        <f t="shared" si="184"/>
        <v>2.0911390587302341E-2</v>
      </c>
      <c r="J1149">
        <f t="shared" si="185"/>
        <v>0.45997249194327361</v>
      </c>
      <c r="K1149">
        <f t="shared" si="179"/>
        <v>23.023262372334074</v>
      </c>
      <c r="L1149">
        <f>0.5*Z1149*K1149/J1149/$B$7</f>
        <v>37.540172687935595</v>
      </c>
      <c r="M1149">
        <f t="shared" si="182"/>
        <v>0.77658859141041325</v>
      </c>
      <c r="N1149" s="21">
        <f t="shared" si="186"/>
        <v>6.7605931043501571E-2</v>
      </c>
      <c r="O1149" s="21">
        <f t="shared" si="187"/>
        <v>20.830942611443142</v>
      </c>
      <c r="P1149">
        <f t="shared" si="183"/>
        <v>0.80047391112610822</v>
      </c>
      <c r="Q1149">
        <f t="shared" si="180"/>
        <v>0.45997249194327361</v>
      </c>
      <c r="R1149">
        <f t="shared" si="181"/>
        <v>0.55495725660516126</v>
      </c>
      <c r="T1149" s="21">
        <f>(M1149-M1148)/(H1149-H1148)</f>
        <v>1.4131612500026813E-3</v>
      </c>
      <c r="W1149">
        <v>1034</v>
      </c>
      <c r="X1149">
        <v>20.92681</v>
      </c>
      <c r="Y1149">
        <v>1.5</v>
      </c>
      <c r="Z1149">
        <f t="shared" si="178"/>
        <v>1.5</v>
      </c>
      <c r="AA1149" s="21">
        <f>IF(X1149&gt;$B$8+$B$9,0,ABS(X1149-O1149)/X1149)</f>
        <v>4.5810798949700382E-3</v>
      </c>
      <c r="AB1149">
        <f>IF(OR(Z1146&lt;&gt;Z1152,X1149&gt;$B$8+$B$9),0,((X1152-X1146)/(W1152-W1146)-(O1152-O1146)/(W1152-W1146))^2)</f>
        <v>5.1496241527629227E-6</v>
      </c>
    </row>
    <row r="1150" spans="7:28" x14ac:dyDescent="0.2">
      <c r="G1150" s="21"/>
      <c r="H1150" s="21">
        <v>1035</v>
      </c>
      <c r="I1150">
        <f t="shared" si="184"/>
        <v>2.094361899384781E-2</v>
      </c>
      <c r="J1150">
        <f t="shared" si="185"/>
        <v>0.45932140783243858</v>
      </c>
      <c r="K1150">
        <f t="shared" si="179"/>
        <v>23.018057728112503</v>
      </c>
      <c r="L1150">
        <f>0.5*Z1150*K1150/J1150/$B$7</f>
        <v>37.584887187279016</v>
      </c>
      <c r="M1150">
        <f t="shared" si="182"/>
        <v>0.77800507904262128</v>
      </c>
      <c r="N1150" s="21">
        <f t="shared" si="186"/>
        <v>6.7660823845275761E-2</v>
      </c>
      <c r="O1150" s="21">
        <f t="shared" si="187"/>
        <v>20.851886230436989</v>
      </c>
      <c r="P1150">
        <f t="shared" si="183"/>
        <v>0.80143900241663824</v>
      </c>
      <c r="Q1150">
        <f t="shared" si="180"/>
        <v>0.45932140783243858</v>
      </c>
      <c r="R1150">
        <f t="shared" si="181"/>
        <v>0.55306955207607611</v>
      </c>
      <c r="T1150" s="21">
        <f>(M1150-M1149)/(H1150-H1149)</f>
        <v>1.41648763220803E-3</v>
      </c>
      <c r="W1150">
        <v>1035</v>
      </c>
      <c r="X1150">
        <v>20.941412</v>
      </c>
      <c r="Y1150">
        <v>1.5</v>
      </c>
      <c r="Z1150">
        <f t="shared" ref="Z1150:Z1213" si="188">Y1150</f>
        <v>1.5</v>
      </c>
      <c r="AA1150" s="21">
        <f>IF(X1150&gt;$B$8+$B$9,0,ABS(X1150-O1150)/X1150)</f>
        <v>4.2750588911106245E-3</v>
      </c>
      <c r="AB1150">
        <f>IF(OR(Z1147&lt;&gt;Z1153,X1150&gt;$B$8+$B$9),0,((X1153-X1147)/(W1153-W1147)-(O1153-O1147)/(W1153-W1147))^2)</f>
        <v>3.1009268500856029E-6</v>
      </c>
    </row>
    <row r="1151" spans="7:28" x14ac:dyDescent="0.2">
      <c r="G1151" s="21"/>
      <c r="H1151" s="21">
        <v>1036</v>
      </c>
      <c r="I1151">
        <f t="shared" si="184"/>
        <v>2.0976053252686665E-2</v>
      </c>
      <c r="J1151">
        <f t="shared" si="185"/>
        <v>0.45866971047044292</v>
      </c>
      <c r="K1151">
        <f t="shared" si="179"/>
        <v>23.012876556044539</v>
      </c>
      <c r="L1151">
        <f>0.5*Z1151*K1151/J1151/$B$7</f>
        <v>37.629817323953489</v>
      </c>
      <c r="M1151">
        <f t="shared" si="182"/>
        <v>0.77942491297888372</v>
      </c>
      <c r="N1151" s="21">
        <f t="shared" si="186"/>
        <v>6.7715834120193649E-2</v>
      </c>
      <c r="O1151" s="21">
        <f t="shared" si="187"/>
        <v>20.872862283689674</v>
      </c>
      <c r="P1151">
        <f t="shared" si="183"/>
        <v>0.80240500271929771</v>
      </c>
      <c r="Q1151">
        <f t="shared" si="180"/>
        <v>0.45866971047044292</v>
      </c>
      <c r="R1151">
        <f t="shared" si="181"/>
        <v>0.55119288621710605</v>
      </c>
      <c r="T1151" s="21">
        <f>(M1151-M1150)/(H1151-H1150)</f>
        <v>1.4198339362624379E-3</v>
      </c>
      <c r="W1151">
        <v>1036</v>
      </c>
      <c r="X1151">
        <v>20.957636999999998</v>
      </c>
      <c r="Y1151">
        <v>1.5</v>
      </c>
      <c r="Z1151">
        <f t="shared" si="188"/>
        <v>1.5</v>
      </c>
      <c r="AA1151" s="21">
        <f>IF(X1151&gt;$B$8+$B$9,0,ABS(X1151-O1151)/X1151)</f>
        <v>4.0450512770272857E-3</v>
      </c>
      <c r="AB1151">
        <f>IF(OR(Z1148&lt;&gt;Z1154,X1151&gt;$B$8+$B$9),0,((X1154-X1148)/(W1154-W1148)-(O1154-O1148)/(W1154-W1148))^2)</f>
        <v>1.786880835716435E-5</v>
      </c>
    </row>
    <row r="1152" spans="7:28" x14ac:dyDescent="0.2">
      <c r="G1152" s="21"/>
      <c r="H1152" s="21">
        <v>1037</v>
      </c>
      <c r="I1152">
        <f t="shared" si="184"/>
        <v>2.1008694777892117E-2</v>
      </c>
      <c r="J1152">
        <f t="shared" si="185"/>
        <v>0.45801739588697687</v>
      </c>
      <c r="K1152">
        <f t="shared" si="179"/>
        <v>23.007718856521805</v>
      </c>
      <c r="L1152">
        <f>0.5*Z1152*K1152/J1152/$B$7</f>
        <v>37.674964526127944</v>
      </c>
      <c r="M1152">
        <f t="shared" si="182"/>
        <v>0.78084811330328519</v>
      </c>
      <c r="N1152" s="21">
        <f t="shared" si="186"/>
        <v>6.777096287816671E-2</v>
      </c>
      <c r="O1152" s="21">
        <f t="shared" si="187"/>
        <v>20.893870978467564</v>
      </c>
      <c r="P1152">
        <f t="shared" si="183"/>
        <v>0.80337191791921148</v>
      </c>
      <c r="Q1152">
        <f t="shared" si="180"/>
        <v>0.45801739588697687</v>
      </c>
      <c r="R1152">
        <f t="shared" si="181"/>
        <v>0.54932715363837048</v>
      </c>
      <c r="T1152" s="21">
        <f>(M1152-M1151)/(H1152-H1151)</f>
        <v>1.4232003244014635E-3</v>
      </c>
      <c r="W1152">
        <v>1037</v>
      </c>
      <c r="X1152">
        <v>20.978728999999998</v>
      </c>
      <c r="Y1152">
        <v>1.5</v>
      </c>
      <c r="Z1152">
        <f t="shared" si="188"/>
        <v>1.5</v>
      </c>
      <c r="AA1152" s="21">
        <f>IF(X1152&gt;$B$8+$B$9,0,ABS(X1152-O1152)/X1152)</f>
        <v>4.0449553227191832E-3</v>
      </c>
      <c r="AB1152">
        <f>IF(OR(Z1149&lt;&gt;Z1155,X1152&gt;$B$8+$B$9),0,((X1155-X1149)/(W1155-W1149)-(O1155-O1149)/(W1155-W1149))^2)</f>
        <v>4.395588094128877E-6</v>
      </c>
    </row>
    <row r="1153" spans="7:28" x14ac:dyDescent="0.2">
      <c r="G1153" s="21"/>
      <c r="H1153" s="21">
        <v>1038</v>
      </c>
      <c r="I1153">
        <f t="shared" si="184"/>
        <v>2.1041544999214259E-2</v>
      </c>
      <c r="J1153">
        <f t="shared" si="185"/>
        <v>0.45736446008781462</v>
      </c>
      <c r="K1153">
        <f t="shared" si="179"/>
        <v>23.002584630556637</v>
      </c>
      <c r="L1153">
        <f>0.5*Z1153*K1153/J1153/$B$7</f>
        <v>37.720330236426939</v>
      </c>
      <c r="M1153">
        <f t="shared" si="182"/>
        <v>0.78227470026398505</v>
      </c>
      <c r="N1153" s="21">
        <f t="shared" si="186"/>
        <v>6.7826211138118764E-2</v>
      </c>
      <c r="O1153" s="21">
        <f t="shared" si="187"/>
        <v>20.914912523466779</v>
      </c>
      <c r="P1153">
        <f t="shared" si="183"/>
        <v>0.80433975393695523</v>
      </c>
      <c r="Q1153">
        <f t="shared" si="180"/>
        <v>0.45736446008781462</v>
      </c>
      <c r="R1153">
        <f t="shared" si="181"/>
        <v>0.54747225024801416</v>
      </c>
      <c r="T1153" s="21">
        <f>(M1153-M1152)/(H1153-H1152)</f>
        <v>1.4265869606998605E-3</v>
      </c>
      <c r="W1153">
        <v>1038</v>
      </c>
      <c r="X1153">
        <v>20.996576000000001</v>
      </c>
      <c r="Y1153">
        <v>1.5</v>
      </c>
      <c r="Z1153">
        <f t="shared" si="188"/>
        <v>1.5</v>
      </c>
      <c r="AA1153" s="21">
        <f>IF(X1153&gt;$B$8+$B$9,0,ABS(X1153-O1153)/X1153)</f>
        <v>3.8893711304749151E-3</v>
      </c>
      <c r="AB1153">
        <f>IF(OR(Z1150&lt;&gt;Z1156,X1153&gt;$B$8+$B$9),0,((X1156-X1150)/(W1156-W1150)-(O1156-O1150)/(W1156-W1150))^2)</f>
        <v>5.6022006009638936E-8</v>
      </c>
    </row>
    <row r="1154" spans="7:28" x14ac:dyDescent="0.2">
      <c r="G1154" s="21"/>
      <c r="H1154" s="21">
        <v>1039</v>
      </c>
      <c r="I1154">
        <f t="shared" si="184"/>
        <v>2.1074605362280327E-2</v>
      </c>
      <c r="J1154">
        <f t="shared" si="185"/>
        <v>0.45671089905455264</v>
      </c>
      <c r="K1154">
        <f t="shared" si="179"/>
        <v>22.997473879784977</v>
      </c>
      <c r="L1154">
        <f>0.5*Z1154*K1154/J1154/$B$7</f>
        <v>37.765915912110742</v>
      </c>
      <c r="M1154">
        <f t="shared" si="182"/>
        <v>0.78370469427508382</v>
      </c>
      <c r="N1154" s="21">
        <f t="shared" si="186"/>
        <v>6.788157992810305E-2</v>
      </c>
      <c r="O1154" s="21">
        <f t="shared" si="187"/>
        <v>20.935987128829058</v>
      </c>
      <c r="P1154">
        <f t="shared" si="183"/>
        <v>0.80530851672894221</v>
      </c>
      <c r="Q1154">
        <f t="shared" si="180"/>
        <v>0.45671089905455264</v>
      </c>
      <c r="R1154">
        <f t="shared" si="181"/>
        <v>0.54562807323188489</v>
      </c>
      <c r="T1154" s="21">
        <f>(M1154-M1153)/(H1154-H1153)</f>
        <v>1.4299940110987786E-3</v>
      </c>
      <c r="W1154">
        <v>1039</v>
      </c>
      <c r="X1154">
        <v>21.009556</v>
      </c>
      <c r="Y1154">
        <v>1.5</v>
      </c>
      <c r="Z1154">
        <f t="shared" si="188"/>
        <v>1.5</v>
      </c>
      <c r="AA1154" s="21">
        <f>IF(X1154&gt;$B$8+$B$9,0,ABS(X1154-O1154)/X1154)</f>
        <v>3.5016861456254223E-3</v>
      </c>
      <c r="AB1154">
        <f>IF(OR(Z1151&lt;&gt;Z1157,X1154&gt;$B$8+$B$9),0,((X1157-X1151)/(W1157-W1151)-(O1157-O1151)/(W1157-W1151))^2)</f>
        <v>6.590336236545418E-7</v>
      </c>
    </row>
    <row r="1155" spans="7:28" x14ac:dyDescent="0.2">
      <c r="G1155" s="21"/>
      <c r="H1155" s="21">
        <v>1040</v>
      </c>
      <c r="I1155">
        <f t="shared" si="184"/>
        <v>2.110787732879827E-2</v>
      </c>
      <c r="J1155">
        <f t="shared" si="185"/>
        <v>0.45605670874434634</v>
      </c>
      <c r="K1155">
        <f t="shared" ref="K1155:K1218" si="189">IF(O1155&lt;$B$8+$B$9,0.5*(($B$8+$B$9)^2+O1155^2)/O1155-$B$9,$B$8)</f>
        <v>22.992386606469356</v>
      </c>
      <c r="L1155">
        <f>0.5*Z1155*K1155/J1155/$B$7</f>
        <v>37.811723025258082</v>
      </c>
      <c r="M1155">
        <f t="shared" si="182"/>
        <v>0.78513811591851279</v>
      </c>
      <c r="N1155" s="21">
        <f t="shared" si="186"/>
        <v>6.7937070285420578E-2</v>
      </c>
      <c r="O1155" s="21">
        <f t="shared" si="187"/>
        <v>20.957095006157857</v>
      </c>
      <c r="P1155">
        <f t="shared" si="183"/>
        <v>0.80627821228781493</v>
      </c>
      <c r="Q1155">
        <f t="shared" ref="Q1155:Q1218" si="190">1-B$15*P1155</f>
        <v>0.45605670874434634</v>
      </c>
      <c r="R1155">
        <f t="shared" ref="R1155:R1218" si="191">$E$15/(P1155+$E$16)</f>
        <v>0.54379452103358672</v>
      </c>
      <c r="T1155" s="21">
        <f>(M1155-M1154)/(H1155-H1154)</f>
        <v>1.4334216434289671E-3</v>
      </c>
      <c r="W1155">
        <v>1040</v>
      </c>
      <c r="X1155">
        <v>21.040382999999999</v>
      </c>
      <c r="Y1155">
        <v>1.5</v>
      </c>
      <c r="Z1155">
        <f t="shared" si="188"/>
        <v>1.5</v>
      </c>
      <c r="AA1155" s="21">
        <f>IF(X1155&gt;$B$8+$B$9,0,ABS(X1155-O1155)/X1155)</f>
        <v>3.9584827824731784E-3</v>
      </c>
      <c r="AB1155">
        <f>IF(OR(Z1152&lt;&gt;Z1158,X1155&gt;$B$8+$B$9),0,((X1158-X1152)/(W1158-W1152)-(O1158-O1152)/(W1158-W1152))^2)</f>
        <v>7.1245691641566919E-7</v>
      </c>
    </row>
    <row r="1156" spans="7:28" x14ac:dyDescent="0.2">
      <c r="G1156" s="21"/>
      <c r="H1156" s="21">
        <v>1041</v>
      </c>
      <c r="I1156">
        <f t="shared" si="184"/>
        <v>2.1141362376763853E-2</v>
      </c>
      <c r="J1156">
        <f t="shared" si="185"/>
        <v>0.45540188508964086</v>
      </c>
      <c r="K1156">
        <f t="shared" si="189"/>
        <v>22.987322813501869</v>
      </c>
      <c r="L1156">
        <f>0.5*Z1156*K1156/J1156/$B$7</f>
        <v>37.857753062951865</v>
      </c>
      <c r="M1156">
        <f t="shared" ref="M1156:M1219" si="192">-LN(J1156)</f>
        <v>0.78657498594595565</v>
      </c>
      <c r="N1156" s="21">
        <f t="shared" si="186"/>
        <v>6.7992683256741016E-2</v>
      </c>
      <c r="O1156" s="21">
        <f t="shared" si="187"/>
        <v>20.97823636853462</v>
      </c>
      <c r="P1156">
        <f t="shared" ref="P1156:P1219" si="193">MIN(O1156/(K1156+$B$9),1)</f>
        <v>0.8072488466428428</v>
      </c>
      <c r="Q1156">
        <f t="shared" si="190"/>
        <v>0.45540188508964086</v>
      </c>
      <c r="R1156">
        <f t="shared" si="191"/>
        <v>0.54197149333489902</v>
      </c>
      <c r="T1156" s="21">
        <f>(M1156-M1155)/(H1156-H1155)</f>
        <v>1.4368700274428603E-3</v>
      </c>
      <c r="W1156">
        <v>1041</v>
      </c>
      <c r="X1156">
        <v>21.066341999999999</v>
      </c>
      <c r="Y1156">
        <v>1.5</v>
      </c>
      <c r="Z1156">
        <f t="shared" si="188"/>
        <v>1.5</v>
      </c>
      <c r="AA1156" s="21">
        <f>IF(X1156&gt;$B$8+$B$9,0,ABS(X1156-O1156)/X1156)</f>
        <v>4.18229379668185E-3</v>
      </c>
      <c r="AB1156">
        <f>IF(OR(Z1153&lt;&gt;Z1159,X1156&gt;$B$8+$B$9),0,((X1159-X1153)/(W1159-W1153)-(O1159-O1153)/(W1159-W1153))^2)</f>
        <v>1.0305647761529956E-6</v>
      </c>
    </row>
    <row r="1157" spans="7:28" x14ac:dyDescent="0.2">
      <c r="G1157" s="21"/>
      <c r="H1157" s="21">
        <v>1042</v>
      </c>
      <c r="I1157">
        <f t="shared" ref="I1157:I1220" si="194">IF(P1156&lt;0.999,MAX(0,MIN(10000000,(L1156/$E$8/M1156^$E$10)^(1/$E$9)/N1156)),0.1)</f>
        <v>2.1175062000670788E-2</v>
      </c>
      <c r="J1157">
        <f t="shared" ref="J1157:J1220" si="195">Q1157</f>
        <v>0.45474642399790188</v>
      </c>
      <c r="K1157">
        <f t="shared" si="189"/>
        <v>22.982282504407319</v>
      </c>
      <c r="L1157">
        <f>0.5*Z1157*K1157/J1157/$B$7</f>
        <v>37.904007527467691</v>
      </c>
      <c r="M1157">
        <f t="shared" si="192"/>
        <v>0.78801532528079032</v>
      </c>
      <c r="N1157" s="21">
        <f t="shared" ref="N1157:N1220" si="196">-$B$15*(O1157-2*(K1157+$B$9))/(K1157+$B$9)^2/J1157</f>
        <v>6.8048419898224605E-2</v>
      </c>
      <c r="O1157" s="21">
        <f t="shared" ref="O1157:O1220" si="197">O1156+I1157*(H1157-H1156)</f>
        <v>20.999411430535293</v>
      </c>
      <c r="P1157">
        <f t="shared" si="193"/>
        <v>0.80822042586032261</v>
      </c>
      <c r="Q1157">
        <f t="shared" si="190"/>
        <v>0.45474642399790188</v>
      </c>
      <c r="R1157">
        <f t="shared" si="191"/>
        <v>0.54015889103655967</v>
      </c>
      <c r="T1157" s="21">
        <f>(M1157-M1156)/(H1157-H1156)</f>
        <v>1.4403393348346727E-3</v>
      </c>
      <c r="W1157">
        <v>1042</v>
      </c>
      <c r="X1157">
        <v>21.089057</v>
      </c>
      <c r="Y1157">
        <v>1.5</v>
      </c>
      <c r="Z1157">
        <f t="shared" si="188"/>
        <v>1.5</v>
      </c>
      <c r="AA1157" s="21">
        <f>IF(X1157&gt;$B$8+$B$9,0,ABS(X1157-O1157)/X1157)</f>
        <v>4.2508097666342955E-3</v>
      </c>
      <c r="AB1157">
        <f>IF(OR(Z1154&lt;&gt;Z1160,X1157&gt;$B$8+$B$9),0,((X1160-X1154)/(W1160-W1154)-(O1160-O1154)/(W1160-W1154))^2)</f>
        <v>9.6306287614771656E-7</v>
      </c>
    </row>
    <row r="1158" spans="7:28" x14ac:dyDescent="0.2">
      <c r="G1158" s="21"/>
      <c r="H1158" s="21">
        <v>1043</v>
      </c>
      <c r="I1158">
        <f t="shared" si="194"/>
        <v>2.1208977711724582E-2</v>
      </c>
      <c r="J1158">
        <f t="shared" si="195"/>
        <v>0.45409032135134053</v>
      </c>
      <c r="K1158">
        <f t="shared" si="189"/>
        <v>22.977265683346367</v>
      </c>
      <c r="L1158">
        <f>0.5*Z1158*K1158/J1158/$B$7</f>
        <v>37.950487936465471</v>
      </c>
      <c r="M1158">
        <f t="shared" si="192"/>
        <v>0.78945915502006359</v>
      </c>
      <c r="N1158" s="21">
        <f t="shared" si="196"/>
        <v>6.8104281275646522E-2</v>
      </c>
      <c r="O1158" s="21">
        <f t="shared" si="197"/>
        <v>21.020620408247016</v>
      </c>
      <c r="P1158">
        <f t="shared" si="193"/>
        <v>0.809192956043985</v>
      </c>
      <c r="Q1158">
        <f t="shared" si="190"/>
        <v>0.45409032135134053</v>
      </c>
      <c r="R1158">
        <f t="shared" si="191"/>
        <v>0.5383566162393979</v>
      </c>
      <c r="T1158" s="21">
        <f>(M1158-M1157)/(H1158-H1157)</f>
        <v>1.4438297392732613E-3</v>
      </c>
      <c r="W1158">
        <v>1043</v>
      </c>
      <c r="X1158">
        <v>21.100414000000001</v>
      </c>
      <c r="Y1158">
        <v>1.5</v>
      </c>
      <c r="Z1158">
        <f t="shared" si="188"/>
        <v>1.5</v>
      </c>
      <c r="AA1158" s="21">
        <f>IF(X1158&gt;$B$8+$B$9,0,ABS(X1158-O1158)/X1158)</f>
        <v>3.7816126144721539E-3</v>
      </c>
      <c r="AB1158">
        <f>IF(OR(Z1155&lt;&gt;Z1161,X1158&gt;$B$8+$B$9),0,((X1161-X1155)/(W1161-W1155)-(O1161-O1155)/(W1161-W1155))^2)</f>
        <v>8.9397446922504973E-7</v>
      </c>
    </row>
    <row r="1159" spans="7:28" x14ac:dyDescent="0.2">
      <c r="G1159" s="21"/>
      <c r="H1159" s="21">
        <v>1044</v>
      </c>
      <c r="I1159">
        <f t="shared" si="194"/>
        <v>2.1243111038059755E-2</v>
      </c>
      <c r="J1159">
        <f t="shared" si="195"/>
        <v>0.453433573006636</v>
      </c>
      <c r="K1159">
        <f t="shared" si="189"/>
        <v>22.972272355118776</v>
      </c>
      <c r="L1159">
        <f>0.5*Z1159*K1159/J1159/$B$7</f>
        <v>37.997195823183858</v>
      </c>
      <c r="M1159">
        <f t="shared" si="192"/>
        <v>0.79090649643649058</v>
      </c>
      <c r="N1159" s="21">
        <f t="shared" si="196"/>
        <v>6.816026846452293E-2</v>
      </c>
      <c r="O1159" s="21">
        <f t="shared" si="197"/>
        <v>21.041863519285076</v>
      </c>
      <c r="P1159">
        <f t="shared" si="193"/>
        <v>0.81016644333540633</v>
      </c>
      <c r="Q1159">
        <f t="shared" si="190"/>
        <v>0.453433573006636</v>
      </c>
      <c r="R1159">
        <f t="shared" si="191"/>
        <v>0.53656457222581144</v>
      </c>
      <c r="T1159" s="21">
        <f>(M1159-M1158)/(H1159-H1158)</f>
        <v>1.4473414164269949E-3</v>
      </c>
      <c r="W1159">
        <v>1044</v>
      </c>
      <c r="X1159">
        <v>21.129618000000001</v>
      </c>
      <c r="Y1159">
        <v>1.5</v>
      </c>
      <c r="Z1159">
        <f t="shared" si="188"/>
        <v>1.5</v>
      </c>
      <c r="AA1159" s="21">
        <f>IF(X1159&gt;$B$8+$B$9,0,ABS(X1159-O1159)/X1159)</f>
        <v>4.1531503652798736E-3</v>
      </c>
      <c r="AB1159">
        <f>IF(OR(Z1156&lt;&gt;Z1162,X1159&gt;$B$8+$B$9),0,((X1162-X1156)/(W1162-W1156)-(O1162-O1156)/(W1162-W1156))^2)</f>
        <v>2.836323380882053E-8</v>
      </c>
    </row>
    <row r="1160" spans="7:28" x14ac:dyDescent="0.2">
      <c r="G1160" s="21"/>
      <c r="H1160" s="21">
        <v>1045</v>
      </c>
      <c r="I1160">
        <f t="shared" si="194"/>
        <v>2.1277463524960596E-2</v>
      </c>
      <c r="J1160">
        <f t="shared" si="195"/>
        <v>0.45277617479465504</v>
      </c>
      <c r="K1160">
        <f t="shared" si="189"/>
        <v>22.967302525166726</v>
      </c>
      <c r="L1160">
        <f>0.5*Z1160*K1160/J1160/$B$7</f>
        <v>38.044132736637955</v>
      </c>
      <c r="M1160">
        <f t="shared" si="192"/>
        <v>0.79235737098048353</v>
      </c>
      <c r="N1160" s="21">
        <f t="shared" si="196"/>
        <v>6.8216382550238874E-2</v>
      </c>
      <c r="O1160" s="21">
        <f t="shared" si="197"/>
        <v>21.063140982810037</v>
      </c>
      <c r="P1160">
        <f t="shared" si="193"/>
        <v>0.81114089391442468</v>
      </c>
      <c r="Q1160">
        <f t="shared" si="190"/>
        <v>0.45277617479465504</v>
      </c>
      <c r="R1160">
        <f t="shared" si="191"/>
        <v>0.53478266344158298</v>
      </c>
      <c r="T1160" s="21">
        <f>(M1160-M1159)/(H1160-H1159)</f>
        <v>1.4508745439929527E-3</v>
      </c>
      <c r="W1160">
        <v>1045</v>
      </c>
      <c r="X1160">
        <v>21.142598</v>
      </c>
      <c r="Y1160">
        <v>1.5</v>
      </c>
      <c r="Z1160">
        <f t="shared" si="188"/>
        <v>1.5</v>
      </c>
      <c r="AA1160" s="21">
        <f>IF(X1160&gt;$B$8+$B$9,0,ABS(X1160-O1160)/X1160)</f>
        <v>3.7581482270988126E-3</v>
      </c>
      <c r="AB1160">
        <f>IF(OR(Z1157&lt;&gt;Z1163,X1160&gt;$B$8+$B$9),0,((X1163-X1157)/(W1163-W1157)-(O1163-O1157)/(W1163-W1157))^2)</f>
        <v>8.4509134638869088E-6</v>
      </c>
    </row>
    <row r="1161" spans="7:28" x14ac:dyDescent="0.2">
      <c r="G1161" s="21"/>
      <c r="H1161" s="21">
        <v>1046</v>
      </c>
      <c r="I1161">
        <f t="shared" si="194"/>
        <v>2.1312036735085676E-2</v>
      </c>
      <c r="J1161">
        <f t="shared" si="195"/>
        <v>0.4521181225201667</v>
      </c>
      <c r="K1161">
        <f t="shared" si="189"/>
        <v>22.962356199578203</v>
      </c>
      <c r="L1161">
        <f>0.5*Z1161*K1161/J1161/$B$7</f>
        <v>38.091300241820043</v>
      </c>
      <c r="M1161">
        <f t="shared" si="192"/>
        <v>0.79381180028221032</v>
      </c>
      <c r="N1161" s="21">
        <f t="shared" si="196"/>
        <v>6.8272624628178402E-2</v>
      </c>
      <c r="O1161" s="21">
        <f t="shared" si="197"/>
        <v>21.084453019545123</v>
      </c>
      <c r="P1161">
        <f t="shared" si="193"/>
        <v>0.81211631399956186</v>
      </c>
      <c r="Q1161">
        <f t="shared" si="190"/>
        <v>0.4521181225201667</v>
      </c>
      <c r="R1161">
        <f t="shared" si="191"/>
        <v>0.53301079547802432</v>
      </c>
      <c r="T1161" s="21">
        <f>(M1161-M1160)/(H1161-H1160)</f>
        <v>1.4544293017267895E-3</v>
      </c>
      <c r="W1161">
        <v>1046</v>
      </c>
      <c r="X1161">
        <v>21.162067999999998</v>
      </c>
      <c r="Y1161">
        <v>1.5</v>
      </c>
      <c r="Z1161">
        <f t="shared" si="188"/>
        <v>1.5</v>
      </c>
      <c r="AA1161" s="21">
        <f>IF(X1161&gt;$B$8+$B$9,0,ABS(X1161-O1161)/X1161)</f>
        <v>3.6676463025671758E-3</v>
      </c>
      <c r="AB1161">
        <f>IF(OR(Z1158&lt;&gt;Z1164,X1161&gt;$B$8+$B$9),0,((X1164-X1158)/(W1164-W1158)-(O1164-O1158)/(W1164-W1158))^2)</f>
        <v>6.0590443432516227E-7</v>
      </c>
    </row>
    <row r="1162" spans="7:28" x14ac:dyDescent="0.2">
      <c r="G1162" s="21"/>
      <c r="H1162" s="21">
        <v>1047</v>
      </c>
      <c r="I1162">
        <f t="shared" si="194"/>
        <v>2.1346832248695956E-2</v>
      </c>
      <c r="J1162">
        <f t="shared" si="195"/>
        <v>0.45145941196155503</v>
      </c>
      <c r="K1162">
        <f t="shared" si="189"/>
        <v>22.95743338509045</v>
      </c>
      <c r="L1162">
        <f>0.5*Z1162*K1162/J1162/$B$7</f>
        <v>38.138699919903495</v>
      </c>
      <c r="M1162">
        <f t="shared" si="192"/>
        <v>0.79526980615367993</v>
      </c>
      <c r="N1162" s="21">
        <f t="shared" si="196"/>
        <v>6.8328995803856513E-2</v>
      </c>
      <c r="O1162" s="21">
        <f t="shared" si="197"/>
        <v>21.105799851793819</v>
      </c>
      <c r="P1162">
        <f t="shared" si="193"/>
        <v>0.81309270984845006</v>
      </c>
      <c r="Q1162">
        <f t="shared" si="190"/>
        <v>0.45145941196155503</v>
      </c>
      <c r="R1162">
        <f t="shared" si="191"/>
        <v>0.53124887505444596</v>
      </c>
      <c r="T1162" s="21">
        <f>(M1162-M1161)/(H1162-H1161)</f>
        <v>1.4580058714696031E-3</v>
      </c>
      <c r="W1162">
        <v>1047</v>
      </c>
      <c r="X1162">
        <v>21.192895</v>
      </c>
      <c r="Y1162">
        <v>1.5</v>
      </c>
      <c r="Z1162">
        <f t="shared" si="188"/>
        <v>1.5</v>
      </c>
      <c r="AA1162" s="21">
        <f>IF(X1162&gt;$B$8+$B$9,0,ABS(X1162-O1162)/X1162)</f>
        <v>4.1096390184626143E-3</v>
      </c>
      <c r="AB1162">
        <f>IF(OR(Z1159&lt;&gt;Z1165,X1162&gt;$B$8+$B$9),0,((X1165-X1159)/(W1165-W1159)-(O1165-O1159)/(W1165-W1159))^2)</f>
        <v>1.2372629732434736E-5</v>
      </c>
    </row>
    <row r="1163" spans="7:28" x14ac:dyDescent="0.2">
      <c r="G1163" s="21"/>
      <c r="H1163" s="21">
        <v>1048</v>
      </c>
      <c r="I1163">
        <f t="shared" si="194"/>
        <v>2.1381851663886748E-2</v>
      </c>
      <c r="J1163">
        <f t="shared" si="195"/>
        <v>0.45080003887052689</v>
      </c>
      <c r="K1163">
        <f t="shared" si="189"/>
        <v>22.952534089093525</v>
      </c>
      <c r="L1163">
        <f>0.5*Z1163*K1163/J1163/$B$7</f>
        <v>38.186333368449972</v>
      </c>
      <c r="M1163">
        <f t="shared" si="192"/>
        <v>0.79673141059086094</v>
      </c>
      <c r="N1163" s="21">
        <f t="shared" si="196"/>
        <v>6.8385497193053202E-2</v>
      </c>
      <c r="O1163" s="21">
        <f t="shared" si="197"/>
        <v>21.127181703457705</v>
      </c>
      <c r="P1163">
        <f t="shared" si="193"/>
        <v>0.81407008775826406</v>
      </c>
      <c r="Q1163">
        <f t="shared" si="190"/>
        <v>0.45080003887052689</v>
      </c>
      <c r="R1163">
        <f t="shared" si="191"/>
        <v>0.52949681000094073</v>
      </c>
      <c r="T1163" s="21">
        <f>(M1163-M1162)/(H1163-H1162)</f>
        <v>1.4616044371810188E-3</v>
      </c>
      <c r="W1163">
        <v>1048</v>
      </c>
      <c r="X1163">
        <v>21.199384999999999</v>
      </c>
      <c r="Y1163">
        <v>1.5</v>
      </c>
      <c r="Z1163">
        <f t="shared" si="188"/>
        <v>1.5</v>
      </c>
      <c r="AA1163" s="21">
        <f>IF(X1163&gt;$B$8+$B$9,0,ABS(X1163-O1163)/X1163)</f>
        <v>3.4059146782934855E-3</v>
      </c>
      <c r="AB1163">
        <f>IF(OR(Z1160&lt;&gt;Z1166,X1163&gt;$B$8+$B$9),0,((X1166-X1160)/(W1166-W1160)-(O1166-O1160)/(W1166-W1160))^2)</f>
        <v>5.4393473135142424E-8</v>
      </c>
    </row>
    <row r="1164" spans="7:28" x14ac:dyDescent="0.2">
      <c r="G1164" s="21"/>
      <c r="H1164" s="21">
        <v>1049</v>
      </c>
      <c r="I1164">
        <f t="shared" si="194"/>
        <v>2.1417096596823414E-2</v>
      </c>
      <c r="J1164">
        <f t="shared" si="195"/>
        <v>0.45013999897181678</v>
      </c>
      <c r="K1164">
        <f t="shared" si="189"/>
        <v>22.947658319633877</v>
      </c>
      <c r="L1164">
        <f>0.5*Z1164*K1164/J1164/$B$7</f>
        <v>38.23420220161988</v>
      </c>
      <c r="M1164">
        <f t="shared" si="192"/>
        <v>0.79819663577582811</v>
      </c>
      <c r="N1164" s="21">
        <f t="shared" si="196"/>
        <v>6.8442129921949604E-2</v>
      </c>
      <c r="O1164" s="21">
        <f t="shared" si="197"/>
        <v>21.148598800054529</v>
      </c>
      <c r="P1164">
        <f t="shared" si="193"/>
        <v>0.81504845406616011</v>
      </c>
      <c r="Q1164">
        <f t="shared" si="190"/>
        <v>0.45013999897181678</v>
      </c>
      <c r="R1164">
        <f t="shared" si="191"/>
        <v>0.52775450924147638</v>
      </c>
      <c r="T1164" s="21">
        <f>(M1164-M1163)/(H1164-H1163)</f>
        <v>1.4652251849671671E-3</v>
      </c>
      <c r="W1164">
        <v>1049</v>
      </c>
      <c r="X1164">
        <v>21.223721999999999</v>
      </c>
      <c r="Y1164">
        <v>1.5</v>
      </c>
      <c r="Z1164">
        <f t="shared" si="188"/>
        <v>1.5</v>
      </c>
      <c r="AA1164" s="21">
        <f>IF(X1164&gt;$B$8+$B$9,0,ABS(X1164-O1164)/X1164)</f>
        <v>3.5395865035110037E-3</v>
      </c>
      <c r="AB1164">
        <f>IF(OR(Z1161&lt;&gt;Z1167,X1164&gt;$B$8+$B$9),0,((X1167-X1161)/(W1167-W1161)-(O1167-O1161)/(W1167-W1161))^2)</f>
        <v>5.2760781690751064E-9</v>
      </c>
    </row>
    <row r="1165" spans="7:28" x14ac:dyDescent="0.2">
      <c r="G1165" s="21"/>
      <c r="H1165" s="21">
        <v>1050</v>
      </c>
      <c r="I1165">
        <f t="shared" si="194"/>
        <v>2.1452568681981043E-2</v>
      </c>
      <c r="J1165">
        <f t="shared" si="195"/>
        <v>0.44947928796288861</v>
      </c>
      <c r="K1165">
        <f t="shared" si="189"/>
        <v>22.942806085418098</v>
      </c>
      <c r="L1165">
        <f>0.5*Z1165*K1165/J1165/$B$7</f>
        <v>38.282308050386256</v>
      </c>
      <c r="M1165">
        <f t="shared" si="192"/>
        <v>0.79966550407893844</v>
      </c>
      <c r="N1165" s="21">
        <f t="shared" si="196"/>
        <v>6.8498895127266188E-2</v>
      </c>
      <c r="O1165" s="21">
        <f t="shared" si="197"/>
        <v>21.170051368736509</v>
      </c>
      <c r="P1165">
        <f t="shared" si="193"/>
        <v>0.81602781514971678</v>
      </c>
      <c r="Q1165">
        <f t="shared" si="190"/>
        <v>0.44947928796288861</v>
      </c>
      <c r="R1165">
        <f t="shared" si="191"/>
        <v>0.52602188277729622</v>
      </c>
      <c r="T1165" s="21">
        <f>(M1165-M1164)/(H1165-H1164)</f>
        <v>1.4688683031103267E-3</v>
      </c>
      <c r="W1165">
        <v>1050</v>
      </c>
      <c r="X1165">
        <v>21.236701</v>
      </c>
      <c r="Y1165">
        <v>1.5</v>
      </c>
      <c r="Z1165">
        <f t="shared" si="188"/>
        <v>1.5</v>
      </c>
      <c r="AA1165" s="21">
        <f>IF(X1165&gt;$B$8+$B$9,0,ABS(X1165-O1165)/X1165)</f>
        <v>3.1384173682857436E-3</v>
      </c>
      <c r="AB1165">
        <f>IF(OR(Z1162&lt;&gt;Z1168,X1165&gt;$B$8+$B$9),0,((X1168-X1162)/(W1168-W1162)-(O1168-O1162)/(W1168-W1162))^2)</f>
        <v>1.4158429440112765E-6</v>
      </c>
    </row>
    <row r="1166" spans="7:28" x14ac:dyDescent="0.2">
      <c r="G1166" s="21"/>
      <c r="H1166" s="21">
        <v>1051</v>
      </c>
      <c r="I1166">
        <f t="shared" si="194"/>
        <v>2.1488269572388172E-2</v>
      </c>
      <c r="J1166">
        <f t="shared" si="195"/>
        <v>0.44881790151363155</v>
      </c>
      <c r="K1166">
        <f t="shared" si="189"/>
        <v>22.937977395816645</v>
      </c>
      <c r="L1166">
        <f>0.5*Z1166*K1166/J1166/$B$7</f>
        <v>38.330652562752064</v>
      </c>
      <c r="M1166">
        <f t="shared" si="192"/>
        <v>0.80113803806104433</v>
      </c>
      <c r="N1166" s="21">
        <f t="shared" si="196"/>
        <v>6.8555793956403238E-2</v>
      </c>
      <c r="O1166" s="21">
        <f t="shared" si="197"/>
        <v>21.191539638308896</v>
      </c>
      <c r="P1166">
        <f t="shared" si="193"/>
        <v>0.81700817742738607</v>
      </c>
      <c r="Q1166">
        <f t="shared" si="190"/>
        <v>0.44881790151363155</v>
      </c>
      <c r="R1166">
        <f t="shared" si="191"/>
        <v>0.52429884167060836</v>
      </c>
      <c r="T1166" s="21">
        <f>(M1166-M1165)/(H1166-H1165)</f>
        <v>1.4725339821058947E-3</v>
      </c>
      <c r="W1166">
        <v>1051</v>
      </c>
      <c r="X1166">
        <v>21.272395999999997</v>
      </c>
      <c r="Y1166">
        <v>1.5</v>
      </c>
      <c r="Z1166">
        <f t="shared" si="188"/>
        <v>1.5</v>
      </c>
      <c r="AA1166" s="21">
        <f>IF(X1166&gt;$B$8+$B$9,0,ABS(X1166-O1166)/X1166)</f>
        <v>3.8009992711258711E-3</v>
      </c>
      <c r="AB1166">
        <f>IF(OR(Z1163&lt;&gt;Z1169,X1166&gt;$B$8+$B$9),0,((X1169-X1163)/(W1169-W1163)-(O1169-O1163)/(W1169-W1163))^2)</f>
        <v>9.1274526159084215E-7</v>
      </c>
    </row>
    <row r="1167" spans="7:28" x14ac:dyDescent="0.2">
      <c r="G1167" s="21"/>
      <c r="H1167" s="21">
        <v>1052</v>
      </c>
      <c r="I1167">
        <f t="shared" si="194"/>
        <v>2.1524200939874612E-2</v>
      </c>
      <c r="J1167">
        <f t="shared" si="195"/>
        <v>0.4481558352660544</v>
      </c>
      <c r="K1167">
        <f t="shared" si="189"/>
        <v>22.933172260867696</v>
      </c>
      <c r="L1167">
        <f>0.5*Z1167*K1167/J1167/$B$7</f>
        <v>38.37923740397089</v>
      </c>
      <c r="M1167">
        <f t="shared" si="192"/>
        <v>0.80261426047573203</v>
      </c>
      <c r="N1167" s="21">
        <f t="shared" si="196"/>
        <v>6.8612827567583565E-2</v>
      </c>
      <c r="O1167" s="21">
        <f t="shared" si="197"/>
        <v>21.213063839248772</v>
      </c>
      <c r="P1167">
        <f t="shared" si="193"/>
        <v>0.81798954735894713</v>
      </c>
      <c r="Q1167">
        <f t="shared" si="190"/>
        <v>0.4481558352660544</v>
      </c>
      <c r="R1167">
        <f t="shared" si="191"/>
        <v>0.5225852980285709</v>
      </c>
      <c r="T1167" s="21">
        <f>(M1167-M1166)/(H1167-H1166)</f>
        <v>1.4762224146877001E-3</v>
      </c>
      <c r="W1167">
        <v>1052</v>
      </c>
      <c r="X1167">
        <v>21.290243</v>
      </c>
      <c r="Y1167">
        <v>1.5</v>
      </c>
      <c r="Z1167">
        <f t="shared" si="188"/>
        <v>1.5</v>
      </c>
      <c r="AA1167" s="21">
        <f>IF(X1167&gt;$B$8+$B$9,0,ABS(X1167-O1167)/X1167)</f>
        <v>3.6250953430277165E-3</v>
      </c>
      <c r="AB1167">
        <f>IF(OR(Z1164&lt;&gt;Z1170,X1167&gt;$B$8+$B$9),0,((X1170-X1164)/(W1170-W1164)-(O1170-O1164)/(W1170-W1164))^2)</f>
        <v>3.2493430071459304E-6</v>
      </c>
    </row>
    <row r="1168" spans="7:28" x14ac:dyDescent="0.2">
      <c r="G1168" s="21"/>
      <c r="H1168" s="21">
        <v>1053</v>
      </c>
      <c r="I1168">
        <f t="shared" si="194"/>
        <v>2.1560364475323102E-2</v>
      </c>
      <c r="J1168">
        <f t="shared" si="195"/>
        <v>0.44749308483397476</v>
      </c>
      <c r="K1168">
        <f t="shared" si="189"/>
        <v>22.928390691281116</v>
      </c>
      <c r="L1168">
        <f>0.5*Z1168*K1168/J1168/$B$7</f>
        <v>38.428064256771393</v>
      </c>
      <c r="M1168">
        <f t="shared" si="192"/>
        <v>0.80409419427159667</v>
      </c>
      <c r="N1168" s="21">
        <f t="shared" si="196"/>
        <v>6.8669997129997218E-2</v>
      </c>
      <c r="O1168" s="21">
        <f t="shared" si="197"/>
        <v>21.234624203724096</v>
      </c>
      <c r="P1168">
        <f t="shared" si="193"/>
        <v>0.81897193144596581</v>
      </c>
      <c r="Q1168">
        <f t="shared" si="190"/>
        <v>0.44749308483397476</v>
      </c>
      <c r="R1168">
        <f t="shared" si="191"/>
        <v>0.52088116498756065</v>
      </c>
      <c r="T1168" s="21">
        <f>(M1168-M1167)/(H1168-H1167)</f>
        <v>1.4799337958646408E-3</v>
      </c>
      <c r="W1168">
        <v>1053</v>
      </c>
      <c r="X1168">
        <v>21.314579999999996</v>
      </c>
      <c r="Y1168">
        <v>1.5</v>
      </c>
      <c r="Z1168">
        <f t="shared" si="188"/>
        <v>1.5</v>
      </c>
      <c r="AA1168" s="21">
        <f>IF(X1168&gt;$B$8+$B$9,0,ABS(X1168-O1168)/X1168)</f>
        <v>3.7512255121095674E-3</v>
      </c>
      <c r="AB1168">
        <f>IF(OR(Z1165&lt;&gt;Z1171,X1168&gt;$B$8+$B$9),0,((X1171-X1165)/(W1171-W1165)-(O1171-O1165)/(W1171-W1165))^2)</f>
        <v>1.2900200309527848E-6</v>
      </c>
    </row>
    <row r="1169" spans="7:28" x14ac:dyDescent="0.2">
      <c r="G1169" s="21"/>
      <c r="H1169" s="21">
        <v>1054</v>
      </c>
      <c r="I1169">
        <f t="shared" si="194"/>
        <v>2.1596761888925682E-2</v>
      </c>
      <c r="J1169">
        <f t="shared" si="195"/>
        <v>0.44682964580270468</v>
      </c>
      <c r="K1169">
        <f t="shared" si="189"/>
        <v>22.923632698442432</v>
      </c>
      <c r="L1169">
        <f>0.5*Z1169*K1169/J1169/$B$7</f>
        <v>38.477134821585189</v>
      </c>
      <c r="M1169">
        <f t="shared" si="192"/>
        <v>0.80557786259454889</v>
      </c>
      <c r="N1169" s="21">
        <f t="shared" si="196"/>
        <v>6.8727303823948774E-2</v>
      </c>
      <c r="O1169" s="21">
        <f t="shared" si="197"/>
        <v>21.256220965613021</v>
      </c>
      <c r="P1169">
        <f t="shared" si="193"/>
        <v>0.8199553362322618</v>
      </c>
      <c r="Q1169">
        <f t="shared" si="190"/>
        <v>0.44682964580270468</v>
      </c>
      <c r="R1169">
        <f t="shared" si="191"/>
        <v>0.51918635669771795</v>
      </c>
      <c r="T1169" s="21">
        <f>(M1169-M1168)/(H1169-H1168)</f>
        <v>1.4836683229522141E-3</v>
      </c>
      <c r="W1169">
        <v>1054</v>
      </c>
      <c r="X1169">
        <v>21.322692</v>
      </c>
      <c r="Y1169">
        <v>1.5</v>
      </c>
      <c r="Z1169">
        <f t="shared" si="188"/>
        <v>1.5</v>
      </c>
      <c r="AA1169" s="21">
        <f>IF(X1169&gt;$B$8+$B$9,0,ABS(X1169-O1169)/X1169)</f>
        <v>3.1173847273589352E-3</v>
      </c>
      <c r="AB1169">
        <f>IF(OR(Z1166&lt;&gt;Z1172,X1169&gt;$B$8+$B$9),0,((X1172-X1166)/(W1172-W1166)-(O1172-O1166)/(W1172-W1166))^2)</f>
        <v>7.2176066930825762E-6</v>
      </c>
    </row>
    <row r="1170" spans="7:28" x14ac:dyDescent="0.2">
      <c r="G1170" s="21"/>
      <c r="H1170" s="21">
        <v>1055</v>
      </c>
      <c r="I1170">
        <f t="shared" si="194"/>
        <v>2.163339491044405E-2</v>
      </c>
      <c r="J1170">
        <f t="shared" si="195"/>
        <v>0.44616551372873126</v>
      </c>
      <c r="K1170">
        <f t="shared" si="189"/>
        <v>22.918898294416941</v>
      </c>
      <c r="L1170">
        <f>0.5*Z1170*K1170/J1170/$B$7</f>
        <v>38.526450816778556</v>
      </c>
      <c r="M1170">
        <f t="shared" si="192"/>
        <v>0.80706528879015726</v>
      </c>
      <c r="N1170" s="21">
        <f t="shared" si="196"/>
        <v>6.8784748841006896E-2</v>
      </c>
      <c r="O1170" s="21">
        <f t="shared" si="197"/>
        <v>21.277854360523467</v>
      </c>
      <c r="P1170">
        <f t="shared" si="193"/>
        <v>0.82093976830438131</v>
      </c>
      <c r="Q1170">
        <f t="shared" si="190"/>
        <v>0.44616551372873126</v>
      </c>
      <c r="R1170">
        <f t="shared" si="191"/>
        <v>0.51750078830776369</v>
      </c>
      <c r="T1170" s="21">
        <f>(M1170-M1169)/(H1170-H1169)</f>
        <v>1.4874261956083767E-3</v>
      </c>
      <c r="W1170">
        <v>1055</v>
      </c>
      <c r="X1170">
        <v>21.342161999999998</v>
      </c>
      <c r="Y1170">
        <v>1.5</v>
      </c>
      <c r="Z1170">
        <f t="shared" si="188"/>
        <v>1.5</v>
      </c>
      <c r="AA1170" s="21">
        <f>IF(X1170&gt;$B$8+$B$9,0,ABS(X1170-O1170)/X1170)</f>
        <v>3.013173617393197E-3</v>
      </c>
      <c r="AB1170">
        <f>IF(OR(Z1167&lt;&gt;Z1173,X1170&gt;$B$8+$B$9),0,((X1173-X1167)/(W1173-W1167)-(O1173-O1167)/(W1173-W1167))^2)</f>
        <v>4.7632237366762297E-6</v>
      </c>
    </row>
    <row r="1171" spans="7:28" x14ac:dyDescent="0.2">
      <c r="G1171" s="21"/>
      <c r="H1171" s="21">
        <v>1056</v>
      </c>
      <c r="I1171">
        <f t="shared" si="194"/>
        <v>2.1670265289474282E-2</v>
      </c>
      <c r="J1171">
        <f t="shared" si="195"/>
        <v>0.44550068413939514</v>
      </c>
      <c r="K1171">
        <f t="shared" si="189"/>
        <v>22.914187491953907</v>
      </c>
      <c r="L1171">
        <f>0.5*Z1171*K1171/J1171/$B$7</f>
        <v>38.5760139788879</v>
      </c>
      <c r="M1171">
        <f t="shared" si="192"/>
        <v>0.8085564964060209</v>
      </c>
      <c r="N1171" s="21">
        <f t="shared" si="196"/>
        <v>6.8842333384156143E-2</v>
      </c>
      <c r="O1171" s="21">
        <f t="shared" si="197"/>
        <v>21.299524625812943</v>
      </c>
      <c r="P1171">
        <f t="shared" si="193"/>
        <v>0.82192523429207376</v>
      </c>
      <c r="Q1171">
        <f t="shared" si="190"/>
        <v>0.44550068413939514</v>
      </c>
      <c r="R1171">
        <f t="shared" si="191"/>
        <v>0.51582437595008779</v>
      </c>
      <c r="T1171" s="21">
        <f>(M1171-M1170)/(H1171-H1170)</f>
        <v>1.4912076158636323E-3</v>
      </c>
      <c r="W1171">
        <v>1056</v>
      </c>
      <c r="X1171">
        <v>21.372989</v>
      </c>
      <c r="Y1171">
        <v>1.5</v>
      </c>
      <c r="Z1171">
        <f t="shared" si="188"/>
        <v>1.5</v>
      </c>
      <c r="AA1171" s="21">
        <f>IF(X1171&gt;$B$8+$B$9,0,ABS(X1171-O1171)/X1171)</f>
        <v>3.4372531697395136E-3</v>
      </c>
      <c r="AB1171">
        <f>IF(OR(Z1168&lt;&gt;Z1174,X1171&gt;$B$8+$B$9),0,((X1174-X1168)/(W1174-W1168)-(O1174-O1168)/(W1174-W1168))^2)</f>
        <v>3.7991470479588615E-6</v>
      </c>
    </row>
    <row r="1172" spans="7:28" x14ac:dyDescent="0.2">
      <c r="G1172" s="21"/>
      <c r="H1172" s="21">
        <v>1057</v>
      </c>
      <c r="I1172">
        <f t="shared" si="194"/>
        <v>2.1707374795716276E-2</v>
      </c>
      <c r="J1172">
        <f t="shared" si="195"/>
        <v>0.44483515253256301</v>
      </c>
      <c r="K1172">
        <f t="shared" si="189"/>
        <v>22.909500304490813</v>
      </c>
      <c r="L1172">
        <f>0.5*Z1172*K1172/J1172/$B$7</f>
        <v>38.625826062858948</v>
      </c>
      <c r="M1172">
        <f t="shared" si="192"/>
        <v>0.81005150919418101</v>
      </c>
      <c r="N1172" s="21">
        <f t="shared" si="196"/>
        <v>6.8900058667951306E-2</v>
      </c>
      <c r="O1172" s="21">
        <f t="shared" si="197"/>
        <v>21.32123200060866</v>
      </c>
      <c r="P1172">
        <f t="shared" si="193"/>
        <v>0.82291174086877772</v>
      </c>
      <c r="Q1172">
        <f t="shared" si="190"/>
        <v>0.44483515253256301</v>
      </c>
      <c r="R1172">
        <f t="shared" si="191"/>
        <v>0.51415703672609259</v>
      </c>
      <c r="T1172" s="21">
        <f>(M1172-M1171)/(H1172-H1171)</f>
        <v>1.4950127881601105E-3</v>
      </c>
      <c r="W1172">
        <v>1057</v>
      </c>
      <c r="X1172">
        <v>21.385968999999999</v>
      </c>
      <c r="Y1172">
        <v>1.5</v>
      </c>
      <c r="Z1172">
        <f t="shared" si="188"/>
        <v>1.5</v>
      </c>
      <c r="AA1172" s="21">
        <f>IF(X1172&gt;$B$8+$B$9,0,ABS(X1172-O1172)/X1172)</f>
        <v>3.0270781460189793E-3</v>
      </c>
      <c r="AB1172">
        <f>IF(OR(Z1169&lt;&gt;Z1175,X1172&gt;$B$8+$B$9),0,((X1175-X1169)/(W1175-W1169)-(O1175-O1169)/(W1175-W1169))^2)</f>
        <v>4.0221696879384957E-7</v>
      </c>
    </row>
    <row r="1173" spans="7:28" x14ac:dyDescent="0.2">
      <c r="G1173" s="21"/>
      <c r="H1173" s="21">
        <v>1058</v>
      </c>
      <c r="I1173">
        <f t="shared" si="194"/>
        <v>2.1744725219247616E-2</v>
      </c>
      <c r="J1173">
        <f t="shared" si="195"/>
        <v>0.44416891437629658</v>
      </c>
      <c r="K1173">
        <f t="shared" si="189"/>
        <v>22.904836746157724</v>
      </c>
      <c r="L1173">
        <f>0.5*Z1173*K1173/J1173/$B$7</f>
        <v>38.67588884229005</v>
      </c>
      <c r="M1173">
        <f t="shared" si="192"/>
        <v>0.81155035111356577</v>
      </c>
      <c r="N1173" s="21">
        <f t="shared" si="196"/>
        <v>6.8957925918674223E-2</v>
      </c>
      <c r="O1173" s="21">
        <f t="shared" si="197"/>
        <v>21.342976725827906</v>
      </c>
      <c r="P1173">
        <f t="shared" si="193"/>
        <v>0.82389929475211054</v>
      </c>
      <c r="Q1173">
        <f t="shared" si="190"/>
        <v>0.44416891437629658</v>
      </c>
      <c r="R1173">
        <f t="shared" si="191"/>
        <v>0.51249868869179704</v>
      </c>
      <c r="T1173" s="21">
        <f>(M1173-M1172)/(H1173-H1172)</f>
        <v>1.4988419193847635E-3</v>
      </c>
      <c r="W1173">
        <v>1058</v>
      </c>
      <c r="X1173">
        <v>21.407061000000002</v>
      </c>
      <c r="Y1173">
        <v>1.5</v>
      </c>
      <c r="Z1173">
        <f t="shared" si="188"/>
        <v>1.5</v>
      </c>
      <c r="AA1173" s="21">
        <f>IF(X1173&gt;$B$8+$B$9,0,ABS(X1173-O1173)/X1173)</f>
        <v>2.9936045014351078E-3</v>
      </c>
      <c r="AB1173">
        <f>IF(OR(Z1170&lt;&gt;Z1176,X1173&gt;$B$8+$B$9),0,((X1176-X1170)/(W1176-W1170)-(O1176-O1170)/(W1176-W1170))^2)</f>
        <v>1.4701885686363476E-6</v>
      </c>
    </row>
    <row r="1174" spans="7:28" x14ac:dyDescent="0.2">
      <c r="G1174" s="21"/>
      <c r="H1174" s="21">
        <v>1059</v>
      </c>
      <c r="I1174">
        <f t="shared" si="194"/>
        <v>2.1782318370802089E-2</v>
      </c>
      <c r="J1174">
        <f t="shared" si="195"/>
        <v>0.44350196510851725</v>
      </c>
      <c r="K1174">
        <f t="shared" si="189"/>
        <v>22.90019683178172</v>
      </c>
      <c r="L1174">
        <f>0.5*Z1174*K1174/J1174/$B$7</f>
        <v>38.726204109679259</v>
      </c>
      <c r="M1174">
        <f t="shared" si="192"/>
        <v>0.81305304633247211</v>
      </c>
      <c r="N1174" s="21">
        <f t="shared" si="196"/>
        <v>6.9015936374493089E-2</v>
      </c>
      <c r="O1174" s="21">
        <f t="shared" si="197"/>
        <v>21.36475904419871</v>
      </c>
      <c r="P1174">
        <f t="shared" si="193"/>
        <v>0.82488790270436685</v>
      </c>
      <c r="Q1174">
        <f t="shared" si="190"/>
        <v>0.44350196510851725</v>
      </c>
      <c r="R1174">
        <f t="shared" si="191"/>
        <v>0.51084925084368726</v>
      </c>
      <c r="T1174" s="21">
        <f>(M1174-M1173)/(H1174-H1173)</f>
        <v>1.5026952189063358E-3</v>
      </c>
      <c r="W1174">
        <v>1059</v>
      </c>
      <c r="X1174">
        <v>21.433020000000003</v>
      </c>
      <c r="Y1174">
        <v>1.5</v>
      </c>
      <c r="Z1174">
        <f t="shared" si="188"/>
        <v>1.5</v>
      </c>
      <c r="AA1174" s="21">
        <f>IF(X1174&gt;$B$8+$B$9,0,ABS(X1174-O1174)/X1174)</f>
        <v>3.1848500958470975E-3</v>
      </c>
      <c r="AB1174">
        <f>IF(OR(Z1171&lt;&gt;Z1177,X1174&gt;$B$8+$B$9),0,((X1177-X1171)/(W1177-W1171)-(O1177-O1171)/(W1177-W1171))^2)</f>
        <v>4.250048387282141E-6</v>
      </c>
    </row>
    <row r="1175" spans="7:28" x14ac:dyDescent="0.2">
      <c r="G1175" s="21"/>
      <c r="H1175" s="21">
        <v>1060</v>
      </c>
      <c r="I1175">
        <f t="shared" si="194"/>
        <v>2.1820156082052997E-2</v>
      </c>
      <c r="J1175">
        <f t="shared" si="195"/>
        <v>0.44283430013666625</v>
      </c>
      <c r="K1175">
        <f t="shared" si="189"/>
        <v>22.895580576891437</v>
      </c>
      <c r="L1175">
        <f>0.5*Z1175*K1175/J1175/$B$7</f>
        <v>38.776773676675681</v>
      </c>
      <c r="M1175">
        <f t="shared" si="192"/>
        <v>0.81455961923108411</v>
      </c>
      <c r="N1175" s="21">
        <f t="shared" si="196"/>
        <v>6.9074091285624417E-2</v>
      </c>
      <c r="O1175" s="21">
        <f t="shared" si="197"/>
        <v>21.386579200280764</v>
      </c>
      <c r="P1175">
        <f t="shared" si="193"/>
        <v>0.82587757153302088</v>
      </c>
      <c r="Q1175">
        <f t="shared" si="190"/>
        <v>0.44283430013666625</v>
      </c>
      <c r="R1175">
        <f t="shared" si="191"/>
        <v>0.50920864310481684</v>
      </c>
      <c r="T1175" s="21">
        <f>(M1175-M1174)/(H1175-H1174)</f>
        <v>1.5065728986120019E-3</v>
      </c>
      <c r="W1175">
        <v>1060</v>
      </c>
      <c r="X1175">
        <v>21.449245000000001</v>
      </c>
      <c r="Y1175">
        <v>1.5</v>
      </c>
      <c r="Z1175">
        <f t="shared" si="188"/>
        <v>1.5</v>
      </c>
      <c r="AA1175" s="21">
        <f>IF(X1175&gt;$B$8+$B$9,0,ABS(X1175-O1175)/X1175)</f>
        <v>2.9215853387491012E-3</v>
      </c>
      <c r="AB1175">
        <f>IF(OR(Z1172&lt;&gt;Z1178,X1175&gt;$B$8+$B$9),0,((X1178-X1172)/(W1178-W1172)-(O1178-O1172)/(W1178-W1172))^2)</f>
        <v>4.0711268217501621E-9</v>
      </c>
    </row>
    <row r="1176" spans="7:28" x14ac:dyDescent="0.2">
      <c r="G1176" s="21"/>
      <c r="H1176" s="21">
        <v>1061</v>
      </c>
      <c r="I1176">
        <f t="shared" si="194"/>
        <v>2.1858240205901172E-2</v>
      </c>
      <c r="J1176">
        <f t="shared" si="195"/>
        <v>0.44216591483736045</v>
      </c>
      <c r="K1176">
        <f t="shared" si="189"/>
        <v>22.890987997721677</v>
      </c>
      <c r="L1176">
        <f>0.5*Z1176*K1176/J1176/$B$7</f>
        <v>38.827599374334767</v>
      </c>
      <c r="M1176">
        <f t="shared" si="192"/>
        <v>0.81607009440402889</v>
      </c>
      <c r="N1176" s="21">
        <f t="shared" si="196"/>
        <v>6.9132391914497424E-2</v>
      </c>
      <c r="O1176" s="21">
        <f t="shared" si="197"/>
        <v>21.408437440486665</v>
      </c>
      <c r="P1176">
        <f t="shared" si="193"/>
        <v>0.82686830809123768</v>
      </c>
      <c r="Q1176">
        <f t="shared" si="190"/>
        <v>0.44216591483736045</v>
      </c>
      <c r="R1176">
        <f t="shared" si="191"/>
        <v>0.50757678631114378</v>
      </c>
      <c r="T1176" s="21">
        <f>(M1176-M1175)/(H1176-H1175)</f>
        <v>1.5104751729447807E-3</v>
      </c>
      <c r="W1176">
        <v>1061</v>
      </c>
      <c r="X1176">
        <v>21.46547</v>
      </c>
      <c r="Y1176">
        <v>1.5</v>
      </c>
      <c r="Z1176">
        <f t="shared" si="188"/>
        <v>1.5</v>
      </c>
      <c r="AA1176" s="21">
        <f>IF(X1176&gt;$B$8+$B$9,0,ABS(X1176-O1176)/X1176)</f>
        <v>2.6569443628923451E-3</v>
      </c>
      <c r="AB1176">
        <f>IF(OR(Z1173&lt;&gt;Z1179,X1176&gt;$B$8+$B$9),0,((X1179-X1173)/(W1179-W1173)-(O1179-O1173)/(W1179-W1173))^2)</f>
        <v>2.654709511361604E-7</v>
      </c>
    </row>
    <row r="1177" spans="7:28" x14ac:dyDescent="0.2">
      <c r="G1177" s="21"/>
      <c r="H1177" s="21">
        <v>1062</v>
      </c>
      <c r="I1177">
        <f t="shared" si="194"/>
        <v>2.1896572616768299E-2</v>
      </c>
      <c r="J1177">
        <f t="shared" si="195"/>
        <v>0.44149680455604368</v>
      </c>
      <c r="K1177">
        <f t="shared" si="189"/>
        <v>22.886419111218146</v>
      </c>
      <c r="L1177">
        <f>0.5*Z1177*K1177/J1177/$B$7</f>
        <v>38.878683053378033</v>
      </c>
      <c r="M1177">
        <f t="shared" si="192"/>
        <v>0.81758449666296995</v>
      </c>
      <c r="N1177" s="21">
        <f t="shared" si="196"/>
        <v>6.9190839535921256E-2</v>
      </c>
      <c r="O1177" s="21">
        <f t="shared" si="197"/>
        <v>21.430334013103433</v>
      </c>
      <c r="P1177">
        <f t="shared" si="193"/>
        <v>0.82786011927838943</v>
      </c>
      <c r="Q1177">
        <f t="shared" si="190"/>
        <v>0.44149680455604368</v>
      </c>
      <c r="R1177">
        <f t="shared" si="191"/>
        <v>0.50595360219810515</v>
      </c>
      <c r="T1177" s="21">
        <f>(M1177-M1176)/(H1177-H1176)</f>
        <v>1.5144022589410611E-3</v>
      </c>
      <c r="W1177">
        <v>1062</v>
      </c>
      <c r="X1177">
        <v>21.491429</v>
      </c>
      <c r="Y1177">
        <v>1.5</v>
      </c>
      <c r="Z1177">
        <f t="shared" si="188"/>
        <v>1.5</v>
      </c>
      <c r="AA1177" s="21">
        <f>IF(X1177&gt;$B$8+$B$9,0,ABS(X1177-O1177)/X1177)</f>
        <v>2.8427605673204369E-3</v>
      </c>
      <c r="AB1177">
        <f>IF(OR(Z1174&lt;&gt;Z1180,X1177&gt;$B$8+$B$9),0,((X1180-X1174)/(W1180-W1174)-(O1180-O1174)/(W1180-W1174))^2)</f>
        <v>7.3822634931736918E-6</v>
      </c>
    </row>
    <row r="1178" spans="7:28" x14ac:dyDescent="0.2">
      <c r="G1178" s="21"/>
      <c r="H1178" s="21">
        <v>1063</v>
      </c>
      <c r="I1178">
        <f t="shared" si="194"/>
        <v>2.193515521089482E-2</v>
      </c>
      <c r="J1178">
        <f t="shared" si="195"/>
        <v>0.44082696460663306</v>
      </c>
      <c r="K1178">
        <f t="shared" si="189"/>
        <v>22.881873935042233</v>
      </c>
      <c r="L1178">
        <f>0.5*Z1178*K1178/J1178/$B$7</f>
        <v>38.930026584456918</v>
      </c>
      <c r="M1178">
        <f t="shared" si="192"/>
        <v>0.81910285103924085</v>
      </c>
      <c r="N1178" s="21">
        <f t="shared" si="196"/>
        <v>6.9249435437254966E-2</v>
      </c>
      <c r="O1178" s="21">
        <f t="shared" si="197"/>
        <v>21.452269168314327</v>
      </c>
      <c r="P1178">
        <f t="shared" si="193"/>
        <v>0.82885301204057982</v>
      </c>
      <c r="Q1178">
        <f t="shared" si="190"/>
        <v>0.44082696460663306</v>
      </c>
      <c r="R1178">
        <f t="shared" si="191"/>
        <v>0.50433901338742093</v>
      </c>
      <c r="T1178" s="21">
        <f>(M1178-M1177)/(H1178-H1177)</f>
        <v>1.5183543762709029E-3</v>
      </c>
      <c r="W1178">
        <v>1063</v>
      </c>
      <c r="X1178">
        <v>21.517388999999998</v>
      </c>
      <c r="Y1178">
        <v>1.5</v>
      </c>
      <c r="Z1178">
        <f t="shared" si="188"/>
        <v>1.5</v>
      </c>
      <c r="AA1178" s="21">
        <f>IF(X1178&gt;$B$8+$B$9,0,ABS(X1178-O1178)/X1178)</f>
        <v>3.0263816713854415E-3</v>
      </c>
      <c r="AB1178">
        <f>IF(OR(Z1175&lt;&gt;Z1181,X1178&gt;$B$8+$B$9),0,((X1181-X1175)/(W1181-W1175)-(O1181-O1175)/(W1181-W1175))^2)</f>
        <v>1.2842404427006069E-6</v>
      </c>
    </row>
    <row r="1179" spans="7:28" x14ac:dyDescent="0.2">
      <c r="G1179" s="21"/>
      <c r="H1179" s="21">
        <v>1064</v>
      </c>
      <c r="I1179">
        <f t="shared" si="194"/>
        <v>2.1973989906643274E-2</v>
      </c>
      <c r="J1179">
        <f t="shared" si="195"/>
        <v>0.44015639027116138</v>
      </c>
      <c r="K1179">
        <f t="shared" si="189"/>
        <v>22.877352487575941</v>
      </c>
      <c r="L1179">
        <f>0.5*Z1179*K1179/J1179/$B$7</f>
        <v>38.981631858421146</v>
      </c>
      <c r="M1179">
        <f t="shared" si="192"/>
        <v>0.82062518278651675</v>
      </c>
      <c r="N1179" s="21">
        <f t="shared" si="196"/>
        <v>6.9308180918580056E-2</v>
      </c>
      <c r="O1179" s="21">
        <f t="shared" si="197"/>
        <v>21.474243158220972</v>
      </c>
      <c r="P1179">
        <f t="shared" si="193"/>
        <v>0.82984699337117429</v>
      </c>
      <c r="Q1179">
        <f t="shared" si="190"/>
        <v>0.44015639027116138</v>
      </c>
      <c r="R1179">
        <f t="shared" si="191"/>
        <v>0.50273294337412511</v>
      </c>
      <c r="T1179" s="21">
        <f>(M1179-M1178)/(H1179-H1178)</f>
        <v>1.5223317472758957E-3</v>
      </c>
      <c r="W1179">
        <v>1064</v>
      </c>
      <c r="X1179">
        <v>21.535236000000001</v>
      </c>
      <c r="Y1179">
        <v>1.5</v>
      </c>
      <c r="Z1179">
        <f t="shared" si="188"/>
        <v>1.5</v>
      </c>
      <c r="AA1179" s="21">
        <f>IF(X1179&gt;$B$8+$B$9,0,ABS(X1179-O1179)/X1179)</f>
        <v>2.8322346585395813E-3</v>
      </c>
      <c r="AB1179">
        <f>IF(OR(Z1176&lt;&gt;Z1182,X1179&gt;$B$8+$B$9),0,((X1182-X1176)/(W1182-W1176)-(O1182-O1176)/(W1182-W1176))^2)</f>
        <v>9.3954979311120467E-6</v>
      </c>
    </row>
    <row r="1180" spans="7:28" x14ac:dyDescent="0.2">
      <c r="G1180" s="21"/>
      <c r="H1180" s="21">
        <v>1065</v>
      </c>
      <c r="I1180">
        <f t="shared" si="194"/>
        <v>2.2013078644806786E-2</v>
      </c>
      <c r="J1180">
        <f t="shared" si="195"/>
        <v>0.43948507679941351</v>
      </c>
      <c r="K1180">
        <f t="shared" si="189"/>
        <v>22.872854787926862</v>
      </c>
      <c r="L1180">
        <f>0.5*Z1180*K1180/J1180/$B$7</f>
        <v>39.033500786591532</v>
      </c>
      <c r="M1180">
        <f t="shared" si="192"/>
        <v>0.82215151738352765</v>
      </c>
      <c r="N1180" s="21">
        <f t="shared" si="196"/>
        <v>6.9367077292876125E-2</v>
      </c>
      <c r="O1180" s="21">
        <f t="shared" si="197"/>
        <v>21.496256236865779</v>
      </c>
      <c r="P1180">
        <f t="shared" si="193"/>
        <v>0.8308420703113385</v>
      </c>
      <c r="Q1180">
        <f t="shared" si="190"/>
        <v>0.43948507679941351</v>
      </c>
      <c r="R1180">
        <f t="shared" si="191"/>
        <v>0.50113531651381649</v>
      </c>
      <c r="T1180" s="21">
        <f>(M1180-M1179)/(H1180-H1179)</f>
        <v>1.5263345970109032E-3</v>
      </c>
      <c r="W1180">
        <v>1065</v>
      </c>
      <c r="X1180">
        <v>21.548215000000003</v>
      </c>
      <c r="Y1180">
        <v>1.5</v>
      </c>
      <c r="Z1180">
        <f t="shared" si="188"/>
        <v>1.5</v>
      </c>
      <c r="AA1180" s="21">
        <f>IF(X1180&gt;$B$8+$B$9,0,ABS(X1180-O1180)/X1180)</f>
        <v>2.4112792235562578E-3</v>
      </c>
      <c r="AB1180">
        <f>IF(OR(Z1177&lt;&gt;Z1183,X1180&gt;$B$8+$B$9),0,((X1183-X1177)/(W1183-W1177)-(O1183-O1177)/(W1183-W1177))^2)</f>
        <v>1.6837750234438227E-8</v>
      </c>
    </row>
    <row r="1181" spans="7:28" x14ac:dyDescent="0.2">
      <c r="G1181" s="21"/>
      <c r="H1181" s="21">
        <v>1066</v>
      </c>
      <c r="I1181">
        <f t="shared" si="194"/>
        <v>2.205242338892292E-2</v>
      </c>
      <c r="J1181">
        <f t="shared" si="195"/>
        <v>0.43881301940855977</v>
      </c>
      <c r="K1181">
        <f t="shared" si="189"/>
        <v>22.868380855933289</v>
      </c>
      <c r="L1181">
        <f>0.5*Z1181*K1181/J1181/$B$7</f>
        <v>39.0856353010373</v>
      </c>
      <c r="M1181">
        <f t="shared" si="192"/>
        <v>0.82368188053681046</v>
      </c>
      <c r="N1181" s="21">
        <f t="shared" si="196"/>
        <v>6.9426125886199147E-2</v>
      </c>
      <c r="O1181" s="21">
        <f t="shared" si="197"/>
        <v>21.518308660254704</v>
      </c>
      <c r="P1181">
        <f t="shared" si="193"/>
        <v>0.83183824995058275</v>
      </c>
      <c r="Q1181">
        <f t="shared" si="190"/>
        <v>0.43881301940855977</v>
      </c>
      <c r="R1181">
        <f t="shared" si="191"/>
        <v>0.49954605801012786</v>
      </c>
      <c r="T1181" s="21">
        <f>(M1181-M1180)/(H1181-H1180)</f>
        <v>1.5303631532828099E-3</v>
      </c>
      <c r="W1181">
        <v>1066</v>
      </c>
      <c r="X1181">
        <v>21.574175</v>
      </c>
      <c r="Y1181">
        <v>1.5</v>
      </c>
      <c r="Z1181">
        <f t="shared" si="188"/>
        <v>1.5</v>
      </c>
      <c r="AA1181" s="21">
        <f>IF(X1181&gt;$B$8+$B$9,0,ABS(X1181-O1181)/X1181)</f>
        <v>2.589500629585917E-3</v>
      </c>
      <c r="AB1181">
        <f>IF(OR(Z1178&lt;&gt;Z1184,X1181&gt;$B$8+$B$9),0,((X1184-X1178)/(W1184-W1178)-(O1184-O1178)/(W1184-W1178))^2)</f>
        <v>6.7759739203865929E-6</v>
      </c>
    </row>
    <row r="1182" spans="7:28" x14ac:dyDescent="0.2">
      <c r="G1182" s="21"/>
      <c r="H1182" s="21">
        <v>1067</v>
      </c>
      <c r="I1182">
        <f t="shared" si="194"/>
        <v>2.2092026125592992E-2</v>
      </c>
      <c r="J1182">
        <f t="shared" si="195"/>
        <v>0.43814021328278241</v>
      </c>
      <c r="K1182">
        <f t="shared" si="189"/>
        <v>22.86393071216941</v>
      </c>
      <c r="L1182">
        <f>0.5*Z1182*K1182/J1182/$B$7</f>
        <v>39.138037354858156</v>
      </c>
      <c r="M1182">
        <f t="shared" si="192"/>
        <v>0.82521629818350573</v>
      </c>
      <c r="N1182" s="21">
        <f t="shared" si="196"/>
        <v>6.9485328037862837E-2</v>
      </c>
      <c r="O1182" s="21">
        <f t="shared" si="197"/>
        <v>21.540400686380295</v>
      </c>
      <c r="P1182">
        <f t="shared" si="193"/>
        <v>0.83283553942731448</v>
      </c>
      <c r="Q1182">
        <f t="shared" si="190"/>
        <v>0.43814021328278241</v>
      </c>
      <c r="R1182">
        <f t="shared" si="191"/>
        <v>0.49796509390240717</v>
      </c>
      <c r="T1182" s="21">
        <f>(M1182-M1181)/(H1182-H1181)</f>
        <v>1.534417646695263E-3</v>
      </c>
      <c r="W1182">
        <v>1067</v>
      </c>
      <c r="X1182">
        <v>21.579041999999998</v>
      </c>
      <c r="Y1182">
        <v>1.5</v>
      </c>
      <c r="Z1182">
        <f t="shared" si="188"/>
        <v>1.5</v>
      </c>
      <c r="AA1182" s="21">
        <f>IF(X1182&gt;$B$8+$B$9,0,ABS(X1182-O1182)/X1182)</f>
        <v>1.790687168582498E-3</v>
      </c>
      <c r="AB1182">
        <f>IF(OR(Z1179&lt;&gt;Z1185,X1182&gt;$B$8+$B$9),0,((X1185-X1179)/(W1185-W1179)-(O1185-O1179)/(W1185-W1179))^2)</f>
        <v>0</v>
      </c>
    </row>
    <row r="1183" spans="7:28" x14ac:dyDescent="0.2">
      <c r="G1183" s="21"/>
      <c r="H1183" s="21">
        <v>1068</v>
      </c>
      <c r="I1183">
        <f t="shared" si="194"/>
        <v>2.2131888864806847E-2</v>
      </c>
      <c r="J1183">
        <f t="shared" si="195"/>
        <v>0.43746665357289816</v>
      </c>
      <c r="K1183">
        <f t="shared" si="189"/>
        <v>22.859504377950596</v>
      </c>
      <c r="L1183">
        <f>0.5*Z1183*K1183/J1183/$B$7</f>
        <v>39.190708922471082</v>
      </c>
      <c r="M1183">
        <f t="shared" si="192"/>
        <v>0.82675479649419481</v>
      </c>
      <c r="N1183" s="21">
        <f t="shared" si="196"/>
        <v>6.9544685100623144E-2</v>
      </c>
      <c r="O1183" s="21">
        <f t="shared" si="197"/>
        <v>21.5625325752451</v>
      </c>
      <c r="P1183">
        <f t="shared" si="193"/>
        <v>0.83383394592939841</v>
      </c>
      <c r="Q1183">
        <f t="shared" si="190"/>
        <v>0.43746665357289816</v>
      </c>
      <c r="R1183">
        <f t="shared" si="191"/>
        <v>0.49639235105360557</v>
      </c>
      <c r="T1183" s="21">
        <f>(M1183-M1182)/(H1183-H1182)</f>
        <v>1.5384983106890848E-3</v>
      </c>
      <c r="W1183">
        <v>1068</v>
      </c>
      <c r="X1183">
        <v>21.622848999999999</v>
      </c>
      <c r="Y1183">
        <v>1.5</v>
      </c>
      <c r="Z1183">
        <f t="shared" si="188"/>
        <v>1.5</v>
      </c>
      <c r="AA1183" s="21">
        <f>IF(X1183&gt;$B$8+$B$9,0,ABS(X1183-O1183)/X1183)</f>
        <v>2.7894762968052075E-3</v>
      </c>
      <c r="AB1183">
        <f>IF(OR(Z1180&lt;&gt;Z1186,X1183&gt;$B$8+$B$9),0,((X1186-X1180)/(W1186-W1180)-(O1186-O1180)/(W1186-W1180))^2)</f>
        <v>0</v>
      </c>
    </row>
    <row r="1184" spans="7:28" x14ac:dyDescent="0.2">
      <c r="G1184" s="21"/>
      <c r="H1184" s="21">
        <v>1069</v>
      </c>
      <c r="I1184">
        <f t="shared" si="194"/>
        <v>2.2172013640273564E-2</v>
      </c>
      <c r="J1184">
        <f t="shared" si="195"/>
        <v>0.43679233539597562</v>
      </c>
      <c r="K1184">
        <f t="shared" si="189"/>
        <v>22.855101875338818</v>
      </c>
      <c r="L1184">
        <f>0.5*Z1184*K1184/J1184/$B$7</f>
        <v>39.243651999901928</v>
      </c>
      <c r="M1184">
        <f t="shared" si="192"/>
        <v>0.8282974018757806</v>
      </c>
      <c r="N1184" s="21">
        <f t="shared" si="196"/>
        <v>6.9604198440865392E-2</v>
      </c>
      <c r="O1184" s="21">
        <f t="shared" si="197"/>
        <v>21.584704588885373</v>
      </c>
      <c r="P1184">
        <f t="shared" si="193"/>
        <v>0.83483347669472363</v>
      </c>
      <c r="Q1184">
        <f t="shared" si="190"/>
        <v>0.43679233539597562</v>
      </c>
      <c r="R1184">
        <f t="shared" si="191"/>
        <v>0.49482775713837129</v>
      </c>
      <c r="T1184" s="21">
        <f>(M1184-M1183)/(H1184-H1183)</f>
        <v>1.5426053815857932E-3</v>
      </c>
      <c r="W1184">
        <v>1069</v>
      </c>
      <c r="X1184">
        <v>21.634206000000002</v>
      </c>
      <c r="Y1184">
        <v>1.5</v>
      </c>
      <c r="Z1184">
        <f t="shared" si="188"/>
        <v>1.5</v>
      </c>
      <c r="AA1184" s="21">
        <f>IF(X1184&gt;$B$8+$B$9,0,ABS(X1184-O1184)/X1184)</f>
        <v>2.2881085219688528E-3</v>
      </c>
      <c r="AB1184">
        <f>IF(OR(Z1181&lt;&gt;Z1187,X1184&gt;$B$8+$B$9),0,((X1187-X1181)/(W1187-W1181)-(O1187-O1181)/(W1187-W1181))^2)</f>
        <v>0</v>
      </c>
    </row>
    <row r="1185" spans="7:28" x14ac:dyDescent="0.2">
      <c r="G1185" s="21"/>
      <c r="H1185" s="21">
        <v>1070</v>
      </c>
      <c r="I1185">
        <f t="shared" si="194"/>
        <v>2.2212402509757697E-2</v>
      </c>
      <c r="J1185">
        <f t="shared" si="195"/>
        <v>0.4361172538349477</v>
      </c>
      <c r="K1185">
        <f t="shared" si="189"/>
        <v>22.850723227148134</v>
      </c>
      <c r="L1185">
        <f>0.5*Z1185*K1185/J1185/$B$7</f>
        <v>26.197912403387949</v>
      </c>
      <c r="M1185">
        <f t="shared" si="192"/>
        <v>0.82984414097441184</v>
      </c>
      <c r="N1185" s="21">
        <f t="shared" si="196"/>
        <v>6.9663869438794948E-2</v>
      </c>
      <c r="O1185" s="21">
        <f t="shared" si="197"/>
        <v>21.606916991395131</v>
      </c>
      <c r="P1185">
        <f t="shared" si="193"/>
        <v>0.83583413901177794</v>
      </c>
      <c r="Q1185">
        <f t="shared" si="190"/>
        <v>0.4361172538349477</v>
      </c>
      <c r="R1185">
        <f t="shared" si="191"/>
        <v>0.49327124063134337</v>
      </c>
      <c r="T1185" s="21">
        <f>(M1185-M1184)/(H1185-H1184)</f>
        <v>1.5467390986312335E-3</v>
      </c>
      <c r="W1185">
        <v>1070</v>
      </c>
      <c r="X1185">
        <v>21.648808999999996</v>
      </c>
      <c r="Y1185">
        <v>1</v>
      </c>
      <c r="Z1185">
        <f t="shared" si="188"/>
        <v>1</v>
      </c>
      <c r="AA1185" s="21">
        <f>IF(X1185&gt;$B$8+$B$9,0,ABS(X1185-O1185)/X1185)</f>
        <v>1.9350722067373355E-3</v>
      </c>
      <c r="AB1185">
        <f>IF(OR(Z1182&lt;&gt;Z1188,X1185&gt;$B$8+$B$9),0,((X1188-X1182)/(W1188-W1182)-(O1188-O1182)/(W1188-W1182))^2)</f>
        <v>0</v>
      </c>
    </row>
    <row r="1186" spans="7:28" x14ac:dyDescent="0.2">
      <c r="G1186" s="21"/>
      <c r="H1186" s="21">
        <v>1071</v>
      </c>
      <c r="I1186">
        <f t="shared" si="194"/>
        <v>9.9637296651021896E-3</v>
      </c>
      <c r="J1186">
        <f t="shared" si="195"/>
        <v>0.43581458652073801</v>
      </c>
      <c r="K1186">
        <f t="shared" si="189"/>
        <v>22.848769453119651</v>
      </c>
      <c r="L1186">
        <f>0.5*Z1186*K1186/J1186/$B$7</f>
        <v>26.213864978142951</v>
      </c>
      <c r="M1186">
        <f t="shared" si="192"/>
        <v>0.83053838635543331</v>
      </c>
      <c r="N1186" s="21">
        <f t="shared" si="196"/>
        <v>6.9690651945258461E-2</v>
      </c>
      <c r="O1186" s="21">
        <f t="shared" si="197"/>
        <v>21.616880721060234</v>
      </c>
      <c r="P1186">
        <f t="shared" si="193"/>
        <v>0.83628277780361893</v>
      </c>
      <c r="Q1186">
        <f t="shared" si="190"/>
        <v>0.43581458652073801</v>
      </c>
      <c r="R1186">
        <f t="shared" si="191"/>
        <v>0.49257656398414484</v>
      </c>
      <c r="T1186" s="21">
        <f>(M1186-M1185)/(H1186-H1185)</f>
        <v>6.9424538102147437E-4</v>
      </c>
      <c r="W1186">
        <v>1071</v>
      </c>
      <c r="X1186">
        <v>21.661787999999998</v>
      </c>
      <c r="Y1186">
        <v>1</v>
      </c>
      <c r="Z1186">
        <f t="shared" si="188"/>
        <v>1</v>
      </c>
      <c r="AA1186" s="21">
        <f>IF(X1186&gt;$B$8+$B$9,0,ABS(X1186-O1186)/X1186)</f>
        <v>2.0731104440577107E-3</v>
      </c>
      <c r="AB1186">
        <f>IF(OR(Z1183&lt;&gt;Z1189,X1186&gt;$B$8+$B$9),0,((X1189-X1183)/(W1189-W1183)-(O1189-O1183)/(W1189-W1183))^2)</f>
        <v>0</v>
      </c>
    </row>
    <row r="1187" spans="7:28" x14ac:dyDescent="0.2">
      <c r="G1187" s="21"/>
      <c r="H1187" s="21">
        <v>1072</v>
      </c>
      <c r="I1187">
        <f t="shared" si="194"/>
        <v>9.9719230928378144E-3</v>
      </c>
      <c r="J1187">
        <f t="shared" si="195"/>
        <v>0.43551176424398963</v>
      </c>
      <c r="K1187">
        <f t="shared" si="189"/>
        <v>22.84682047098887</v>
      </c>
      <c r="L1187">
        <f>0.5*Z1187*K1187/J1187/$B$7</f>
        <v>26.229854560472038</v>
      </c>
      <c r="M1187">
        <f t="shared" si="192"/>
        <v>0.83123346986501556</v>
      </c>
      <c r="N1187" s="21">
        <f t="shared" si="196"/>
        <v>6.9717466525200347E-2</v>
      </c>
      <c r="O1187" s="21">
        <f t="shared" si="197"/>
        <v>21.626852644153072</v>
      </c>
      <c r="P1187">
        <f t="shared" si="193"/>
        <v>0.83673164629388752</v>
      </c>
      <c r="Q1187">
        <f t="shared" si="190"/>
        <v>0.43551176424398963</v>
      </c>
      <c r="R1187">
        <f t="shared" si="191"/>
        <v>0.4918834870514297</v>
      </c>
      <c r="T1187" s="21">
        <f>(M1187-M1186)/(H1187-H1186)</f>
        <v>6.9508350958225051E-4</v>
      </c>
      <c r="W1187">
        <v>1072</v>
      </c>
      <c r="X1187">
        <v>21.668277999999997</v>
      </c>
      <c r="Y1187">
        <v>1</v>
      </c>
      <c r="Z1187">
        <f t="shared" si="188"/>
        <v>1</v>
      </c>
      <c r="AA1187" s="21">
        <f>IF(X1187&gt;$B$8+$B$9,0,ABS(X1187-O1187)/X1187)</f>
        <v>1.9117973217311285E-3</v>
      </c>
      <c r="AB1187">
        <f>IF(OR(Z1184&lt;&gt;Z1190,X1187&gt;$B$8+$B$9),0,((X1190-X1184)/(W1190-W1184)-(O1190-O1184)/(W1190-W1184))^2)</f>
        <v>0</v>
      </c>
    </row>
    <row r="1188" spans="7:28" x14ac:dyDescent="0.2">
      <c r="G1188" s="21"/>
      <c r="H1188" s="21">
        <v>1073</v>
      </c>
      <c r="I1188">
        <f t="shared" si="194"/>
        <v>9.9801407210601129E-3</v>
      </c>
      <c r="J1188">
        <f t="shared" si="195"/>
        <v>0.4352087865546802</v>
      </c>
      <c r="K1188">
        <f t="shared" si="189"/>
        <v>22.844876282966343</v>
      </c>
      <c r="L1188">
        <f>0.5*Z1188*K1188/J1188/$B$7</f>
        <v>26.245881274384704</v>
      </c>
      <c r="M1188">
        <f t="shared" si="192"/>
        <v>0.83192939395055476</v>
      </c>
      <c r="N1188" s="21">
        <f t="shared" si="196"/>
        <v>6.9744313305622821E-2</v>
      </c>
      <c r="O1188" s="21">
        <f t="shared" si="197"/>
        <v>21.63683278487413</v>
      </c>
      <c r="P1188">
        <f t="shared" si="193"/>
        <v>0.83718074514964425</v>
      </c>
      <c r="Q1188">
        <f t="shared" si="190"/>
        <v>0.4352087865546802</v>
      </c>
      <c r="R1188">
        <f t="shared" si="191"/>
        <v>0.49119200355943637</v>
      </c>
      <c r="T1188" s="21">
        <f>(M1188-M1187)/(H1188-H1187)</f>
        <v>6.9592408553920126E-4</v>
      </c>
      <c r="W1188">
        <v>1073</v>
      </c>
      <c r="X1188">
        <v>21.682880000000001</v>
      </c>
      <c r="Y1188">
        <v>1</v>
      </c>
      <c r="Z1188">
        <f t="shared" si="188"/>
        <v>1</v>
      </c>
      <c r="AA1188" s="21">
        <f>IF(X1188&gt;$B$8+$B$9,0,ABS(X1188-O1188)/X1188)</f>
        <v>2.1236669264355391E-3</v>
      </c>
      <c r="AB1188">
        <f>IF(OR(Z1185&lt;&gt;Z1191,X1188&gt;$B$8+$B$9),0,((X1191-X1185)/(W1191-W1185)-(O1191-O1185)/(W1191-W1185))^2)</f>
        <v>2.7035921801972641E-7</v>
      </c>
    </row>
    <row r="1189" spans="7:28" x14ac:dyDescent="0.2">
      <c r="G1189" s="21"/>
      <c r="H1189" s="21">
        <v>1074</v>
      </c>
      <c r="I1189">
        <f t="shared" si="194"/>
        <v>9.9883826358580802E-3</v>
      </c>
      <c r="J1189">
        <f t="shared" si="195"/>
        <v>0.43490565300135908</v>
      </c>
      <c r="K1189">
        <f t="shared" si="189"/>
        <v>22.842936891293608</v>
      </c>
      <c r="L1189">
        <f>0.5*Z1189*K1189/J1189/$B$7</f>
        <v>26.261945244503668</v>
      </c>
      <c r="M1189">
        <f t="shared" si="192"/>
        <v>0.83262616106946308</v>
      </c>
      <c r="N1189" s="21">
        <f t="shared" si="196"/>
        <v>6.9771192414109021E-2</v>
      </c>
      <c r="O1189" s="21">
        <f t="shared" si="197"/>
        <v>21.646821167509987</v>
      </c>
      <c r="P1189">
        <f t="shared" si="193"/>
        <v>0.83763007504006726</v>
      </c>
      <c r="Q1189">
        <f t="shared" si="190"/>
        <v>0.43490565300135908</v>
      </c>
      <c r="R1189">
        <f t="shared" si="191"/>
        <v>0.49050210726526572</v>
      </c>
      <c r="T1189" s="21">
        <f>(M1189-M1188)/(H1189-H1188)</f>
        <v>6.9676711890831466E-4</v>
      </c>
      <c r="W1189">
        <v>1074</v>
      </c>
      <c r="X1189">
        <v>21.68937</v>
      </c>
      <c r="Y1189">
        <v>1</v>
      </c>
      <c r="Z1189">
        <f t="shared" si="188"/>
        <v>1</v>
      </c>
      <c r="AA1189" s="21">
        <f>IF(X1189&gt;$B$8+$B$9,0,ABS(X1189-O1189)/X1189)</f>
        <v>1.9617366705447395E-3</v>
      </c>
      <c r="AB1189">
        <f>IF(OR(Z1186&lt;&gt;Z1192,X1189&gt;$B$8+$B$9),0,((X1192-X1186)/(W1192-W1186)-(O1192-O1186)/(W1192-W1186))^2)</f>
        <v>6.376794440956112E-7</v>
      </c>
    </row>
    <row r="1190" spans="7:28" x14ac:dyDescent="0.2">
      <c r="G1190" s="21"/>
      <c r="H1190" s="21">
        <v>1075</v>
      </c>
      <c r="I1190">
        <f t="shared" si="194"/>
        <v>9.9966489237800025E-3</v>
      </c>
      <c r="J1190">
        <f t="shared" si="195"/>
        <v>0.43460236313113909</v>
      </c>
      <c r="K1190">
        <f t="shared" si="189"/>
        <v>22.841002298243303</v>
      </c>
      <c r="L1190">
        <f>0.5*Z1190*K1190/J1190/$B$7</f>
        <v>26.27804659606872</v>
      </c>
      <c r="M1190">
        <f t="shared" si="192"/>
        <v>0.83332377368922705</v>
      </c>
      <c r="N1190" s="21">
        <f t="shared" si="196"/>
        <v>6.9798103978826659E-2</v>
      </c>
      <c r="O1190" s="21">
        <f t="shared" si="197"/>
        <v>21.656817816433769</v>
      </c>
      <c r="P1190">
        <f t="shared" si="193"/>
        <v>0.83807963663646357</v>
      </c>
      <c r="Q1190">
        <f t="shared" si="190"/>
        <v>0.43460236313113909</v>
      </c>
      <c r="R1190">
        <f t="shared" si="191"/>
        <v>0.48981379195668212</v>
      </c>
      <c r="T1190" s="21">
        <f>(M1190-M1189)/(H1190-H1189)</f>
        <v>6.9761261976397648E-4</v>
      </c>
      <c r="W1190">
        <v>1075</v>
      </c>
      <c r="X1190">
        <v>21.703971999999997</v>
      </c>
      <c r="Y1190">
        <v>1</v>
      </c>
      <c r="Z1190">
        <f t="shared" si="188"/>
        <v>1</v>
      </c>
      <c r="AA1190" s="21">
        <f>IF(X1190&gt;$B$8+$B$9,0,ABS(X1190-O1190)/X1190)</f>
        <v>2.1726061739403241E-3</v>
      </c>
      <c r="AB1190">
        <f>IF(OR(Z1187&lt;&gt;Z1193,X1190&gt;$B$8+$B$9),0,((X1193-X1187)/(W1193-W1187)-(O1193-O1187)/(W1193-W1187))^2)</f>
        <v>6.6532249220692154E-7</v>
      </c>
    </row>
    <row r="1191" spans="7:28" x14ac:dyDescent="0.2">
      <c r="G1191" s="21"/>
      <c r="H1191" s="21">
        <v>1076</v>
      </c>
      <c r="I1191">
        <f t="shared" si="194"/>
        <v>1.0004939671836383E-2</v>
      </c>
      <c r="J1191">
        <f t="shared" si="195"/>
        <v>0.43429891648968988</v>
      </c>
      <c r="K1191">
        <f t="shared" si="189"/>
        <v>22.839072506119276</v>
      </c>
      <c r="L1191">
        <f>0.5*Z1191*K1191/J1191/$B$7</f>
        <v>26.294185454940536</v>
      </c>
      <c r="M1191">
        <f t="shared" si="192"/>
        <v>0.83402223428746203</v>
      </c>
      <c r="N1191" s="21">
        <f t="shared" si="196"/>
        <v>6.9825048128531658E-2</v>
      </c>
      <c r="O1191" s="21">
        <f t="shared" si="197"/>
        <v>21.666822756105606</v>
      </c>
      <c r="P1191">
        <f t="shared" si="193"/>
        <v>0.83852943061227969</v>
      </c>
      <c r="Q1191">
        <f t="shared" si="190"/>
        <v>0.43429891648968988</v>
      </c>
      <c r="R1191">
        <f t="shared" si="191"/>
        <v>0.48912705145191704</v>
      </c>
      <c r="T1191" s="21">
        <f>(M1191-M1190)/(H1191-H1190)</f>
        <v>6.9846059823497342E-4</v>
      </c>
      <c r="W1191">
        <v>1076</v>
      </c>
      <c r="X1191">
        <v>21.705594999999999</v>
      </c>
      <c r="Y1191">
        <v>1</v>
      </c>
      <c r="Z1191">
        <f t="shared" si="188"/>
        <v>1</v>
      </c>
      <c r="AA1191" s="21">
        <f>IF(X1191&gt;$B$8+$B$9,0,ABS(X1191-O1191)/X1191)</f>
        <v>1.7862787863862977E-3</v>
      </c>
      <c r="AB1191">
        <f>IF(OR(Z1188&lt;&gt;Z1194,X1191&gt;$B$8+$B$9),0,((X1194-X1188)/(W1194-W1188)-(O1194-O1188)/(W1194-W1188))^2)</f>
        <v>6.5184614153331972E-7</v>
      </c>
    </row>
    <row r="1192" spans="7:28" x14ac:dyDescent="0.2">
      <c r="G1192" s="21"/>
      <c r="H1192" s="21">
        <v>1077</v>
      </c>
      <c r="I1192">
        <f t="shared" si="194"/>
        <v>1.0013254967502997E-2</v>
      </c>
      <c r="J1192">
        <f t="shared" si="195"/>
        <v>0.43399531262123026</v>
      </c>
      <c r="K1192">
        <f t="shared" si="189"/>
        <v>22.837147517256685</v>
      </c>
      <c r="L1192">
        <f>0.5*Z1192*K1192/J1192/$B$7</f>
        <v>26.310361947604516</v>
      </c>
      <c r="M1192">
        <f t="shared" si="192"/>
        <v>0.83472154535196896</v>
      </c>
      <c r="N1192" s="21">
        <f t="shared" si="196"/>
        <v>6.9852024992571912E-2</v>
      </c>
      <c r="O1192" s="21">
        <f t="shared" si="197"/>
        <v>21.67683601107311</v>
      </c>
      <c r="P1192">
        <f t="shared" si="193"/>
        <v>0.83897945764311277</v>
      </c>
      <c r="Q1192">
        <f t="shared" si="190"/>
        <v>0.43399531262123026</v>
      </c>
      <c r="R1192">
        <f t="shared" si="191"/>
        <v>0.48844187959947333</v>
      </c>
      <c r="T1192" s="21">
        <f>(M1192-M1191)/(H1192-H1191)</f>
        <v>6.9931106450693559E-4</v>
      </c>
      <c r="W1192">
        <v>1077</v>
      </c>
      <c r="X1192">
        <v>21.716952000000003</v>
      </c>
      <c r="Y1192">
        <v>1</v>
      </c>
      <c r="Z1192">
        <f t="shared" si="188"/>
        <v>1</v>
      </c>
      <c r="AA1192" s="21">
        <f>IF(X1192&gt;$B$8+$B$9,0,ABS(X1192-O1192)/X1192)</f>
        <v>1.8472200392989078E-3</v>
      </c>
      <c r="AB1192">
        <f>IF(OR(Z1189&lt;&gt;Z1195,X1192&gt;$B$8+$B$9),0,((X1195-X1189)/(W1195-W1189)-(O1195-O1189)/(W1195-W1189))^2)</f>
        <v>2.5927724666980155E-6</v>
      </c>
    </row>
    <row r="1193" spans="7:28" x14ac:dyDescent="0.2">
      <c r="G1193" s="21"/>
      <c r="H1193" s="21">
        <v>1078</v>
      </c>
      <c r="I1193">
        <f t="shared" si="194"/>
        <v>1.0021594898723753E-2</v>
      </c>
      <c r="J1193">
        <f t="shared" si="195"/>
        <v>0.43369155106852031</v>
      </c>
      <c r="K1193">
        <f t="shared" si="189"/>
        <v>22.835227334022129</v>
      </c>
      <c r="L1193">
        <f>0.5*Z1193*K1193/J1193/$B$7</f>
        <v>26.326576201174735</v>
      </c>
      <c r="M1193">
        <f t="shared" si="192"/>
        <v>0.83542170938079297</v>
      </c>
      <c r="N1193" s="21">
        <f t="shared" si="196"/>
        <v>6.9879034700891102E-2</v>
      </c>
      <c r="O1193" s="21">
        <f t="shared" si="197"/>
        <v>21.686857605971834</v>
      </c>
      <c r="P1193">
        <f t="shared" si="193"/>
        <v>0.83942971840672165</v>
      </c>
      <c r="Q1193">
        <f t="shared" si="190"/>
        <v>0.43369155106852031</v>
      </c>
      <c r="R1193">
        <f t="shared" si="191"/>
        <v>0.4877582702779315</v>
      </c>
      <c r="T1193" s="21">
        <f>(M1193-M1192)/(H1193-H1192)</f>
        <v>7.0016402882400186E-4</v>
      </c>
      <c r="W1193">
        <v>1078</v>
      </c>
      <c r="X1193">
        <v>21.733177000000001</v>
      </c>
      <c r="Y1193">
        <v>1</v>
      </c>
      <c r="Z1193">
        <f t="shared" si="188"/>
        <v>1</v>
      </c>
      <c r="AA1193" s="21">
        <f>IF(X1193&gt;$B$8+$B$9,0,ABS(X1193-O1193)/X1193)</f>
        <v>2.1312757922215871E-3</v>
      </c>
      <c r="AB1193">
        <f>IF(OR(Z1190&lt;&gt;Z1196,X1193&gt;$B$8+$B$9),0,((X1196-X1190)/(W1196-W1190)-(O1196-O1190)/(W1196-W1190))^2)</f>
        <v>4.1930415836446123E-10</v>
      </c>
    </row>
    <row r="1194" spans="7:28" x14ac:dyDescent="0.2">
      <c r="G1194" s="21"/>
      <c r="H1194" s="21">
        <v>1079</v>
      </c>
      <c r="I1194">
        <f t="shared" si="194"/>
        <v>1.0029959553913902E-2</v>
      </c>
      <c r="J1194">
        <f t="shared" si="195"/>
        <v>0.43338763137285385</v>
      </c>
      <c r="K1194">
        <f t="shared" si="189"/>
        <v>22.833311958813717</v>
      </c>
      <c r="L1194">
        <f>0.5*Z1194*K1194/J1194/$B$7</f>
        <v>26.342828343397816</v>
      </c>
      <c r="M1194">
        <f t="shared" si="192"/>
        <v>0.83612272888228056</v>
      </c>
      <c r="N1194" s="21">
        <f t="shared" si="196"/>
        <v>6.9906077384032358E-2</v>
      </c>
      <c r="O1194" s="21">
        <f t="shared" si="197"/>
        <v>21.696887565525749</v>
      </c>
      <c r="P1194">
        <f t="shared" si="193"/>
        <v>0.83988021358303933</v>
      </c>
      <c r="Q1194">
        <f t="shared" si="190"/>
        <v>0.43338763137285385</v>
      </c>
      <c r="R1194">
        <f t="shared" si="191"/>
        <v>0.48707621739575496</v>
      </c>
      <c r="T1194" s="21">
        <f>(M1194-M1193)/(H1194-H1193)</f>
        <v>7.0101950148759862E-4</v>
      </c>
      <c r="W1194">
        <v>1079</v>
      </c>
      <c r="X1194">
        <v>21.747778999999998</v>
      </c>
      <c r="Y1194">
        <v>1</v>
      </c>
      <c r="Z1194">
        <f t="shared" si="188"/>
        <v>1</v>
      </c>
      <c r="AA1194" s="21">
        <f>IF(X1194&gt;$B$8+$B$9,0,ABS(X1194-O1194)/X1194)</f>
        <v>2.3400750244081752E-3</v>
      </c>
      <c r="AB1194">
        <f>IF(OR(Z1191&lt;&gt;Z1197,X1194&gt;$B$8+$B$9),0,((X1197-X1191)/(W1197-W1191)-(O1197-O1191)/(W1197-W1191))^2)</f>
        <v>2.539176072945638E-6</v>
      </c>
    </row>
    <row r="1195" spans="7:28" x14ac:dyDescent="0.2">
      <c r="G1195" s="21"/>
      <c r="H1195" s="21">
        <v>1080</v>
      </c>
      <c r="I1195">
        <f t="shared" si="194"/>
        <v>1.0038349021962902E-2</v>
      </c>
      <c r="J1195">
        <f t="shared" si="195"/>
        <v>0.43308355307405122</v>
      </c>
      <c r="K1195">
        <f t="shared" si="189"/>
        <v>22.831401394061224</v>
      </c>
      <c r="L1195">
        <f>0.5*Z1195*K1195/J1195/$B$7</f>
        <v>26.359118502656894</v>
      </c>
      <c r="M1195">
        <f t="shared" si="192"/>
        <v>0.83682460637513678</v>
      </c>
      <c r="N1195" s="21">
        <f t="shared" si="196"/>
        <v>6.9933153173142137E-2</v>
      </c>
      <c r="O1195" s="21">
        <f t="shared" si="197"/>
        <v>21.70692591454771</v>
      </c>
      <c r="P1195">
        <f t="shared" si="193"/>
        <v>0.84033094385418239</v>
      </c>
      <c r="Q1195">
        <f t="shared" si="190"/>
        <v>0.43308355307405122</v>
      </c>
      <c r="R1195">
        <f t="shared" si="191"/>
        <v>0.48639571489110189</v>
      </c>
      <c r="T1195" s="21">
        <f>(M1195-M1194)/(H1195-H1194)</f>
        <v>7.018774928562177E-4</v>
      </c>
      <c r="W1195">
        <v>1080</v>
      </c>
      <c r="X1195">
        <v>21.759136000000002</v>
      </c>
      <c r="Y1195">
        <v>1</v>
      </c>
      <c r="Z1195">
        <f t="shared" si="188"/>
        <v>1</v>
      </c>
      <c r="AA1195" s="21">
        <f>IF(X1195&gt;$B$8+$B$9,0,ABS(X1195-O1195)/X1195)</f>
        <v>2.3994558171928841E-3</v>
      </c>
      <c r="AB1195">
        <f>IF(OR(Z1192&lt;&gt;Z1198,X1195&gt;$B$8+$B$9),0,((X1198-X1192)/(W1198-W1192)-(O1198-O1192)/(W1198-W1192))^2)</f>
        <v>2.5342216158617518E-7</v>
      </c>
    </row>
    <row r="1196" spans="7:28" x14ac:dyDescent="0.2">
      <c r="G1196" s="21"/>
      <c r="H1196" s="21">
        <v>1081</v>
      </c>
      <c r="I1196">
        <f t="shared" si="194"/>
        <v>1.0046763392237623E-2</v>
      </c>
      <c r="J1196">
        <f t="shared" si="195"/>
        <v>0.43277931571045136</v>
      </c>
      <c r="K1196">
        <f t="shared" si="189"/>
        <v>22.829495642226188</v>
      </c>
      <c r="L1196">
        <f>0.5*Z1196*K1196/J1196/$B$7</f>
        <v>26.375446807975614</v>
      </c>
      <c r="M1196">
        <f t="shared" si="192"/>
        <v>0.83752734438848375</v>
      </c>
      <c r="N1196" s="21">
        <f t="shared" si="196"/>
        <v>6.9960262199973949E-2</v>
      </c>
      <c r="O1196" s="21">
        <f t="shared" si="197"/>
        <v>21.71697267793995</v>
      </c>
      <c r="P1196">
        <f t="shared" si="193"/>
        <v>0.84078190990446344</v>
      </c>
      <c r="Q1196">
        <f t="shared" si="190"/>
        <v>0.43277931571045136</v>
      </c>
      <c r="R1196">
        <f t="shared" si="191"/>
        <v>0.48571675673163345</v>
      </c>
      <c r="T1196" s="21">
        <f>(M1196-M1195)/(H1196-H1195)</f>
        <v>7.0273801334697072E-4</v>
      </c>
      <c r="W1196">
        <v>1081</v>
      </c>
      <c r="X1196">
        <v>21.764003999999996</v>
      </c>
      <c r="Y1196">
        <v>1</v>
      </c>
      <c r="Z1196">
        <f t="shared" si="188"/>
        <v>1</v>
      </c>
      <c r="AA1196" s="21">
        <f>IF(X1196&gt;$B$8+$B$9,0,ABS(X1196-O1196)/X1196)</f>
        <v>2.1609682694437421E-3</v>
      </c>
      <c r="AB1196">
        <f>IF(OR(Z1193&lt;&gt;Z1199,X1196&gt;$B$8+$B$9),0,((X1199-X1193)/(W1199-W1193)-(O1199-O1193)/(W1199-W1193))^2)</f>
        <v>5.8596505527928355E-7</v>
      </c>
    </row>
    <row r="1197" spans="7:28" x14ac:dyDescent="0.2">
      <c r="G1197" s="21"/>
      <c r="H1197" s="21">
        <v>1082</v>
      </c>
      <c r="I1197">
        <f t="shared" si="194"/>
        <v>1.0055202754585393E-2</v>
      </c>
      <c r="J1197">
        <f t="shared" si="195"/>
        <v>0.43247491881890399</v>
      </c>
      <c r="K1197">
        <f t="shared" si="189"/>
        <v>22.82759470580201</v>
      </c>
      <c r="L1197">
        <f>0.5*Z1197*K1197/J1197/$B$7</f>
        <v>26.391813389022122</v>
      </c>
      <c r="M1197">
        <f t="shared" si="192"/>
        <v>0.83823094546192012</v>
      </c>
      <c r="N1197" s="21">
        <f t="shared" si="196"/>
        <v>6.9987404596892344E-2</v>
      </c>
      <c r="O1197" s="21">
        <f t="shared" si="197"/>
        <v>21.727027880694536</v>
      </c>
      <c r="P1197">
        <f t="shared" si="193"/>
        <v>0.84123311242040255</v>
      </c>
      <c r="Q1197">
        <f t="shared" si="190"/>
        <v>0.43247491881890399</v>
      </c>
      <c r="R1197">
        <f t="shared" si="191"/>
        <v>0.48503933691432582</v>
      </c>
      <c r="T1197" s="21">
        <f>(M1197-M1196)/(H1197-H1196)</f>
        <v>7.0360107343636624E-4</v>
      </c>
      <c r="W1197">
        <v>1082</v>
      </c>
      <c r="X1197">
        <v>21.775361</v>
      </c>
      <c r="Y1197">
        <v>1</v>
      </c>
      <c r="Z1197">
        <f t="shared" si="188"/>
        <v>1</v>
      </c>
      <c r="AA1197" s="21">
        <f>IF(X1197&gt;$B$8+$B$9,0,ABS(X1197-O1197)/X1197)</f>
        <v>2.219624248960308E-3</v>
      </c>
      <c r="AB1197">
        <f>IF(OR(Z1194&lt;&gt;Z1200,X1197&gt;$B$8+$B$9),0,((X1200-X1194)/(W1200-W1194)-(O1200-O1194)/(W1200-W1194))^2)</f>
        <v>5.7309672094991339E-7</v>
      </c>
    </row>
    <row r="1198" spans="7:28" x14ac:dyDescent="0.2">
      <c r="G1198" s="21"/>
      <c r="H1198" s="21">
        <v>1083</v>
      </c>
      <c r="I1198">
        <f t="shared" si="194"/>
        <v>1.0063667199337135E-2</v>
      </c>
      <c r="J1198">
        <f t="shared" si="195"/>
        <v>0.43217036193476199</v>
      </c>
      <c r="K1198">
        <f t="shared" si="189"/>
        <v>22.825698587314079</v>
      </c>
      <c r="L1198">
        <f>0.5*Z1198*K1198/J1198/$B$7</f>
        <v>26.408218376113119</v>
      </c>
      <c r="M1198">
        <f t="shared" si="192"/>
        <v>0.83893541214557987</v>
      </c>
      <c r="N1198" s="21">
        <f t="shared" si="196"/>
        <v>7.0014580496876797E-2</v>
      </c>
      <c r="O1198" s="21">
        <f t="shared" si="197"/>
        <v>21.737091547893872</v>
      </c>
      <c r="P1198">
        <f t="shared" si="193"/>
        <v>0.84168455209073867</v>
      </c>
      <c r="Q1198">
        <f t="shared" si="190"/>
        <v>0.43217036193476199</v>
      </c>
      <c r="R1198">
        <f t="shared" si="191"/>
        <v>0.48436344946528298</v>
      </c>
      <c r="T1198" s="21">
        <f>(M1198-M1197)/(H1198-H1197)</f>
        <v>7.0446668365975462E-4</v>
      </c>
      <c r="W1198">
        <v>1083</v>
      </c>
      <c r="X1198">
        <v>21.780227999999997</v>
      </c>
      <c r="Y1198">
        <v>1</v>
      </c>
      <c r="Z1198">
        <f t="shared" si="188"/>
        <v>1</v>
      </c>
      <c r="AA1198" s="21">
        <f>IF(X1198&gt;$B$8+$B$9,0,ABS(X1198-O1198)/X1198)</f>
        <v>1.9805326237230156E-3</v>
      </c>
      <c r="AB1198">
        <f>IF(OR(Z1195&lt;&gt;Z1201,X1198&gt;$B$8+$B$9),0,((X1201-X1195)/(W1201-W1195)-(O1201-O1195)/(W1201-W1195))^2)</f>
        <v>3.8244194691724571E-6</v>
      </c>
    </row>
    <row r="1199" spans="7:28" x14ac:dyDescent="0.2">
      <c r="G1199" s="21"/>
      <c r="H1199" s="21">
        <v>1084</v>
      </c>
      <c r="I1199">
        <f t="shared" si="194"/>
        <v>1.0072156817310475E-2</v>
      </c>
      <c r="J1199">
        <f t="shared" si="195"/>
        <v>0.43186564459187349</v>
      </c>
      <c r="K1199">
        <f t="shared" si="189"/>
        <v>22.823807289319898</v>
      </c>
      <c r="L1199">
        <f>0.5*Z1199*K1199/J1199/$B$7</f>
        <v>26.424661900217959</v>
      </c>
      <c r="M1199">
        <f t="shared" si="192"/>
        <v>0.83964074700019187</v>
      </c>
      <c r="N1199" s="21">
        <f t="shared" si="196"/>
        <v>7.0041790033525481E-2</v>
      </c>
      <c r="O1199" s="21">
        <f t="shared" si="197"/>
        <v>21.747163704711184</v>
      </c>
      <c r="P1199">
        <f t="shared" si="193"/>
        <v>0.84213622960644086</v>
      </c>
      <c r="Q1199">
        <f t="shared" si="190"/>
        <v>0.43186564459187349</v>
      </c>
      <c r="R1199">
        <f t="shared" si="191"/>
        <v>0.48368908843955166</v>
      </c>
      <c r="T1199" s="21">
        <f>(M1199-M1198)/(H1199-H1198)</f>
        <v>7.0533485461199419E-4</v>
      </c>
      <c r="W1199">
        <v>1084</v>
      </c>
      <c r="X1199">
        <v>21.798075999999998</v>
      </c>
      <c r="Y1199">
        <v>1</v>
      </c>
      <c r="Z1199">
        <f t="shared" si="188"/>
        <v>1</v>
      </c>
      <c r="AA1199" s="21">
        <f>IF(X1199&gt;$B$8+$B$9,0,ABS(X1199-O1199)/X1199)</f>
        <v>2.3356325250363445E-3</v>
      </c>
      <c r="AB1199">
        <f>IF(OR(Z1196&lt;&gt;Z1202,X1199&gt;$B$8+$B$9),0,((X1202-X1196)/(W1202-W1196)-(O1202-O1196)/(W1202-W1196))^2)</f>
        <v>3.3180516669717961E-6</v>
      </c>
    </row>
    <row r="1200" spans="7:28" x14ac:dyDescent="0.2">
      <c r="G1200" s="21"/>
      <c r="H1200" s="21">
        <v>1085</v>
      </c>
      <c r="I1200">
        <f t="shared" si="194"/>
        <v>1.0080671699813002E-2</v>
      </c>
      <c r="J1200">
        <f t="shared" si="195"/>
        <v>0.43156076632257367</v>
      </c>
      <c r="K1200">
        <f t="shared" si="189"/>
        <v>22.821920814409168</v>
      </c>
      <c r="L1200">
        <f>0.5*Z1200*K1200/J1200/$B$7</f>
        <v>26.44114409296272</v>
      </c>
      <c r="M1200">
        <f t="shared" si="192"/>
        <v>0.84034695259714098</v>
      </c>
      <c r="N1200" s="21">
        <f t="shared" si="196"/>
        <v>7.0069033341059475E-2</v>
      </c>
      <c r="O1200" s="21">
        <f t="shared" si="197"/>
        <v>21.757244376410998</v>
      </c>
      <c r="P1200">
        <f t="shared" si="193"/>
        <v>0.84258814566072116</v>
      </c>
      <c r="Q1200">
        <f t="shared" si="190"/>
        <v>0.43156076632257367</v>
      </c>
      <c r="R1200">
        <f t="shared" si="191"/>
        <v>0.48301624792093534</v>
      </c>
      <c r="T1200" s="21">
        <f>(M1200-M1199)/(H1200-H1199)</f>
        <v>7.0620559694911655E-4</v>
      </c>
      <c r="W1200">
        <v>1085</v>
      </c>
      <c r="X1200">
        <v>21.812678000000002</v>
      </c>
      <c r="Y1200">
        <v>1</v>
      </c>
      <c r="Z1200">
        <f t="shared" si="188"/>
        <v>1</v>
      </c>
      <c r="AA1200" s="21">
        <f>IF(X1200&gt;$B$8+$B$9,0,ABS(X1200-O1200)/X1200)</f>
        <v>2.5413488242481451E-3</v>
      </c>
      <c r="AB1200">
        <f>IF(OR(Z1197&lt;&gt;Z1203,X1200&gt;$B$8+$B$9),0,((X1203-X1197)/(W1203-W1197)-(O1203-O1197)/(W1203-W1197))^2)</f>
        <v>8.3802007788284972E-6</v>
      </c>
    </row>
    <row r="1201" spans="7:28" x14ac:dyDescent="0.2">
      <c r="G1201" s="21"/>
      <c r="H1201" s="21">
        <v>1086</v>
      </c>
      <c r="I1201">
        <f t="shared" si="194"/>
        <v>1.0089211938645358E-2</v>
      </c>
      <c r="J1201">
        <f t="shared" si="195"/>
        <v>0.43125572665767786</v>
      </c>
      <c r="K1201">
        <f t="shared" si="189"/>
        <v>22.820039165203951</v>
      </c>
      <c r="L1201">
        <f>0.5*Z1201*K1201/J1201/$B$7</f>
        <v>26.457665086634364</v>
      </c>
      <c r="M1201">
        <f t="shared" si="192"/>
        <v>0.84105403151852587</v>
      </c>
      <c r="N1201" s="21">
        <f t="shared" si="196"/>
        <v>7.0096310554326413E-2</v>
      </c>
      <c r="O1201" s="21">
        <f t="shared" si="197"/>
        <v>21.767333588349643</v>
      </c>
      <c r="P1201">
        <f t="shared" si="193"/>
        <v>0.84304030094904403</v>
      </c>
      <c r="Q1201">
        <f t="shared" si="190"/>
        <v>0.43125572665767786</v>
      </c>
      <c r="R1201">
        <f t="shared" si="191"/>
        <v>0.48234492202181456</v>
      </c>
      <c r="T1201" s="21">
        <f>(M1201-M1200)/(H1201-H1200)</f>
        <v>7.0707892138488493E-4</v>
      </c>
      <c r="W1201">
        <v>1086</v>
      </c>
      <c r="X1201">
        <v>21.80781</v>
      </c>
      <c r="Y1201">
        <v>1</v>
      </c>
      <c r="Z1201">
        <f t="shared" si="188"/>
        <v>1</v>
      </c>
      <c r="AA1201" s="21">
        <f>IF(X1201&gt;$B$8+$B$9,0,ABS(X1201-O1201)/X1201)</f>
        <v>1.8560511876413279E-3</v>
      </c>
      <c r="AB1201">
        <f>IF(OR(Z1198&lt;&gt;Z1204,X1201&gt;$B$8+$B$9),0,((X1204-X1198)/(W1204-W1198)-(O1204-O1198)/(W1204-W1198))^2)</f>
        <v>1.3671293452976572E-5</v>
      </c>
    </row>
    <row r="1202" spans="7:28" x14ac:dyDescent="0.2">
      <c r="G1202" s="21"/>
      <c r="H1202" s="21">
        <v>1087</v>
      </c>
      <c r="I1202">
        <f t="shared" si="194"/>
        <v>1.0097777626104594E-2</v>
      </c>
      <c r="J1202">
        <f t="shared" si="195"/>
        <v>0.43095052512647258</v>
      </c>
      <c r="K1202">
        <f t="shared" si="189"/>
        <v>22.81816234435875</v>
      </c>
      <c r="L1202">
        <f>0.5*Z1202*K1202/J1202/$B$7</f>
        <v>26.474225014184892</v>
      </c>
      <c r="M1202">
        <f t="shared" si="192"/>
        <v>0.84176198635722255</v>
      </c>
      <c r="N1202" s="21">
        <f t="shared" si="196"/>
        <v>7.012362180880477E-2</v>
      </c>
      <c r="O1202" s="21">
        <f t="shared" si="197"/>
        <v>21.777431365975747</v>
      </c>
      <c r="P1202">
        <f t="shared" si="193"/>
        <v>0.8434926961691408</v>
      </c>
      <c r="Q1202">
        <f t="shared" si="190"/>
        <v>0.43095052512647258</v>
      </c>
      <c r="R1202">
        <f t="shared" si="191"/>
        <v>0.48167510488296167</v>
      </c>
      <c r="T1202" s="21">
        <f>(M1202-M1201)/(H1202-H1201)</f>
        <v>7.079548386966783E-4</v>
      </c>
      <c r="W1202">
        <v>1087</v>
      </c>
      <c r="X1202">
        <v>21.835392000000002</v>
      </c>
      <c r="Y1202">
        <v>1</v>
      </c>
      <c r="Z1202">
        <f t="shared" si="188"/>
        <v>1</v>
      </c>
      <c r="AA1202" s="21">
        <f>IF(X1202&gt;$B$8+$B$9,0,ABS(X1202-O1202)/X1202)</f>
        <v>2.6544352409269721E-3</v>
      </c>
      <c r="AB1202">
        <f>IF(OR(Z1199&lt;&gt;Z1205,X1202&gt;$B$8+$B$9),0,((X1205-X1199)/(W1205-W1199)-(O1205-O1199)/(W1205-W1199))^2)</f>
        <v>2.327331203816812E-6</v>
      </c>
    </row>
    <row r="1203" spans="7:28" x14ac:dyDescent="0.2">
      <c r="G1203" s="21"/>
      <c r="H1203" s="21">
        <v>1088</v>
      </c>
      <c r="I1203">
        <f t="shared" si="194"/>
        <v>1.0106368854987256E-2</v>
      </c>
      <c r="J1203">
        <f t="shared" si="195"/>
        <v>0.43064516125670738</v>
      </c>
      <c r="K1203">
        <f t="shared" si="189"/>
        <v>22.816290354560639</v>
      </c>
      <c r="L1203">
        <f>0.5*Z1203*K1203/J1203/$B$7</f>
        <v>26.490824009235599</v>
      </c>
      <c r="M1203">
        <f t="shared" si="192"/>
        <v>0.84247081971694548</v>
      </c>
      <c r="N1203" s="21">
        <f t="shared" si="196"/>
        <v>7.0150967240607848E-2</v>
      </c>
      <c r="O1203" s="21">
        <f t="shared" si="197"/>
        <v>21.787537734830735</v>
      </c>
      <c r="P1203">
        <f t="shared" si="193"/>
        <v>0.84394533202102007</v>
      </c>
      <c r="Q1203">
        <f t="shared" si="190"/>
        <v>0.43064516125670738</v>
      </c>
      <c r="R1203">
        <f t="shared" si="191"/>
        <v>0.48100679067336244</v>
      </c>
      <c r="T1203" s="21">
        <f>(M1203-M1202)/(H1203-H1202)</f>
        <v>7.0883335972293793E-4</v>
      </c>
      <c r="W1203">
        <v>1088</v>
      </c>
      <c r="X1203">
        <v>21.853239999999996</v>
      </c>
      <c r="Y1203">
        <v>1</v>
      </c>
      <c r="Z1203">
        <f t="shared" si="188"/>
        <v>1</v>
      </c>
      <c r="AA1203" s="21">
        <f>IF(X1203&gt;$B$8+$B$9,0,ABS(X1203-O1203)/X1203)</f>
        <v>3.0065228391424207E-3</v>
      </c>
      <c r="AB1203">
        <f>IF(OR(Z1200&lt;&gt;Z1206,X1203&gt;$B$8+$B$9),0,((X1206-X1200)/(W1206-W1200)-(O1206-O1200)/(W1206-W1200))^2)</f>
        <v>3.1944000781151066E-6</v>
      </c>
    </row>
    <row r="1204" spans="7:28" x14ac:dyDescent="0.2">
      <c r="G1204" s="21"/>
      <c r="H1204" s="21">
        <v>1089</v>
      </c>
      <c r="I1204">
        <f t="shared" si="194"/>
        <v>1.0114985718592817E-2</v>
      </c>
      <c r="J1204">
        <f t="shared" si="195"/>
        <v>0.4303396345745879</v>
      </c>
      <c r="K1204">
        <f t="shared" si="189"/>
        <v>22.814423198529386</v>
      </c>
      <c r="L1204">
        <f>0.5*Z1204*K1204/J1204/$B$7</f>
        <v>26.507462206081222</v>
      </c>
      <c r="M1204">
        <f t="shared" si="192"/>
        <v>0.84318053421230732</v>
      </c>
      <c r="N1204" s="21">
        <f t="shared" si="196"/>
        <v>7.0178346986487741E-2</v>
      </c>
      <c r="O1204" s="21">
        <f t="shared" si="197"/>
        <v>21.79765272054933</v>
      </c>
      <c r="P1204">
        <f t="shared" si="193"/>
        <v>0.84439820920697983</v>
      </c>
      <c r="Q1204">
        <f t="shared" si="190"/>
        <v>0.4303396345745879</v>
      </c>
      <c r="R1204">
        <f t="shared" si="191"/>
        <v>0.48033997359003705</v>
      </c>
      <c r="T1204" s="21">
        <f>(M1204-M1203)/(H1204-H1203)</f>
        <v>7.0971449536183506E-4</v>
      </c>
      <c r="W1204">
        <v>1089</v>
      </c>
      <c r="X1204">
        <v>21.862973999999998</v>
      </c>
      <c r="Y1204">
        <v>1</v>
      </c>
      <c r="Z1204">
        <f t="shared" si="188"/>
        <v>1</v>
      </c>
      <c r="AA1204" s="21">
        <f>IF(X1204&gt;$B$8+$B$9,0,ABS(X1204-O1204)/X1204)</f>
        <v>2.987758181968652E-3</v>
      </c>
      <c r="AB1204">
        <f>IF(OR(Z1201&lt;&gt;Z1207,X1204&gt;$B$8+$B$9),0,((X1207-X1201)/(W1207-W1201)-(O1207-O1201)/(W1207-W1201))^2)</f>
        <v>1.1569013689315376E-5</v>
      </c>
    </row>
    <row r="1205" spans="7:28" x14ac:dyDescent="0.2">
      <c r="G1205" s="21"/>
      <c r="H1205" s="21">
        <v>1090</v>
      </c>
      <c r="I1205">
        <f t="shared" si="194"/>
        <v>1.0123628310726888E-2</v>
      </c>
      <c r="J1205">
        <f t="shared" si="195"/>
        <v>0.43003394460476674</v>
      </c>
      <c r="K1205">
        <f t="shared" si="189"/>
        <v>22.812560879017582</v>
      </c>
      <c r="L1205">
        <f>0.5*Z1205*K1205/J1205/$B$7</f>
        <v>26.524139739694302</v>
      </c>
      <c r="M1205">
        <f t="shared" si="192"/>
        <v>0.84389113246888314</v>
      </c>
      <c r="N1205" s="21">
        <f t="shared" si="196"/>
        <v>7.0205761183839518E-2</v>
      </c>
      <c r="O1205" s="21">
        <f t="shared" si="197"/>
        <v>21.807776348860056</v>
      </c>
      <c r="P1205">
        <f t="shared" si="193"/>
        <v>0.84485132843161947</v>
      </c>
      <c r="Q1205">
        <f t="shared" si="190"/>
        <v>0.43003394460476674</v>
      </c>
      <c r="R1205">
        <f t="shared" si="191"/>
        <v>0.47967464785786235</v>
      </c>
      <c r="T1205" s="21">
        <f>(M1205-M1204)/(H1205-H1204)</f>
        <v>7.1059825657582287E-4</v>
      </c>
      <c r="W1205">
        <v>1090</v>
      </c>
      <c r="X1205">
        <v>21.867842</v>
      </c>
      <c r="Y1205">
        <v>1</v>
      </c>
      <c r="Z1205">
        <f t="shared" si="188"/>
        <v>1</v>
      </c>
      <c r="AA1205" s="21">
        <f>IF(X1205&gt;$B$8+$B$9,0,ABS(X1205-O1205)/X1205)</f>
        <v>2.7467571395450707E-3</v>
      </c>
      <c r="AB1205">
        <f>IF(OR(Z1202&lt;&gt;Z1208,X1205&gt;$B$8+$B$9),0,((X1208-X1202)/(W1208-W1202)-(O1208-O1202)/(W1208-W1202))^2)</f>
        <v>8.7235041854534451E-7</v>
      </c>
    </row>
    <row r="1206" spans="7:28" x14ac:dyDescent="0.2">
      <c r="G1206" s="21"/>
      <c r="H1206" s="21">
        <v>1091</v>
      </c>
      <c r="I1206">
        <f t="shared" si="194"/>
        <v>1.0132296725704591E-2</v>
      </c>
      <c r="J1206">
        <f t="shared" si="195"/>
        <v>0.42972809087033581</v>
      </c>
      <c r="K1206">
        <f t="shared" si="189"/>
        <v>22.810703398810755</v>
      </c>
      <c r="L1206">
        <f>0.5*Z1206*K1206/J1206/$B$7</f>
        <v>26.540856745729421</v>
      </c>
      <c r="M1206">
        <f t="shared" si="192"/>
        <v>0.84460261712327145</v>
      </c>
      <c r="N1206" s="21">
        <f t="shared" si="196"/>
        <v>7.0233209970705326E-2</v>
      </c>
      <c r="O1206" s="21">
        <f t="shared" si="197"/>
        <v>21.81790864558576</v>
      </c>
      <c r="P1206">
        <f t="shared" si="193"/>
        <v>0.84530469040185219</v>
      </c>
      <c r="Q1206">
        <f t="shared" si="190"/>
        <v>0.42972809087033581</v>
      </c>
      <c r="R1206">
        <f t="shared" si="191"/>
        <v>0.47901080772939508</v>
      </c>
      <c r="T1206" s="21">
        <f>(M1206-M1205)/(H1206-H1205)</f>
        <v>7.1148465438830577E-4</v>
      </c>
      <c r="W1206">
        <v>1091</v>
      </c>
      <c r="X1206">
        <v>21.884066000000001</v>
      </c>
      <c r="Y1206">
        <v>1</v>
      </c>
      <c r="Z1206">
        <f t="shared" si="188"/>
        <v>1</v>
      </c>
      <c r="AA1206" s="21">
        <f>IF(X1206&gt;$B$8+$B$9,0,ABS(X1206-O1206)/X1206)</f>
        <v>3.0230832978771242E-3</v>
      </c>
      <c r="AB1206">
        <f>IF(OR(Z1203&lt;&gt;Z1209,X1206&gt;$B$8+$B$9),0,((X1209-X1203)/(W1209-W1203)-(O1209-O1203)/(W1209-W1203))^2)</f>
        <v>4.5204804016303443E-7</v>
      </c>
    </row>
    <row r="1207" spans="7:28" x14ac:dyDescent="0.2">
      <c r="G1207" s="21"/>
      <c r="H1207" s="21">
        <v>1092</v>
      </c>
      <c r="I1207">
        <f t="shared" si="194"/>
        <v>1.0140991058353881E-2</v>
      </c>
      <c r="J1207">
        <f t="shared" si="195"/>
        <v>0.42942207289281753</v>
      </c>
      <c r="K1207">
        <f t="shared" si="189"/>
        <v>22.808850760727477</v>
      </c>
      <c r="L1207">
        <f>0.5*Z1207*K1207/J1207/$B$7</f>
        <v>26.557613360527579</v>
      </c>
      <c r="M1207">
        <f t="shared" si="192"/>
        <v>0.84531499082315953</v>
      </c>
      <c r="N1207" s="21">
        <f t="shared" si="196"/>
        <v>7.0260693485778694E-2</v>
      </c>
      <c r="O1207" s="21">
        <f t="shared" si="197"/>
        <v>21.828049636644113</v>
      </c>
      <c r="P1207">
        <f t="shared" si="193"/>
        <v>0.84575829582691742</v>
      </c>
      <c r="Q1207">
        <f t="shared" si="190"/>
        <v>0.42942207289281753</v>
      </c>
      <c r="R1207">
        <f t="shared" si="191"/>
        <v>0.47834844748469663</v>
      </c>
      <c r="T1207" s="21">
        <f>(M1207-M1206)/(H1207-H1206)</f>
        <v>7.123736998880803E-4</v>
      </c>
      <c r="W1207">
        <v>1092</v>
      </c>
      <c r="X1207">
        <v>21.888934000000003</v>
      </c>
      <c r="Y1207">
        <v>1</v>
      </c>
      <c r="Z1207">
        <f t="shared" si="188"/>
        <v>1</v>
      </c>
      <c r="AA1207" s="21">
        <f>IF(X1207&gt;$B$8+$B$9,0,ABS(X1207-O1207)/X1207)</f>
        <v>2.7815134056272035E-3</v>
      </c>
      <c r="AB1207">
        <f>IF(OR(Z1204&lt;&gt;Z1210,X1207&gt;$B$8+$B$9),0,((X1210-X1204)/(W1210-W1204)-(O1210-O1204)/(W1210-W1204))^2)</f>
        <v>1.6973057503618623E-8</v>
      </c>
    </row>
    <row r="1208" spans="7:28" x14ac:dyDescent="0.2">
      <c r="G1208" s="21"/>
      <c r="H1208" s="21">
        <v>1093</v>
      </c>
      <c r="I1208">
        <f t="shared" si="194"/>
        <v>1.0149711404018985E-2</v>
      </c>
      <c r="J1208">
        <f t="shared" si="195"/>
        <v>0.42911589019215712</v>
      </c>
      <c r="K1208">
        <f t="shared" si="189"/>
        <v>22.807002967619521</v>
      </c>
      <c r="L1208">
        <f>0.5*Z1208*K1208/J1208/$B$7</f>
        <v>26.574409721120553</v>
      </c>
      <c r="M1208">
        <f t="shared" si="192"/>
        <v>0.84602825622738465</v>
      </c>
      <c r="N1208" s="21">
        <f t="shared" si="196"/>
        <v>7.0288211868408501E-2</v>
      </c>
      <c r="O1208" s="21">
        <f t="shared" si="197"/>
        <v>21.838199348048132</v>
      </c>
      <c r="P1208">
        <f t="shared" si="193"/>
        <v>0.84621214541839229</v>
      </c>
      <c r="Q1208">
        <f t="shared" si="190"/>
        <v>0.42911589019215712</v>
      </c>
      <c r="R1208">
        <f t="shared" si="191"/>
        <v>0.47768756143116009</v>
      </c>
      <c r="T1208" s="21">
        <f>(M1208-M1207)/(H1208-H1207)</f>
        <v>7.1326540422511631E-4</v>
      </c>
      <c r="W1208">
        <v>1093</v>
      </c>
      <c r="X1208">
        <v>21.890556</v>
      </c>
      <c r="Y1208">
        <v>1</v>
      </c>
      <c r="Z1208">
        <f t="shared" si="188"/>
        <v>1</v>
      </c>
      <c r="AA1208" s="21">
        <f>IF(X1208&gt;$B$8+$B$9,0,ABS(X1208-O1208)/X1208)</f>
        <v>2.3917461005498498E-3</v>
      </c>
      <c r="AB1208">
        <f>IF(OR(Z1205&lt;&gt;Z1211,X1208&gt;$B$8+$B$9),0,((X1211-X1205)/(W1211-W1205)-(O1211-O1205)/(W1211-W1205))^2)</f>
        <v>4.3852715104132265E-7</v>
      </c>
    </row>
    <row r="1209" spans="7:28" x14ac:dyDescent="0.2">
      <c r="G1209" s="21"/>
      <c r="H1209" s="21">
        <v>1094</v>
      </c>
      <c r="I1209">
        <f t="shared" si="194"/>
        <v>1.0158457858563737E-2</v>
      </c>
      <c r="J1209">
        <f t="shared" si="195"/>
        <v>0.42880954228671453</v>
      </c>
      <c r="K1209">
        <f t="shared" si="189"/>
        <v>22.805160022371968</v>
      </c>
      <c r="L1209">
        <f>0.5*Z1209*K1209/J1209/$B$7</f>
        <v>26.591245965235277</v>
      </c>
      <c r="M1209">
        <f t="shared" si="192"/>
        <v>0.84674241600599809</v>
      </c>
      <c r="N1209" s="21">
        <f t="shared" si="196"/>
        <v>7.0315765258603349E-2</v>
      </c>
      <c r="O1209" s="21">
        <f t="shared" si="197"/>
        <v>21.848357805906694</v>
      </c>
      <c r="P1209">
        <f t="shared" si="193"/>
        <v>0.84666623989020429</v>
      </c>
      <c r="Q1209">
        <f t="shared" si="190"/>
        <v>0.42880954228671453</v>
      </c>
      <c r="R1209">
        <f t="shared" si="191"/>
        <v>0.47702814390333736</v>
      </c>
      <c r="T1209" s="21">
        <f>(M1209-M1208)/(H1209-H1208)</f>
        <v>7.1415977861344349E-4</v>
      </c>
      <c r="W1209">
        <v>1094</v>
      </c>
      <c r="X1209">
        <v>21.910025999999998</v>
      </c>
      <c r="Y1209">
        <v>1</v>
      </c>
      <c r="Z1209">
        <f t="shared" si="188"/>
        <v>1</v>
      </c>
      <c r="AA1209" s="21">
        <f>IF(X1209&gt;$B$8+$B$9,0,ABS(X1209-O1209)/X1209)</f>
        <v>2.8146107217446549E-3</v>
      </c>
      <c r="AB1209">
        <f>IF(OR(Z1206&lt;&gt;Z1212,X1209&gt;$B$8+$B$9),0,((X1212-X1206)/(W1212-W1206)-(O1212-O1206)/(W1212-W1206))^2)</f>
        <v>1.4690928700276841E-7</v>
      </c>
    </row>
    <row r="1210" spans="7:28" x14ac:dyDescent="0.2">
      <c r="G1210" s="21"/>
      <c r="H1210" s="21">
        <v>1095</v>
      </c>
      <c r="I1210">
        <f t="shared" si="194"/>
        <v>1.016723051837508E-2</v>
      </c>
      <c r="J1210">
        <f t="shared" si="195"/>
        <v>0.42850302869325485</v>
      </c>
      <c r="K1210">
        <f t="shared" si="189"/>
        <v>22.803321927903323</v>
      </c>
      <c r="L1210">
        <f>0.5*Z1210*K1210/J1210/$B$7</f>
        <v>26.608122231298331</v>
      </c>
      <c r="M1210">
        <f t="shared" si="192"/>
        <v>0.84745747284033224</v>
      </c>
      <c r="N1210" s="21">
        <f t="shared" si="196"/>
        <v>7.0343353797035865E-2</v>
      </c>
      <c r="O1210" s="21">
        <f t="shared" si="197"/>
        <v>21.858525036425068</v>
      </c>
      <c r="P1210">
        <f t="shared" si="193"/>
        <v>0.84712057995864432</v>
      </c>
      <c r="Q1210">
        <f t="shared" si="190"/>
        <v>0.42850302869325485</v>
      </c>
      <c r="R1210">
        <f t="shared" si="191"/>
        <v>0.47637018926276697</v>
      </c>
      <c r="T1210" s="21">
        <f>(M1210-M1209)/(H1210-H1209)</f>
        <v>7.1505683433414902E-4</v>
      </c>
      <c r="W1210">
        <v>1095</v>
      </c>
      <c r="X1210">
        <v>21.924628000000002</v>
      </c>
      <c r="Y1210">
        <v>1</v>
      </c>
      <c r="Z1210">
        <f t="shared" si="188"/>
        <v>1</v>
      </c>
      <c r="AA1210" s="21">
        <f>IF(X1210&gt;$B$8+$B$9,0,ABS(X1210-O1210)/X1210)</f>
        <v>3.01500958533638E-3</v>
      </c>
      <c r="AB1210">
        <f>IF(OR(Z1207&lt;&gt;Z1213,X1210&gt;$B$8+$B$9),0,((X1213-X1207)/(W1213-W1207)-(O1213-O1207)/(W1213-W1207))^2)</f>
        <v>2.7721739652335818E-8</v>
      </c>
    </row>
    <row r="1211" spans="7:28" x14ac:dyDescent="0.2">
      <c r="G1211" s="21"/>
      <c r="H1211" s="21">
        <v>1096</v>
      </c>
      <c r="I1211">
        <f t="shared" si="194"/>
        <v>1.0176029480366515E-2</v>
      </c>
      <c r="J1211">
        <f t="shared" si="195"/>
        <v>0.42819634892694103</v>
      </c>
      <c r="K1211">
        <f t="shared" si="189"/>
        <v>22.801488687165666</v>
      </c>
      <c r="L1211">
        <f>0.5*Z1211*K1211/J1211/$B$7</f>
        <v>26.625038658440385</v>
      </c>
      <c r="M1211">
        <f t="shared" si="192"/>
        <v>0.8481734294230624</v>
      </c>
      <c r="N1211" s="21">
        <f t="shared" si="196"/>
        <v>7.0370977625046904E-2</v>
      </c>
      <c r="O1211" s="21">
        <f t="shared" si="197"/>
        <v>21.868701065905434</v>
      </c>
      <c r="P1211">
        <f t="shared" si="193"/>
        <v>0.84757516634237839</v>
      </c>
      <c r="Q1211">
        <f t="shared" si="190"/>
        <v>0.42819634892694103</v>
      </c>
      <c r="R1211">
        <f t="shared" si="191"/>
        <v>0.47571369189780516</v>
      </c>
      <c r="T1211" s="21">
        <f>(M1211-M1210)/(H1211-H1210)</f>
        <v>7.159565827301595E-4</v>
      </c>
      <c r="W1211">
        <v>1096</v>
      </c>
      <c r="X1211">
        <v>21.932739999999999</v>
      </c>
      <c r="Y1211">
        <v>1</v>
      </c>
      <c r="Z1211">
        <f t="shared" si="188"/>
        <v>1</v>
      </c>
      <c r="AA1211" s="21">
        <f>IF(X1211&gt;$B$8+$B$9,0,ABS(X1211-O1211)/X1211)</f>
        <v>2.9197872265191351E-3</v>
      </c>
      <c r="AB1211">
        <f>IF(OR(Z1208&lt;&gt;Z1214,X1211&gt;$B$8+$B$9),0,((X1214-X1208)/(W1214-W1208)-(O1214-O1208)/(W1214-W1208))^2)</f>
        <v>1.3035873256150618E-5</v>
      </c>
    </row>
    <row r="1212" spans="7:28" x14ac:dyDescent="0.2">
      <c r="G1212" s="21"/>
      <c r="H1212" s="21">
        <v>1097</v>
      </c>
      <c r="I1212">
        <f t="shared" si="194"/>
        <v>1.0184854841981599E-2</v>
      </c>
      <c r="J1212">
        <f t="shared" si="195"/>
        <v>0.42788950250132496</v>
      </c>
      <c r="K1212">
        <f t="shared" si="189"/>
        <v>22.799660303144755</v>
      </c>
      <c r="L1212">
        <f>0.5*Z1212*K1212/J1212/$B$7</f>
        <v>26.641995386500696</v>
      </c>
      <c r="M1212">
        <f t="shared" si="192"/>
        <v>0.84889028845827363</v>
      </c>
      <c r="N1212" s="21">
        <f t="shared" si="196"/>
        <v>7.0398636884649923E-2</v>
      </c>
      <c r="O1212" s="21">
        <f t="shared" si="197"/>
        <v>21.878885920747415</v>
      </c>
      <c r="P1212">
        <f t="shared" si="193"/>
        <v>0.84802999976246074</v>
      </c>
      <c r="Q1212">
        <f t="shared" si="190"/>
        <v>0.42788950250132496</v>
      </c>
      <c r="R1212">
        <f t="shared" si="191"/>
        <v>0.47505864622345612</v>
      </c>
      <c r="T1212" s="21">
        <f>(M1212-M1211)/(H1212-H1211)</f>
        <v>7.1685903521123695E-4</v>
      </c>
      <c r="W1212">
        <v>1097</v>
      </c>
      <c r="X1212">
        <v>21.947343</v>
      </c>
      <c r="Y1212">
        <v>1</v>
      </c>
      <c r="Z1212">
        <f t="shared" si="188"/>
        <v>1</v>
      </c>
      <c r="AA1212" s="21">
        <f>IF(X1212&gt;$B$8+$B$9,0,ABS(X1212-O1212)/X1212)</f>
        <v>3.1191511087508574E-3</v>
      </c>
      <c r="AB1212">
        <f>IF(OR(Z1209&lt;&gt;Z1215,X1212&gt;$B$8+$B$9),0,((X1215-X1209)/(W1215-W1209)-(O1215-O1209)/(W1215-W1209))^2)</f>
        <v>2.0688521582261342E-6</v>
      </c>
    </row>
    <row r="1213" spans="7:28" x14ac:dyDescent="0.2">
      <c r="G1213" s="21"/>
      <c r="H1213" s="21">
        <v>1098</v>
      </c>
      <c r="I1213">
        <f t="shared" si="194"/>
        <v>1.0193706701197455E-2</v>
      </c>
      <c r="J1213">
        <f t="shared" si="195"/>
        <v>0.42758248892833883</v>
      </c>
      <c r="K1213">
        <f t="shared" si="189"/>
        <v>22.79783677886018</v>
      </c>
      <c r="L1213">
        <f>0.5*Z1213*K1213/J1213/$B$7</f>
        <v>26.658992556031695</v>
      </c>
      <c r="M1213">
        <f t="shared" si="192"/>
        <v>0.84960805266152661</v>
      </c>
      <c r="N1213" s="21">
        <f t="shared" si="196"/>
        <v>7.0426331718535379E-2</v>
      </c>
      <c r="O1213" s="21">
        <f t="shared" si="197"/>
        <v>21.889079627448613</v>
      </c>
      <c r="P1213">
        <f t="shared" si="193"/>
        <v>0.84848508094234609</v>
      </c>
      <c r="Q1213">
        <f t="shared" si="190"/>
        <v>0.42758248892833883</v>
      </c>
      <c r="R1213">
        <f t="shared" si="191"/>
        <v>0.47440504668120509</v>
      </c>
      <c r="T1213" s="21">
        <f>(M1213-M1212)/(H1213-H1212)</f>
        <v>7.1776420325297963E-4</v>
      </c>
      <c r="W1213">
        <v>1098</v>
      </c>
      <c r="X1213">
        <v>21.948964999999998</v>
      </c>
      <c r="Y1213">
        <v>1</v>
      </c>
      <c r="Z1213">
        <f t="shared" si="188"/>
        <v>1</v>
      </c>
      <c r="AA1213" s="21">
        <f>IF(X1213&gt;$B$8+$B$9,0,ABS(X1213-O1213)/X1213)</f>
        <v>2.7283916372086259E-3</v>
      </c>
      <c r="AB1213">
        <f>IF(OR(Z1210&lt;&gt;Z1216,X1213&gt;$B$8+$B$9),0,((X1216-X1210)/(W1216-W1210)-(O1216-O1210)/(W1216-W1210))^2)</f>
        <v>1.2097773915543115E-7</v>
      </c>
    </row>
    <row r="1214" spans="7:28" x14ac:dyDescent="0.2">
      <c r="G1214" s="21"/>
      <c r="H1214" s="21">
        <v>1099</v>
      </c>
      <c r="I1214">
        <f t="shared" si="194"/>
        <v>1.0202585156528329E-2</v>
      </c>
      <c r="J1214">
        <f t="shared" si="195"/>
        <v>0.42727530771828703</v>
      </c>
      <c r="K1214">
        <f t="shared" si="189"/>
        <v>22.796018117365485</v>
      </c>
      <c r="L1214">
        <f>0.5*Z1214*K1214/J1214/$B$7</f>
        <v>26.676030308303531</v>
      </c>
      <c r="M1214">
        <f t="shared" si="192"/>
        <v>0.85032672475992266</v>
      </c>
      <c r="N1214" s="21">
        <f t="shared" si="196"/>
        <v>7.045406227007503E-2</v>
      </c>
      <c r="O1214" s="21">
        <f t="shared" si="197"/>
        <v>21.89928221260514</v>
      </c>
      <c r="P1214">
        <f t="shared" si="193"/>
        <v>0.84894041060790226</v>
      </c>
      <c r="Q1214">
        <f t="shared" si="190"/>
        <v>0.42727530771828703</v>
      </c>
      <c r="R1214">
        <f t="shared" si="191"/>
        <v>0.47375288773885199</v>
      </c>
      <c r="T1214" s="21">
        <f>(M1214-M1213)/(H1214-H1213)</f>
        <v>7.1867209839604485E-4</v>
      </c>
      <c r="W1214">
        <v>1099</v>
      </c>
      <c r="X1214">
        <v>21.973302</v>
      </c>
      <c r="Y1214">
        <v>1</v>
      </c>
      <c r="Z1214">
        <f t="shared" ref="Z1214:Z1277" si="198">Y1214</f>
        <v>1</v>
      </c>
      <c r="AA1214" s="21">
        <f>IF(X1214&gt;$B$8+$B$9,0,ABS(X1214-O1214)/X1214)</f>
        <v>3.3686237687380921E-3</v>
      </c>
      <c r="AB1214">
        <f>IF(OR(Z1211&lt;&gt;Z1217,X1214&gt;$B$8+$B$9),0,((X1217-X1211)/(W1217-W1211)-(O1217-O1211)/(W1217-W1211))^2)</f>
        <v>1.3230979328214185E-6</v>
      </c>
    </row>
    <row r="1215" spans="7:28" x14ac:dyDescent="0.2">
      <c r="G1215" s="21"/>
      <c r="H1215" s="21">
        <v>1100</v>
      </c>
      <c r="I1215">
        <f t="shared" si="194"/>
        <v>1.0211490307029213E-2</v>
      </c>
      <c r="J1215">
        <f t="shared" si="195"/>
        <v>0.42696795837983692</v>
      </c>
      <c r="K1215">
        <f t="shared" si="189"/>
        <v>22.794204321748289</v>
      </c>
      <c r="L1215">
        <f>0.5*Z1215*K1215/J1215/$B$7</f>
        <v>26.693108785308702</v>
      </c>
      <c r="M1215">
        <f t="shared" si="192"/>
        <v>0.85104630749217192</v>
      </c>
      <c r="N1215" s="21">
        <f t="shared" si="196"/>
        <v>7.0481828683326475E-2</v>
      </c>
      <c r="O1215" s="21">
        <f t="shared" si="197"/>
        <v>21.909493702912169</v>
      </c>
      <c r="P1215">
        <f t="shared" si="193"/>
        <v>0.84939598948742367</v>
      </c>
      <c r="Q1215">
        <f t="shared" si="190"/>
        <v>0.42696795837983692</v>
      </c>
      <c r="R1215">
        <f t="shared" si="191"/>
        <v>0.47310216389034543</v>
      </c>
      <c r="T1215" s="21">
        <f>(M1215-M1214)/(H1215-H1214)</f>
        <v>7.1958273224925762E-4</v>
      </c>
      <c r="W1215">
        <v>1100</v>
      </c>
      <c r="X1215">
        <v>21.979792</v>
      </c>
      <c r="Y1215">
        <v>1</v>
      </c>
      <c r="Z1215">
        <f t="shared" si="198"/>
        <v>1</v>
      </c>
      <c r="AA1215" s="21">
        <f>IF(X1215&gt;$B$8+$B$9,0,ABS(X1215-O1215)/X1215)</f>
        <v>3.1983149380044621E-3</v>
      </c>
      <c r="AB1215">
        <f>IF(OR(Z1212&lt;&gt;Z1218,X1215&gt;$B$8+$B$9),0,((X1218-X1212)/(W1218-W1212)-(O1218-O1212)/(W1218-W1212))^2)</f>
        <v>2.8291506665868815E-6</v>
      </c>
    </row>
    <row r="1216" spans="7:28" x14ac:dyDescent="0.2">
      <c r="G1216" s="21"/>
      <c r="H1216" s="21">
        <v>1101</v>
      </c>
      <c r="I1216">
        <f t="shared" si="194"/>
        <v>1.0220422252299379E-2</v>
      </c>
      <c r="J1216">
        <f t="shared" si="195"/>
        <v>0.42666044042001006</v>
      </c>
      <c r="K1216">
        <f t="shared" si="189"/>
        <v>22.792395395130427</v>
      </c>
      <c r="L1216">
        <f>0.5*Z1216*K1216/J1216/$B$7</f>
        <v>26.710228129766726</v>
      </c>
      <c r="M1216">
        <f t="shared" si="192"/>
        <v>0.85176680360866075</v>
      </c>
      <c r="N1216" s="21">
        <f t="shared" si="196"/>
        <v>7.0509631103037596E-2</v>
      </c>
      <c r="O1216" s="21">
        <f t="shared" si="197"/>
        <v>21.919714125164468</v>
      </c>
      <c r="P1216">
        <f t="shared" si="193"/>
        <v>0.84985181831164402</v>
      </c>
      <c r="Q1216">
        <f t="shared" si="190"/>
        <v>0.42666044042001006</v>
      </c>
      <c r="R1216">
        <f t="shared" si="191"/>
        <v>0.47245286965561861</v>
      </c>
      <c r="T1216" s="21">
        <f>(M1216-M1215)/(H1216-H1215)</f>
        <v>7.2049611648883349E-4</v>
      </c>
      <c r="W1216">
        <v>1101</v>
      </c>
      <c r="X1216">
        <v>21.987903999999997</v>
      </c>
      <c r="Y1216">
        <v>1</v>
      </c>
      <c r="Z1216">
        <f t="shared" si="198"/>
        <v>1</v>
      </c>
      <c r="AA1216" s="21">
        <f>IF(X1216&gt;$B$8+$B$9,0,ABS(X1216-O1216)/X1216)</f>
        <v>3.1012448860759422E-3</v>
      </c>
      <c r="AB1216">
        <f>IF(OR(Z1213&lt;&gt;Z1219,X1216&gt;$B$8+$B$9),0,((X1219-X1213)/(W1219-W1213)-(O1219-O1213)/(W1219-W1213))^2)</f>
        <v>4.6390571022162878E-5</v>
      </c>
    </row>
    <row r="1217" spans="7:28" x14ac:dyDescent="0.2">
      <c r="G1217" s="21"/>
      <c r="H1217" s="21">
        <v>1102</v>
      </c>
      <c r="I1217">
        <f t="shared" si="194"/>
        <v>1.0229381092486101E-2</v>
      </c>
      <c r="J1217">
        <f t="shared" si="195"/>
        <v>0.42635275334417388</v>
      </c>
      <c r="K1217">
        <f t="shared" si="189"/>
        <v>22.79059134066808</v>
      </c>
      <c r="L1217">
        <f>0.5*Z1217*K1217/J1217/$B$7</f>
        <v>26.727388485128817</v>
      </c>
      <c r="M1217">
        <f t="shared" si="192"/>
        <v>0.85248821587151846</v>
      </c>
      <c r="N1217" s="21">
        <f t="shared" si="196"/>
        <v>7.0537469674651077E-2</v>
      </c>
      <c r="O1217" s="21">
        <f t="shared" si="197"/>
        <v>21.929943506256954</v>
      </c>
      <c r="P1217">
        <f t="shared" si="193"/>
        <v>0.85030789781374905</v>
      </c>
      <c r="Q1217">
        <f t="shared" si="190"/>
        <v>0.42635275334417388</v>
      </c>
      <c r="R1217">
        <f t="shared" si="191"/>
        <v>0.47180499958042721</v>
      </c>
      <c r="T1217" s="21">
        <f>(M1217-M1216)/(H1217-H1216)</f>
        <v>7.2141226285771243E-4</v>
      </c>
      <c r="W1217">
        <v>1102</v>
      </c>
      <c r="X1217">
        <v>22.000884000000003</v>
      </c>
      <c r="Y1217">
        <v>1</v>
      </c>
      <c r="Z1217">
        <f t="shared" si="198"/>
        <v>1</v>
      </c>
      <c r="AA1217" s="21">
        <f>IF(X1217&gt;$B$8+$B$9,0,ABS(X1217-O1217)/X1217)</f>
        <v>3.2244383336164327E-3</v>
      </c>
      <c r="AB1217">
        <f>IF(OR(Z1214&lt;&gt;Z1220,X1217&gt;$B$8+$B$9),0,((X1220-X1214)/(W1220-W1214)-(O1220-O1214)/(W1220-W1214))^2)</f>
        <v>3.742638188630544E-6</v>
      </c>
    </row>
    <row r="1218" spans="7:28" x14ac:dyDescent="0.2">
      <c r="G1218" s="21"/>
      <c r="H1218" s="21">
        <v>1103</v>
      </c>
      <c r="I1218">
        <f t="shared" si="194"/>
        <v>1.0238366928288258E-2</v>
      </c>
      <c r="J1218">
        <f t="shared" si="195"/>
        <v>0.42604489665603296</v>
      </c>
      <c r="K1218">
        <f t="shared" si="189"/>
        <v>22.788792161551921</v>
      </c>
      <c r="L1218">
        <f>0.5*Z1218*K1218/J1218/$B$7</f>
        <v>26.744589995582597</v>
      </c>
      <c r="M1218">
        <f t="shared" si="192"/>
        <v>0.85321054705468524</v>
      </c>
      <c r="N1218" s="21">
        <f t="shared" si="196"/>
        <v>7.0565344544308822E-2</v>
      </c>
      <c r="O1218" s="21">
        <f t="shared" si="197"/>
        <v>21.940181873185242</v>
      </c>
      <c r="P1218">
        <f t="shared" si="193"/>
        <v>0.85076422872938939</v>
      </c>
      <c r="Q1218">
        <f t="shared" si="190"/>
        <v>0.42604489665603296</v>
      </c>
      <c r="R1218">
        <f t="shared" si="191"/>
        <v>0.47115854823618752</v>
      </c>
      <c r="T1218" s="21">
        <f>(M1218-M1217)/(H1218-H1217)</f>
        <v>7.2233118316678002E-4</v>
      </c>
      <c r="W1218">
        <v>1103</v>
      </c>
      <c r="X1218">
        <v>22.018730999999999</v>
      </c>
      <c r="Y1218">
        <v>1</v>
      </c>
      <c r="Z1218">
        <f t="shared" si="198"/>
        <v>1</v>
      </c>
      <c r="AA1218" s="21">
        <f>IF(X1218&gt;$B$8+$B$9,0,ABS(X1218-O1218)/X1218)</f>
        <v>3.5673775575330241E-3</v>
      </c>
      <c r="AB1218">
        <f>IF(OR(Z1215&lt;&gt;Z1221,X1218&gt;$B$8+$B$9),0,((X1221-X1215)/(W1221-W1215)-(O1221-O1215)/(W1221-W1215))^2)</f>
        <v>9.186379551487785E-8</v>
      </c>
    </row>
    <row r="1219" spans="7:28" x14ac:dyDescent="0.2">
      <c r="G1219" s="21"/>
      <c r="H1219" s="21">
        <v>1104</v>
      </c>
      <c r="I1219">
        <f t="shared" si="194"/>
        <v>1.0247379860960094E-2</v>
      </c>
      <c r="J1219">
        <f t="shared" si="195"/>
        <v>0.42573686985761972</v>
      </c>
      <c r="K1219">
        <f t="shared" ref="K1219:K1282" si="199">IF(O1219&lt;$B$8+$B$9,0.5*(($B$8+$B$9)^2+O1219^2)/O1219-$B$9,$B$8)</f>
        <v>22.786997861007244</v>
      </c>
      <c r="L1219">
        <f>0.5*Z1219*K1219/J1219/$B$7</f>
        <v>26.761832806056894</v>
      </c>
      <c r="M1219">
        <f t="shared" si="192"/>
        <v>0.85393379994398166</v>
      </c>
      <c r="N1219" s="21">
        <f t="shared" si="196"/>
        <v>7.0593255858856674E-2</v>
      </c>
      <c r="O1219" s="21">
        <f t="shared" si="197"/>
        <v>21.950429253046202</v>
      </c>
      <c r="P1219">
        <f t="shared" si="193"/>
        <v>0.85122081179669418</v>
      </c>
      <c r="Q1219">
        <f t="shared" ref="Q1219:Q1282" si="200">1-B$15*P1219</f>
        <v>0.42573686985761972</v>
      </c>
      <c r="R1219">
        <f t="shared" ref="R1219:R1282" si="201">$E$15/(P1219+$E$16)</f>
        <v>0.47051351021981569</v>
      </c>
      <c r="T1219" s="21">
        <f>(M1219-M1218)/(H1219-H1218)</f>
        <v>7.2325288929642184E-4</v>
      </c>
      <c r="W1219">
        <v>1104</v>
      </c>
      <c r="X1219">
        <v>22.051180999999996</v>
      </c>
      <c r="Y1219">
        <v>1</v>
      </c>
      <c r="Z1219">
        <f t="shared" si="198"/>
        <v>1</v>
      </c>
      <c r="AA1219" s="21">
        <f>IF(X1219&gt;$B$8+$B$9,0,ABS(X1219-O1219)/X1219)</f>
        <v>4.5689955088479735E-3</v>
      </c>
      <c r="AB1219">
        <f>IF(OR(Z1216&lt;&gt;Z1222,X1219&gt;$B$8+$B$9),0,((X1222-X1216)/(W1222-W1216)-(O1222-O1216)/(W1222-W1216))^2)</f>
        <v>2.7100745518782633E-6</v>
      </c>
    </row>
    <row r="1220" spans="7:28" x14ac:dyDescent="0.2">
      <c r="G1220" s="21"/>
      <c r="H1220" s="21">
        <v>1105</v>
      </c>
      <c r="I1220">
        <f t="shared" si="194"/>
        <v>1.0256419992314919E-2</v>
      </c>
      <c r="J1220">
        <f t="shared" si="195"/>
        <v>0.42542867244928539</v>
      </c>
      <c r="K1220">
        <f t="shared" si="199"/>
        <v>22.785208442294088</v>
      </c>
      <c r="L1220">
        <f>0.5*Z1220*K1220/J1220/$B$7</f>
        <v>26.77911706222654</v>
      </c>
      <c r="M1220">
        <f t="shared" ref="M1220:M1283" si="202">-LN(J1220)</f>
        <v>0.85465797733717852</v>
      </c>
      <c r="N1220" s="21">
        <f t="shared" si="196"/>
        <v>7.0621203765849044E-2</v>
      </c>
      <c r="O1220" s="21">
        <f t="shared" si="197"/>
        <v>21.960685673038519</v>
      </c>
      <c r="P1220">
        <f t="shared" ref="P1220:P1283" si="203">MIN(O1220/(K1220+$B$9),1)</f>
        <v>0.85167764775628452</v>
      </c>
      <c r="Q1220">
        <f t="shared" si="200"/>
        <v>0.42542867244928539</v>
      </c>
      <c r="R1220">
        <f t="shared" si="201"/>
        <v>0.46986988015356751</v>
      </c>
      <c r="T1220" s="21">
        <f>(M1220-M1219)/(H1220-H1219)</f>
        <v>7.2417739319685648E-4</v>
      </c>
      <c r="W1220">
        <v>1105</v>
      </c>
      <c r="X1220">
        <v>22.046313000000001</v>
      </c>
      <c r="Y1220">
        <v>1</v>
      </c>
      <c r="Z1220">
        <f t="shared" si="198"/>
        <v>1</v>
      </c>
      <c r="AA1220" s="21">
        <f>IF(X1220&gt;$B$8+$B$9,0,ABS(X1220-O1220)/X1220)</f>
        <v>3.8839749286641466E-3</v>
      </c>
      <c r="AB1220">
        <f>IF(OR(Z1217&lt;&gt;Z1223,X1220&gt;$B$8+$B$9),0,((X1223-X1217)/(W1223-W1217)-(O1223-O1217)/(W1223-W1217))^2)</f>
        <v>1.8678046226160301E-6</v>
      </c>
    </row>
    <row r="1221" spans="7:28" x14ac:dyDescent="0.2">
      <c r="G1221" s="21"/>
      <c r="H1221" s="21">
        <v>1106</v>
      </c>
      <c r="I1221">
        <f t="shared" ref="I1221:I1284" si="204">IF(P1220&lt;0.999,MAX(0,MIN(10000000,(L1220/$E$8/M1220^$E$10)^(1/$E$9)/N1220)),0.1)</f>
        <v>1.0265487424728855E-2</v>
      </c>
      <c r="J1221">
        <f t="shared" ref="J1221:J1284" si="205">Q1221</f>
        <v>0.42512030392969169</v>
      </c>
      <c r="K1221">
        <f t="shared" si="199"/>
        <v>22.783423908707398</v>
      </c>
      <c r="L1221">
        <f>0.5*Z1221*K1221/J1221/$B$7</f>
        <v>26.79644291051719</v>
      </c>
      <c r="M1221">
        <f t="shared" si="202"/>
        <v>0.85538308204406455</v>
      </c>
      <c r="N1221" s="21">
        <f t="shared" ref="N1221:N1284" si="206">-$B$15*(O1221-2*(K1221+$B$9))/(K1221+$B$9)^2/J1221</f>
        <v>7.0649188413553402E-2</v>
      </c>
      <c r="O1221" s="21">
        <f t="shared" ref="O1221:O1284" si="207">O1220+I1221*(H1221-H1220)</f>
        <v>21.970951160463247</v>
      </c>
      <c r="P1221">
        <f t="shared" si="203"/>
        <v>0.85213473735128609</v>
      </c>
      <c r="Q1221">
        <f t="shared" si="200"/>
        <v>0.42512030392969169</v>
      </c>
      <c r="R1221">
        <f t="shared" si="201"/>
        <v>0.46922765268488165</v>
      </c>
      <c r="T1221" s="21">
        <f>(M1221-M1220)/(H1221-H1220)</f>
        <v>7.2510470688602613E-4</v>
      </c>
      <c r="W1221">
        <v>1106</v>
      </c>
      <c r="X1221">
        <v>22.043068000000002</v>
      </c>
      <c r="Y1221">
        <v>1</v>
      </c>
      <c r="Z1221">
        <f t="shared" si="198"/>
        <v>1</v>
      </c>
      <c r="AA1221" s="21">
        <f>IF(X1221&gt;$B$8+$B$9,0,ABS(X1221-O1221)/X1221)</f>
        <v>3.2716334920689888E-3</v>
      </c>
      <c r="AB1221">
        <f>IF(OR(Z1218&lt;&gt;Z1224,X1221&gt;$B$8+$B$9),0,((X1224-X1218)/(W1224-W1218)-(O1224-O1218)/(W1224-W1218))^2)</f>
        <v>7.0086270842892898E-8</v>
      </c>
    </row>
    <row r="1222" spans="7:28" x14ac:dyDescent="0.2">
      <c r="G1222" s="21"/>
      <c r="H1222" s="21">
        <v>1107</v>
      </c>
      <c r="I1222">
        <f t="shared" si="204"/>
        <v>1.0274582261144668E-2</v>
      </c>
      <c r="J1222">
        <f t="shared" si="205"/>
        <v>0.42481176379580132</v>
      </c>
      <c r="K1222">
        <f t="shared" si="199"/>
        <v>22.781644263577153</v>
      </c>
      <c r="L1222">
        <f>0.5*Z1222*K1222/J1222/$B$7</f>
        <v>26.813810498110218</v>
      </c>
      <c r="M1222">
        <f t="shared" si="202"/>
        <v>0.85610911688651825</v>
      </c>
      <c r="N1222" s="21">
        <f t="shared" si="206"/>
        <v>7.0677209950955042E-2</v>
      </c>
      <c r="O1222" s="21">
        <f t="shared" si="207"/>
        <v>21.981225742724391</v>
      </c>
      <c r="P1222">
        <f t="shared" si="203"/>
        <v>0.85259208132734265</v>
      </c>
      <c r="Q1222">
        <f t="shared" si="200"/>
        <v>0.42481176379580132</v>
      </c>
      <c r="R1222">
        <f t="shared" si="201"/>
        <v>0.46858682248622191</v>
      </c>
      <c r="T1222" s="21">
        <f>(M1222-M1221)/(H1222-H1221)</f>
        <v>7.2603484245370442E-4</v>
      </c>
      <c r="W1222">
        <v>1107</v>
      </c>
      <c r="X1222">
        <v>22.059293</v>
      </c>
      <c r="Y1222">
        <v>1</v>
      </c>
      <c r="Z1222">
        <f t="shared" si="198"/>
        <v>1</v>
      </c>
      <c r="AA1222" s="21">
        <f>IF(X1222&gt;$B$8+$B$9,0,ABS(X1222-O1222)/X1222)</f>
        <v>3.538973677697177E-3</v>
      </c>
      <c r="AB1222">
        <f>IF(OR(Z1219&lt;&gt;Z1225,X1222&gt;$B$8+$B$9),0,((X1225-X1219)/(W1225-W1219)-(O1225-O1219)/(W1225-W1219))^2)</f>
        <v>1.0552840042279503E-5</v>
      </c>
    </row>
    <row r="1223" spans="7:28" x14ac:dyDescent="0.2">
      <c r="G1223" s="21"/>
      <c r="H1223" s="21">
        <v>1108</v>
      </c>
      <c r="I1223">
        <f t="shared" si="204"/>
        <v>1.0283704605075576E-2</v>
      </c>
      <c r="J1223">
        <f t="shared" si="205"/>
        <v>0.42450305154286849</v>
      </c>
      <c r="K1223">
        <f t="shared" si="199"/>
        <v>22.779869510268501</v>
      </c>
      <c r="L1223">
        <f>0.5*Z1223*K1223/J1223/$B$7</f>
        <v>26.831219972947679</v>
      </c>
      <c r="M1223">
        <f t="shared" si="202"/>
        <v>0.85683608469857853</v>
      </c>
      <c r="N1223" s="21">
        <f t="shared" si="206"/>
        <v>7.0705268527761919E-2</v>
      </c>
      <c r="O1223" s="21">
        <f t="shared" si="207"/>
        <v>21.991509447329467</v>
      </c>
      <c r="P1223">
        <f t="shared" si="203"/>
        <v>0.85304968043263074</v>
      </c>
      <c r="Q1223">
        <f t="shared" si="200"/>
        <v>0.42450305154286849</v>
      </c>
      <c r="R1223">
        <f t="shared" si="201"/>
        <v>0.46794738425491977</v>
      </c>
      <c r="T1223" s="21">
        <f>(M1223-M1222)/(H1223-H1222)</f>
        <v>7.2696781206027516E-4</v>
      </c>
      <c r="W1223">
        <v>1108</v>
      </c>
      <c r="X1223">
        <v>22.070649999999997</v>
      </c>
      <c r="Y1223">
        <v>1</v>
      </c>
      <c r="Z1223">
        <f t="shared" si="198"/>
        <v>1</v>
      </c>
      <c r="AA1223" s="21">
        <f>IF(X1223&gt;$B$8+$B$9,0,ABS(X1223-O1223)/X1223)</f>
        <v>3.5857825968211381E-3</v>
      </c>
      <c r="AB1223">
        <f>IF(OR(Z1220&lt;&gt;Z1226,X1223&gt;$B$8+$B$9),0,((X1226-X1220)/(W1226-W1220)-(O1226-O1220)/(W1226-W1220))^2)</f>
        <v>3.0634358067424261E-7</v>
      </c>
    </row>
    <row r="1224" spans="7:28" x14ac:dyDescent="0.2">
      <c r="G1224" s="21"/>
      <c r="H1224" s="21">
        <v>1109</v>
      </c>
      <c r="I1224">
        <f t="shared" si="204"/>
        <v>1.0292854560609098E-2</v>
      </c>
      <c r="J1224">
        <f t="shared" si="205"/>
        <v>0.42419416666443044</v>
      </c>
      <c r="K1224">
        <f t="shared" si="199"/>
        <v>22.778099652181908</v>
      </c>
      <c r="L1224">
        <f>0.5*Z1224*K1224/J1224/$B$7</f>
        <v>26.848671483737188</v>
      </c>
      <c r="M1224">
        <f t="shared" si="202"/>
        <v>0.85756398832651526</v>
      </c>
      <c r="N1224" s="21">
        <f t="shared" si="206"/>
        <v>7.0733364294409226E-2</v>
      </c>
      <c r="O1224" s="21">
        <f t="shared" si="207"/>
        <v>22.001802301890077</v>
      </c>
      <c r="P1224">
        <f t="shared" si="203"/>
        <v>0.85350753541787172</v>
      </c>
      <c r="Q1224">
        <f t="shared" si="200"/>
        <v>0.42419416666443044</v>
      </c>
      <c r="R1224">
        <f t="shared" si="201"/>
        <v>0.46730933271302155</v>
      </c>
      <c r="T1224" s="21">
        <f>(M1224-M1223)/(H1224-H1223)</f>
        <v>7.2790362793673236E-4</v>
      </c>
      <c r="W1224">
        <v>1109</v>
      </c>
      <c r="X1224">
        <v>22.078762999999999</v>
      </c>
      <c r="Y1224">
        <v>1</v>
      </c>
      <c r="Z1224">
        <f t="shared" si="198"/>
        <v>1</v>
      </c>
      <c r="AA1224" s="21">
        <f>IF(X1224&gt;$B$8+$B$9,0,ABS(X1224-O1224)/X1224)</f>
        <v>3.4857341468777746E-3</v>
      </c>
      <c r="AB1224">
        <f>IF(OR(Z1221&lt;&gt;Z1227,X1224&gt;$B$8+$B$9),0,((X1227-X1221)/(W1227-W1221)-(O1227-O1221)/(W1227-W1221))^2)</f>
        <v>2.5621964542011596E-6</v>
      </c>
    </row>
    <row r="1225" spans="7:28" x14ac:dyDescent="0.2">
      <c r="G1225" s="21"/>
      <c r="H1225" s="21">
        <v>1110</v>
      </c>
      <c r="I1225">
        <f t="shared" si="204"/>
        <v>1.0302032232410954E-2</v>
      </c>
      <c r="J1225">
        <f t="shared" si="205"/>
        <v>0.42388510865229823</v>
      </c>
      <c r="K1225">
        <f t="shared" si="199"/>
        <v>22.776334692753313</v>
      </c>
      <c r="L1225">
        <f>0.5*Z1225*K1225/J1225/$B$7</f>
        <v>26.866165179956983</v>
      </c>
      <c r="M1225">
        <f t="shared" si="202"/>
        <v>0.85829283062890038</v>
      </c>
      <c r="N1225" s="21">
        <f t="shared" si="206"/>
        <v>7.076149740206425E-2</v>
      </c>
      <c r="O1225" s="21">
        <f t="shared" si="207"/>
        <v>22.012104334122487</v>
      </c>
      <c r="P1225">
        <f t="shared" si="203"/>
        <v>0.8539656470363457</v>
      </c>
      <c r="Q1225">
        <f t="shared" si="200"/>
        <v>0.42388510865229823</v>
      </c>
      <c r="R1225">
        <f t="shared" si="201"/>
        <v>0.46667266260713408</v>
      </c>
      <c r="T1225" s="21">
        <f>(M1225-M1224)/(H1225-H1224)</f>
        <v>7.2884230238512426E-4</v>
      </c>
      <c r="W1225">
        <v>1110</v>
      </c>
      <c r="X1225">
        <v>22.093365000000002</v>
      </c>
      <c r="Y1225">
        <v>1</v>
      </c>
      <c r="Z1225">
        <f t="shared" si="198"/>
        <v>1</v>
      </c>
      <c r="AA1225" s="21">
        <f>IF(X1225&gt;$B$8+$B$9,0,ABS(X1225-O1225)/X1225)</f>
        <v>3.6780574565040331E-3</v>
      </c>
      <c r="AB1225">
        <f>IF(OR(Z1222&lt;&gt;Z1228,X1225&gt;$B$8+$B$9),0,((X1228-X1222)/(W1228-W1222)-(O1228-O1222)/(W1228-W1222))^2)</f>
        <v>3.4664029609940924E-6</v>
      </c>
    </row>
    <row r="1226" spans="7:28" x14ac:dyDescent="0.2">
      <c r="G1226" s="21"/>
      <c r="H1226" s="21">
        <v>1111</v>
      </c>
      <c r="I1226">
        <f t="shared" si="204"/>
        <v>1.031123772572899E-2</v>
      </c>
      <c r="J1226">
        <f t="shared" si="205"/>
        <v>0.42357587699654653</v>
      </c>
      <c r="K1226">
        <f t="shared" si="199"/>
        <v>22.774574635454236</v>
      </c>
      <c r="L1226">
        <f>0.5*Z1226*K1226/J1226/$B$7</f>
        <v>26.883701211860938</v>
      </c>
      <c r="M1226">
        <f t="shared" si="202"/>
        <v>0.85902261447668249</v>
      </c>
      <c r="N1226" s="21">
        <f t="shared" si="206"/>
        <v>7.0789668002631284E-2</v>
      </c>
      <c r="O1226" s="21">
        <f t="shared" si="207"/>
        <v>22.022415571848217</v>
      </c>
      <c r="P1226">
        <f t="shared" si="203"/>
        <v>0.85442401604390661</v>
      </c>
      <c r="Q1226">
        <f t="shared" si="200"/>
        <v>0.42357587699654653</v>
      </c>
      <c r="R1226">
        <f t="shared" si="201"/>
        <v>0.46603736870827017</v>
      </c>
      <c r="T1226" s="21">
        <f>(M1226-M1225)/(H1226-H1225)</f>
        <v>7.2978384778210614E-4</v>
      </c>
      <c r="W1226">
        <v>1111</v>
      </c>
      <c r="X1226">
        <v>22.104721999999999</v>
      </c>
      <c r="Y1226">
        <v>1</v>
      </c>
      <c r="Z1226">
        <f t="shared" si="198"/>
        <v>1</v>
      </c>
      <c r="AA1226" s="21">
        <f>IF(X1226&gt;$B$8+$B$9,0,ABS(X1226-O1226)/X1226)</f>
        <v>3.7234771897055106E-3</v>
      </c>
      <c r="AB1226">
        <f>IF(OR(Z1223&lt;&gt;Z1229,X1226&gt;$B$8+$B$9),0,((X1229-X1223)/(W1229-W1223)-(O1229-O1223)/(W1229-W1223))^2)</f>
        <v>7.2486790120159306E-7</v>
      </c>
    </row>
    <row r="1227" spans="7:28" x14ac:dyDescent="0.2">
      <c r="G1227" s="21"/>
      <c r="H1227" s="21">
        <v>1112</v>
      </c>
      <c r="I1227">
        <f t="shared" si="204"/>
        <v>1.0320471146397116E-2</v>
      </c>
      <c r="J1227">
        <f t="shared" si="205"/>
        <v>0.42326647118550542</v>
      </c>
      <c r="K1227">
        <f t="shared" si="199"/>
        <v>22.77281948379196</v>
      </c>
      <c r="L1227">
        <f>0.5*Z1227*K1227/J1227/$B$7</f>
        <v>26.901279730483651</v>
      </c>
      <c r="M1227">
        <f t="shared" si="202"/>
        <v>0.8597533427532571</v>
      </c>
      <c r="N1227" s="21">
        <f t="shared" si="206"/>
        <v>7.0817876248756406E-2</v>
      </c>
      <c r="O1227" s="21">
        <f t="shared" si="207"/>
        <v>22.032736042994614</v>
      </c>
      <c r="P1227">
        <f t="shared" si="203"/>
        <v>0.85488264319899443</v>
      </c>
      <c r="Q1227">
        <f t="shared" si="200"/>
        <v>0.42326647118550542</v>
      </c>
      <c r="R1227">
        <f t="shared" si="201"/>
        <v>0.4654034458116994</v>
      </c>
      <c r="T1227" s="21">
        <f>(M1227-M1226)/(H1227-H1226)</f>
        <v>7.3072827657461037E-4</v>
      </c>
      <c r="W1227">
        <v>1112</v>
      </c>
      <c r="X1227">
        <v>22.114456999999998</v>
      </c>
      <c r="Y1227">
        <v>1</v>
      </c>
      <c r="Z1227">
        <f t="shared" si="198"/>
        <v>1</v>
      </c>
      <c r="AA1227" s="21">
        <f>IF(X1227&gt;$B$8+$B$9,0,ABS(X1227-O1227)/X1227)</f>
        <v>3.6953634902898167E-3</v>
      </c>
      <c r="AB1227">
        <f>IF(OR(Z1224&lt;&gt;Z1230,X1227&gt;$B$8+$B$9),0,((X1230-X1224)/(W1230-W1224)-(O1230-O1224)/(W1230-W1224))^2)</f>
        <v>2.4127155526851301E-7</v>
      </c>
    </row>
    <row r="1228" spans="7:28" x14ac:dyDescent="0.2">
      <c r="G1228" s="21"/>
      <c r="H1228" s="21">
        <v>1113</v>
      </c>
      <c r="I1228">
        <f t="shared" si="204"/>
        <v>1.032973260083931E-2</v>
      </c>
      <c r="J1228">
        <f t="shared" si="205"/>
        <v>0.42295689070575015</v>
      </c>
      <c r="K1228">
        <f t="shared" si="199"/>
        <v>22.771069241309664</v>
      </c>
      <c r="L1228">
        <f>0.5*Z1228*K1228/J1228/$B$7</f>
        <v>26.918900887645581</v>
      </c>
      <c r="M1228">
        <f t="shared" si="202"/>
        <v>0.86048501835454161</v>
      </c>
      <c r="N1228" s="21">
        <f t="shared" si="206"/>
        <v>7.0846122293832428E-2</v>
      </c>
      <c r="O1228" s="21">
        <f t="shared" si="207"/>
        <v>22.043065775595455</v>
      </c>
      <c r="P1228">
        <f t="shared" si="203"/>
        <v>0.85534152926265017</v>
      </c>
      <c r="Q1228">
        <f t="shared" si="200"/>
        <v>0.42295689070575015</v>
      </c>
      <c r="R1228">
        <f t="shared" si="201"/>
        <v>0.46477088873679556</v>
      </c>
      <c r="T1228" s="21">
        <f>(M1228-M1227)/(H1228-H1227)</f>
        <v>7.3167560128450937E-4</v>
      </c>
      <c r="W1228">
        <v>1113</v>
      </c>
      <c r="X1228">
        <v>22.132304000000001</v>
      </c>
      <c r="Y1228">
        <v>1</v>
      </c>
      <c r="Z1228">
        <f t="shared" si="198"/>
        <v>1</v>
      </c>
      <c r="AA1228" s="21">
        <f>IF(X1228&gt;$B$8+$B$9,0,ABS(X1228-O1228)/X1228)</f>
        <v>4.0320350020741818E-3</v>
      </c>
      <c r="AB1228">
        <f>IF(OR(Z1225&lt;&gt;Z1231,X1228&gt;$B$8+$B$9),0,((X1231-X1225)/(W1231-W1225)-(O1231-O1225)/(W1231-W1225))^2)</f>
        <v>5.6402371305803425E-6</v>
      </c>
    </row>
    <row r="1229" spans="7:28" x14ac:dyDescent="0.2">
      <c r="G1229" s="21"/>
      <c r="H1229" s="21">
        <v>1114</v>
      </c>
      <c r="I1229">
        <f t="shared" si="204"/>
        <v>1.0339022196073635E-2</v>
      </c>
      <c r="J1229">
        <f t="shared" si="205"/>
        <v>0.42264713504209228</v>
      </c>
      <c r="K1229">
        <f t="shared" si="199"/>
        <v>22.769323911586572</v>
      </c>
      <c r="L1229">
        <f>0.5*Z1229*K1229/J1229/$B$7</f>
        <v>26.936564835958166</v>
      </c>
      <c r="M1229">
        <f t="shared" si="202"/>
        <v>0.861217644189048</v>
      </c>
      <c r="N1229" s="21">
        <f t="shared" si="206"/>
        <v>7.0874406292003811E-2</v>
      </c>
      <c r="O1229" s="21">
        <f t="shared" si="207"/>
        <v>22.053404797791529</v>
      </c>
      <c r="P1229">
        <f t="shared" si="203"/>
        <v>0.8558006749985293</v>
      </c>
      <c r="Q1229">
        <f t="shared" si="200"/>
        <v>0.42264713504209228</v>
      </c>
      <c r="R1229">
        <f t="shared" si="201"/>
        <v>0.46413969232688845</v>
      </c>
      <c r="T1229" s="21">
        <f>(M1229-M1228)/(H1229-H1228)</f>
        <v>7.3262583450639518E-4</v>
      </c>
      <c r="W1229">
        <v>1114</v>
      </c>
      <c r="X1229">
        <v>22.127436999999997</v>
      </c>
      <c r="Y1229">
        <v>1</v>
      </c>
      <c r="Z1229">
        <f t="shared" si="198"/>
        <v>1</v>
      </c>
      <c r="AA1229" s="21">
        <f>IF(X1229&gt;$B$8+$B$9,0,ABS(X1229-O1229)/X1229)</f>
        <v>3.3457197147806878E-3</v>
      </c>
      <c r="AB1229">
        <f>IF(OR(Z1226&lt;&gt;Z1232,X1229&gt;$B$8+$B$9),0,((X1232-X1226)/(W1232-W1226)-(O1232-O1226)/(W1232-W1226))^2)</f>
        <v>5.5221912822599698E-7</v>
      </c>
    </row>
    <row r="1230" spans="7:28" x14ac:dyDescent="0.2">
      <c r="G1230" s="21"/>
      <c r="H1230" s="21">
        <v>1115</v>
      </c>
      <c r="I1230">
        <f t="shared" si="204"/>
        <v>1.0348340039716247E-2</v>
      </c>
      <c r="J1230">
        <f t="shared" si="205"/>
        <v>0.42233720367756944</v>
      </c>
      <c r="K1230">
        <f t="shared" si="199"/>
        <v>22.767583498238078</v>
      </c>
      <c r="L1230">
        <f>0.5*Z1230*K1230/J1230/$B$7</f>
        <v>26.954271728829081</v>
      </c>
      <c r="M1230">
        <f t="shared" si="202"/>
        <v>0.86195122317795869</v>
      </c>
      <c r="N1230" s="21">
        <f t="shared" si="206"/>
        <v>7.0902728398171813E-2</v>
      </c>
      <c r="O1230" s="21">
        <f t="shared" si="207"/>
        <v>22.063753137831245</v>
      </c>
      <c r="P1230">
        <f t="shared" si="203"/>
        <v>0.85626008117291663</v>
      </c>
      <c r="Q1230">
        <f t="shared" si="200"/>
        <v>0.42233720367756944</v>
      </c>
      <c r="R1230">
        <f t="shared" si="201"/>
        <v>0.46350985144911394</v>
      </c>
      <c r="T1230" s="21">
        <f>(M1230-M1229)/(H1230-H1229)</f>
        <v>7.3357898891068807E-4</v>
      </c>
      <c r="W1230">
        <v>1115</v>
      </c>
      <c r="X1230">
        <v>22.143660999999998</v>
      </c>
      <c r="Y1230">
        <v>1</v>
      </c>
      <c r="Z1230">
        <f t="shared" si="198"/>
        <v>1</v>
      </c>
      <c r="AA1230" s="21">
        <f>IF(X1230&gt;$B$8+$B$9,0,ABS(X1230-O1230)/X1230)</f>
        <v>3.6086111582340785E-3</v>
      </c>
      <c r="AB1230">
        <f>IF(OR(Z1227&lt;&gt;Z1233,X1230&gt;$B$8+$B$9),0,((X1233-X1227)/(W1233-W1227)-(O1233-O1227)/(W1233-W1227))^2)</f>
        <v>5.3843648124821685E-7</v>
      </c>
    </row>
    <row r="1231" spans="7:28" x14ac:dyDescent="0.2">
      <c r="G1231" s="21"/>
      <c r="H1231" s="21">
        <v>1116</v>
      </c>
      <c r="I1231">
        <f t="shared" si="204"/>
        <v>1.0357686239985592E-2</v>
      </c>
      <c r="J1231">
        <f t="shared" si="205"/>
        <v>0.42202709609343647</v>
      </c>
      <c r="K1231">
        <f t="shared" si="199"/>
        <v>22.765848004915949</v>
      </c>
      <c r="L1231">
        <f>0.5*Z1231*K1231/J1231/$B$7</f>
        <v>26.972021720467456</v>
      </c>
      <c r="M1231">
        <f t="shared" si="202"/>
        <v>0.86268575825519977</v>
      </c>
      <c r="N1231" s="21">
        <f t="shared" si="206"/>
        <v>7.0931088767999237E-2</v>
      </c>
      <c r="O1231" s="21">
        <f t="shared" si="207"/>
        <v>22.07411082407123</v>
      </c>
      <c r="P1231">
        <f t="shared" si="203"/>
        <v>0.85671974855473954</v>
      </c>
      <c r="Q1231">
        <f t="shared" si="200"/>
        <v>0.42202709609343647</v>
      </c>
      <c r="R1231">
        <f t="shared" si="201"/>
        <v>0.46288136099426802</v>
      </c>
      <c r="T1231" s="21">
        <f>(M1231-M1230)/(H1231-H1230)</f>
        <v>7.3453507724108302E-4</v>
      </c>
      <c r="W1231">
        <v>1116</v>
      </c>
      <c r="X1231">
        <v>22.169621000000003</v>
      </c>
      <c r="Y1231">
        <v>1</v>
      </c>
      <c r="Z1231">
        <f t="shared" si="198"/>
        <v>1</v>
      </c>
      <c r="AA1231" s="21">
        <f>IF(X1231&gt;$B$8+$B$9,0,ABS(X1231-O1231)/X1231)</f>
        <v>4.3081555579489996E-3</v>
      </c>
      <c r="AB1231">
        <f>IF(OR(Z1228&lt;&gt;Z1234,X1231&gt;$B$8+$B$9),0,((X1234-X1228)/(W1234-W1228)-(O1234-O1228)/(W1234-W1228))^2)</f>
        <v>1.2762394235214675E-7</v>
      </c>
    </row>
    <row r="1232" spans="7:28" x14ac:dyDescent="0.2">
      <c r="G1232" s="21"/>
      <c r="H1232" s="21">
        <v>1117</v>
      </c>
      <c r="I1232">
        <f t="shared" si="204"/>
        <v>1.0367060905706396E-2</v>
      </c>
      <c r="J1232">
        <f t="shared" si="205"/>
        <v>0.42171681176915532</v>
      </c>
      <c r="K1232">
        <f t="shared" si="199"/>
        <v>22.764117435308432</v>
      </c>
      <c r="L1232">
        <f>0.5*Z1232*K1232/J1232/$B$7</f>
        <v>26.989814965889174</v>
      </c>
      <c r="M1232">
        <f t="shared" si="202"/>
        <v>0.86342125236751777</v>
      </c>
      <c r="N1232" s="21">
        <f t="shared" si="206"/>
        <v>7.0959487557915743E-2</v>
      </c>
      <c r="O1232" s="21">
        <f t="shared" si="207"/>
        <v>22.084477884976938</v>
      </c>
      <c r="P1232">
        <f t="shared" si="203"/>
        <v>0.85717967791558303</v>
      </c>
      <c r="Q1232">
        <f t="shared" si="200"/>
        <v>0.42171681176915532</v>
      </c>
      <c r="R1232">
        <f t="shared" si="201"/>
        <v>0.46225421587665932</v>
      </c>
      <c r="T1232" s="21">
        <f>(M1232-M1231)/(H1232-H1231)</f>
        <v>7.3549411231799144E-4</v>
      </c>
      <c r="W1232">
        <v>1117</v>
      </c>
      <c r="X1232">
        <v>22.171243</v>
      </c>
      <c r="Y1232">
        <v>1</v>
      </c>
      <c r="Z1232">
        <f t="shared" si="198"/>
        <v>1</v>
      </c>
      <c r="AA1232" s="21">
        <f>IF(X1232&gt;$B$8+$B$9,0,ABS(X1232-O1232)/X1232)</f>
        <v>3.9134077878747184E-3</v>
      </c>
      <c r="AB1232">
        <f>IF(OR(Z1229&lt;&gt;Z1235,X1232&gt;$B$8+$B$9),0,((X1235-X1229)/(W1235-W1229)-(O1235-O1229)/(W1235-W1229))^2)</f>
        <v>9.7094608938418884E-7</v>
      </c>
    </row>
    <row r="1233" spans="7:28" x14ac:dyDescent="0.2">
      <c r="G1233" s="21"/>
      <c r="H1233" s="21">
        <v>1118</v>
      </c>
      <c r="I1233">
        <f t="shared" si="204"/>
        <v>1.0376464146313933E-2</v>
      </c>
      <c r="J1233">
        <f t="shared" si="205"/>
        <v>0.42140635018238526</v>
      </c>
      <c r="K1233">
        <f t="shared" si="199"/>
        <v>22.762391793140402</v>
      </c>
      <c r="L1233">
        <f>0.5*Z1233*K1233/J1233/$B$7</f>
        <v>27.007651620922189</v>
      </c>
      <c r="M1233">
        <f t="shared" si="202"/>
        <v>0.86415770847455553</v>
      </c>
      <c r="N1233" s="21">
        <f t="shared" si="206"/>
        <v>7.0987924925122917E-2</v>
      </c>
      <c r="O1233" s="21">
        <f t="shared" si="207"/>
        <v>22.094854349123253</v>
      </c>
      <c r="P1233">
        <f t="shared" si="203"/>
        <v>0.85763987002970421</v>
      </c>
      <c r="Q1233">
        <f t="shared" si="200"/>
        <v>0.42140635018238526</v>
      </c>
      <c r="R1233">
        <f t="shared" si="201"/>
        <v>0.46162841103396351</v>
      </c>
      <c r="T1233" s="21">
        <f>(M1233-M1232)/(H1233-H1232)</f>
        <v>7.3645610703776399E-4</v>
      </c>
      <c r="W1233">
        <v>1118</v>
      </c>
      <c r="X1233">
        <v>22.180978</v>
      </c>
      <c r="Y1233">
        <v>1</v>
      </c>
      <c r="Z1233">
        <f t="shared" si="198"/>
        <v>1</v>
      </c>
      <c r="AA1233" s="21">
        <f>IF(X1233&gt;$B$8+$B$9,0,ABS(X1233-O1233)/X1233)</f>
        <v>3.882770672994982E-3</v>
      </c>
      <c r="AB1233">
        <f>IF(OR(Z1230&lt;&gt;Z1236,X1233&gt;$B$8+$B$9),0,((X1236-X1230)/(W1236-W1230)-(O1236-O1230)/(W1236-W1230))^2)</f>
        <v>1.5536332075504032E-6</v>
      </c>
    </row>
    <row r="1234" spans="7:28" x14ac:dyDescent="0.2">
      <c r="G1234" s="21"/>
      <c r="H1234" s="21">
        <v>1119</v>
      </c>
      <c r="I1234">
        <f t="shared" si="204"/>
        <v>1.0385896071858141E-2</v>
      </c>
      <c r="J1234">
        <f t="shared" si="205"/>
        <v>0.42109571080897357</v>
      </c>
      <c r="K1234">
        <f t="shared" si="199"/>
        <v>22.760671082173555</v>
      </c>
      <c r="L1234">
        <f>0.5*Z1234*K1234/J1234/$B$7</f>
        <v>27.025531842211922</v>
      </c>
      <c r="M1234">
        <f t="shared" si="202"/>
        <v>0.86489512954892789</v>
      </c>
      <c r="N1234" s="21">
        <f t="shared" si="206"/>
        <v>7.1016401027599305E-2</v>
      </c>
      <c r="O1234" s="21">
        <f t="shared" si="207"/>
        <v>22.105240245195112</v>
      </c>
      <c r="P1234">
        <f t="shared" si="203"/>
        <v>0.85810032567404626</v>
      </c>
      <c r="Q1234">
        <f t="shared" si="200"/>
        <v>0.42109571080897357</v>
      </c>
      <c r="R1234">
        <f t="shared" si="201"/>
        <v>0.46100394142707968</v>
      </c>
      <c r="T1234" s="21">
        <f>(M1234-M1233)/(H1234-H1233)</f>
        <v>7.3742107437235749E-4</v>
      </c>
      <c r="W1234">
        <v>1119</v>
      </c>
      <c r="X1234">
        <v>22.192334999999996</v>
      </c>
      <c r="Y1234">
        <v>1</v>
      </c>
      <c r="Z1234">
        <f t="shared" si="198"/>
        <v>1</v>
      </c>
      <c r="AA1234" s="21">
        <f>IF(X1234&gt;$B$8+$B$9,0,ABS(X1234-O1234)/X1234)</f>
        <v>3.9245421811127104E-3</v>
      </c>
      <c r="AB1234">
        <f>IF(OR(Z1231&lt;&gt;Z1237,X1234&gt;$B$8+$B$9),0,((X1237-X1231)/(W1237-W1231)-(O1237-O1231)/(W1237-W1231))^2)</f>
        <v>1.4320068852320486E-6</v>
      </c>
    </row>
    <row r="1235" spans="7:28" x14ac:dyDescent="0.2">
      <c r="G1235" s="21"/>
      <c r="H1235" s="21">
        <v>1120</v>
      </c>
      <c r="I1235">
        <f t="shared" si="204"/>
        <v>1.039535679300788E-2</v>
      </c>
      <c r="J1235">
        <f t="shared" si="205"/>
        <v>0.42078489312294531</v>
      </c>
      <c r="K1235">
        <f t="shared" si="199"/>
        <v>22.758955306206545</v>
      </c>
      <c r="L1235">
        <f>0.5*Z1235*K1235/J1235/$B$7</f>
        <v>27.043455787226673</v>
      </c>
      <c r="M1235">
        <f t="shared" si="202"/>
        <v>0.86563351857629955</v>
      </c>
      <c r="N1235" s="21">
        <f t="shared" si="206"/>
        <v>7.1044916024105717E-2</v>
      </c>
      <c r="O1235" s="21">
        <f t="shared" si="207"/>
        <v>22.115635601988121</v>
      </c>
      <c r="P1235">
        <f t="shared" si="203"/>
        <v>0.85856104562825275</v>
      </c>
      <c r="Q1235">
        <f t="shared" si="200"/>
        <v>0.42078489312294531</v>
      </c>
      <c r="R1235">
        <f t="shared" si="201"/>
        <v>0.46038080203998716</v>
      </c>
      <c r="T1235" s="21">
        <f>(M1235-M1234)/(H1235-H1234)</f>
        <v>7.3838902737166645E-4</v>
      </c>
      <c r="W1235">
        <v>1120</v>
      </c>
      <c r="X1235">
        <v>22.195579999999996</v>
      </c>
      <c r="Y1235">
        <v>1</v>
      </c>
      <c r="Z1235">
        <f t="shared" si="198"/>
        <v>1</v>
      </c>
      <c r="AA1235" s="21">
        <f>IF(X1235&gt;$B$8+$B$9,0,ABS(X1235-O1235)/X1235)</f>
        <v>3.6018161278901142E-3</v>
      </c>
      <c r="AB1235">
        <f>IF(OR(Z1232&lt;&gt;Z1238,X1235&gt;$B$8+$B$9),0,((X1238-X1232)/(W1238-W1232)-(O1238-O1232)/(W1238-W1232))^2)</f>
        <v>2.2440832217731622E-6</v>
      </c>
    </row>
    <row r="1236" spans="7:28" x14ac:dyDescent="0.2">
      <c r="G1236" s="21"/>
      <c r="H1236" s="21">
        <v>1121</v>
      </c>
      <c r="I1236">
        <f t="shared" si="204"/>
        <v>1.0404846421055195E-2</v>
      </c>
      <c r="J1236">
        <f t="shared" si="205"/>
        <v>0.42047389659649337</v>
      </c>
      <c r="K1236">
        <f t="shared" si="199"/>
        <v>22.757244469075111</v>
      </c>
      <c r="L1236">
        <f>0.5*Z1236*K1236/J1236/$B$7</f>
        <v>27.061423614263074</v>
      </c>
      <c r="M1236">
        <f t="shared" si="202"/>
        <v>0.86637287855546352</v>
      </c>
      <c r="N1236" s="21">
        <f t="shared" si="206"/>
        <v>7.1073470074190431E-2</v>
      </c>
      <c r="O1236" s="21">
        <f t="shared" si="207"/>
        <v>22.126040448409174</v>
      </c>
      <c r="P1236">
        <f t="shared" si="203"/>
        <v>0.85902203067468397</v>
      </c>
      <c r="Q1236">
        <f t="shared" si="200"/>
        <v>0.42047389659649337</v>
      </c>
      <c r="R1236">
        <f t="shared" si="201"/>
        <v>0.45975898787960112</v>
      </c>
      <c r="T1236" s="21">
        <f>(M1236-M1235)/(H1236-H1235)</f>
        <v>7.3935997916396712E-4</v>
      </c>
      <c r="W1236">
        <v>1121</v>
      </c>
      <c r="X1236">
        <v>22.213426999999999</v>
      </c>
      <c r="Y1236">
        <v>1</v>
      </c>
      <c r="Z1236">
        <f t="shared" si="198"/>
        <v>1</v>
      </c>
      <c r="AA1236" s="21">
        <f>IF(X1236&gt;$B$8+$B$9,0,ABS(X1236-O1236)/X1236)</f>
        <v>3.9339518207084836E-3</v>
      </c>
      <c r="AB1236">
        <f>IF(OR(Z1233&lt;&gt;Z1239,X1236&gt;$B$8+$B$9),0,((X1239-X1233)/(W1239-W1233)-(O1239-O1233)/(W1239-W1233))^2)</f>
        <v>1.4835779705033904E-6</v>
      </c>
    </row>
    <row r="1237" spans="7:28" x14ac:dyDescent="0.2">
      <c r="G1237" s="21"/>
      <c r="H1237" s="21">
        <v>1122</v>
      </c>
      <c r="I1237">
        <f t="shared" si="204"/>
        <v>1.0414365067919609E-2</v>
      </c>
      <c r="J1237">
        <f t="shared" si="205"/>
        <v>0.42016272069996863</v>
      </c>
      <c r="K1237">
        <f t="shared" si="199"/>
        <v>22.755538574652288</v>
      </c>
      <c r="L1237">
        <f>0.5*Z1237*K1237/J1237/$B$7</f>
        <v>27.079435482451629</v>
      </c>
      <c r="M1237">
        <f t="shared" si="202"/>
        <v>0.86711321249841811</v>
      </c>
      <c r="N1237" s="21">
        <f t="shared" si="206"/>
        <v>7.1102063338194521E-2</v>
      </c>
      <c r="O1237" s="21">
        <f t="shared" si="207"/>
        <v>22.136454813477094</v>
      </c>
      <c r="P1237">
        <f t="shared" si="203"/>
        <v>0.85948328159842979</v>
      </c>
      <c r="Q1237">
        <f t="shared" si="200"/>
        <v>0.42016272069996863</v>
      </c>
      <c r="R1237">
        <f t="shared" si="201"/>
        <v>0.45913849397563344</v>
      </c>
      <c r="T1237" s="21">
        <f>(M1237-M1236)/(H1237-H1236)</f>
        <v>7.4033394295458521E-4</v>
      </c>
      <c r="W1237">
        <v>1122</v>
      </c>
      <c r="X1237">
        <v>22.224785000000001</v>
      </c>
      <c r="Y1237">
        <v>1</v>
      </c>
      <c r="Z1237">
        <f t="shared" si="198"/>
        <v>1</v>
      </c>
      <c r="AA1237" s="21">
        <f>IF(X1237&gt;$B$8+$B$9,0,ABS(X1237-O1237)/X1237)</f>
        <v>3.9744000458455039E-3</v>
      </c>
      <c r="AB1237">
        <f>IF(OR(Z1234&lt;&gt;Z1240,X1237&gt;$B$8+$B$9),0,((X1240-X1234)/(W1240-W1234)-(O1240-O1234)/(W1240-W1234))^2)</f>
        <v>5.2448120254793843E-6</v>
      </c>
    </row>
    <row r="1238" spans="7:28" x14ac:dyDescent="0.2">
      <c r="G1238" s="21"/>
      <c r="H1238" s="21">
        <v>1123</v>
      </c>
      <c r="I1238">
        <f t="shared" si="204"/>
        <v>1.0423912846152458E-2</v>
      </c>
      <c r="J1238">
        <f t="shared" si="205"/>
        <v>0.41985136490186981</v>
      </c>
      <c r="K1238">
        <f t="shared" si="199"/>
        <v>22.753837626848519</v>
      </c>
      <c r="L1238">
        <f>0.5*Z1238*K1238/J1238/$B$7</f>
        <v>27.097491551762232</v>
      </c>
      <c r="M1238">
        <f t="shared" si="202"/>
        <v>0.86785452343044689</v>
      </c>
      <c r="N1238" s="21">
        <f t="shared" si="206"/>
        <v>7.1130695977257088E-2</v>
      </c>
      <c r="O1238" s="21">
        <f t="shared" si="207"/>
        <v>22.146878726323248</v>
      </c>
      <c r="P1238">
        <f t="shared" si="203"/>
        <v>0.85994479918732591</v>
      </c>
      <c r="Q1238">
        <f t="shared" si="200"/>
        <v>0.41985136490186981</v>
      </c>
      <c r="R1238">
        <f t="shared" si="201"/>
        <v>0.45851931538045076</v>
      </c>
      <c r="T1238" s="21">
        <f>(M1238-M1237)/(H1238-H1237)</f>
        <v>7.4131093202878251E-4</v>
      </c>
      <c r="W1238">
        <v>1123</v>
      </c>
      <c r="X1238">
        <v>22.242631999999997</v>
      </c>
      <c r="Y1238">
        <v>1</v>
      </c>
      <c r="Z1238">
        <f t="shared" si="198"/>
        <v>1</v>
      </c>
      <c r="AA1238" s="21">
        <f>IF(X1238&gt;$B$8+$B$9,0,ABS(X1238-O1238)/X1238)</f>
        <v>4.3049434831610323E-3</v>
      </c>
      <c r="AB1238">
        <f>IF(OR(Z1235&lt;&gt;Z1241,X1238&gt;$B$8+$B$9),0,((X1241-X1235)/(W1241-W1235)-(O1241-O1235)/(W1241-W1235))^2)</f>
        <v>1.130478944034671E-5</v>
      </c>
    </row>
    <row r="1239" spans="7:28" x14ac:dyDescent="0.2">
      <c r="G1239" s="21"/>
      <c r="H1239" s="21">
        <v>1124</v>
      </c>
      <c r="I1239">
        <f t="shared" si="204"/>
        <v>1.0433489868941279E-2</v>
      </c>
      <c r="J1239">
        <f t="shared" si="205"/>
        <v>0.41953982866883366</v>
      </c>
      <c r="K1239">
        <f t="shared" si="199"/>
        <v>22.752141629611835</v>
      </c>
      <c r="L1239">
        <f>0.5*Z1239*K1239/J1239/$B$7</f>
        <v>27.115591983009768</v>
      </c>
      <c r="M1239">
        <f t="shared" si="202"/>
        <v>0.86859681439019709</v>
      </c>
      <c r="N1239" s="21">
        <f t="shared" si="206"/>
        <v>7.1159368153320662E-2</v>
      </c>
      <c r="O1239" s="21">
        <f t="shared" si="207"/>
        <v>22.157312216192189</v>
      </c>
      <c r="P1239">
        <f t="shared" si="203"/>
        <v>0.86040658423196814</v>
      </c>
      <c r="Q1239">
        <f t="shared" si="200"/>
        <v>0.41953982866883366</v>
      </c>
      <c r="R1239">
        <f t="shared" si="201"/>
        <v>0.4579014471689356</v>
      </c>
      <c r="T1239" s="21">
        <f>(M1239-M1238)/(H1239-H1238)</f>
        <v>7.4229095975020254E-4</v>
      </c>
      <c r="W1239">
        <v>1124</v>
      </c>
      <c r="X1239">
        <v>22.250744000000001</v>
      </c>
      <c r="Y1239">
        <v>1</v>
      </c>
      <c r="Z1239">
        <f t="shared" si="198"/>
        <v>1</v>
      </c>
      <c r="AA1239" s="21">
        <f>IF(X1239&gt;$B$8+$B$9,0,ABS(X1239-O1239)/X1239)</f>
        <v>4.1990408863547329E-3</v>
      </c>
      <c r="AB1239">
        <f>IF(OR(Z1236&lt;&gt;Z1242,X1239&gt;$B$8+$B$9),0,((X1242-X1236)/(W1242-W1236)-(O1242-O1236)/(W1242-W1236))^2)</f>
        <v>4.2076981022891746E-7</v>
      </c>
    </row>
    <row r="1240" spans="7:28" x14ac:dyDescent="0.2">
      <c r="G1240" s="21"/>
      <c r="H1240" s="21">
        <v>1125</v>
      </c>
      <c r="I1240">
        <f t="shared" si="204"/>
        <v>1.0443096250114156E-2</v>
      </c>
      <c r="J1240">
        <f t="shared" si="205"/>
        <v>0.41922811146562444</v>
      </c>
      <c r="K1240">
        <f t="shared" si="199"/>
        <v>22.750450586928039</v>
      </c>
      <c r="L1240">
        <f>0.5*Z1240*K1240/J1240/$B$7</f>
        <v>27.133736937859801</v>
      </c>
      <c r="M1240">
        <f t="shared" si="202"/>
        <v>0.86934008842976063</v>
      </c>
      <c r="N1240" s="21">
        <f t="shared" si="206"/>
        <v>7.1188080029136611E-2</v>
      </c>
      <c r="O1240" s="21">
        <f t="shared" si="207"/>
        <v>22.167755312442303</v>
      </c>
      <c r="P1240">
        <f t="shared" si="203"/>
        <v>0.86086863752572718</v>
      </c>
      <c r="Q1240">
        <f t="shared" si="200"/>
        <v>0.41922811146562444</v>
      </c>
      <c r="R1240">
        <f t="shared" si="201"/>
        <v>0.45728488443834847</v>
      </c>
      <c r="T1240" s="21">
        <f>(M1240-M1239)/(H1240-H1239)</f>
        <v>7.432740395635351E-4</v>
      </c>
      <c r="W1240">
        <v>1125</v>
      </c>
      <c r="X1240">
        <v>22.268590999999997</v>
      </c>
      <c r="Y1240">
        <v>1</v>
      </c>
      <c r="Z1240">
        <f t="shared" si="198"/>
        <v>1</v>
      </c>
      <c r="AA1240" s="21">
        <f>IF(X1240&gt;$B$8+$B$9,0,ABS(X1240-O1240)/X1240)</f>
        <v>4.528157509278174E-3</v>
      </c>
      <c r="AB1240">
        <f>IF(OR(Z1237&lt;&gt;Z1243,X1240&gt;$B$8+$B$9),0,((X1243-X1237)/(W1243-W1237)-(O1243-O1237)/(W1243-W1237))^2)</f>
        <v>2.1026347035674276E-6</v>
      </c>
    </row>
    <row r="1241" spans="7:28" x14ac:dyDescent="0.2">
      <c r="G1241" s="21"/>
      <c r="H1241" s="21">
        <v>1126</v>
      </c>
      <c r="I1241">
        <f t="shared" si="204"/>
        <v>1.0452732104144265E-2</v>
      </c>
      <c r="J1241">
        <f t="shared" si="205"/>
        <v>0.41891621275512347</v>
      </c>
      <c r="K1241">
        <f t="shared" si="199"/>
        <v>22.748764502820801</v>
      </c>
      <c r="L1241">
        <f>0.5*Z1241*K1241/J1241/$B$7</f>
        <v>27.151926578834203</v>
      </c>
      <c r="M1241">
        <f t="shared" si="202"/>
        <v>0.87008434861475514</v>
      </c>
      <c r="N1241" s="21">
        <f t="shared" si="206"/>
        <v>7.1216831768270705E-2</v>
      </c>
      <c r="O1241" s="21">
        <f t="shared" si="207"/>
        <v>22.178208044546448</v>
      </c>
      <c r="P1241">
        <f t="shared" si="203"/>
        <v>0.86133095986476571</v>
      </c>
      <c r="Q1241">
        <f t="shared" si="200"/>
        <v>0.41891621275512347</v>
      </c>
      <c r="R1241">
        <f t="shared" si="201"/>
        <v>0.45666962230818764</v>
      </c>
      <c r="T1241" s="21">
        <f>(M1241-M1240)/(H1241-H1240)</f>
        <v>7.4426018499451629E-4</v>
      </c>
      <c r="W1241">
        <v>1126</v>
      </c>
      <c r="X1241">
        <v>22.278325999999996</v>
      </c>
      <c r="Y1241">
        <v>1</v>
      </c>
      <c r="Z1241">
        <f t="shared" si="198"/>
        <v>1</v>
      </c>
      <c r="AA1241" s="21">
        <f>IF(X1241&gt;$B$8+$B$9,0,ABS(X1241-O1241)/X1241)</f>
        <v>4.4939622238021077E-3</v>
      </c>
      <c r="AB1241">
        <f>IF(OR(Z1238&lt;&gt;Z1244,X1241&gt;$B$8+$B$9),0,((X1244-X1238)/(W1244-W1238)-(O1244-O1238)/(W1244-W1238))^2)</f>
        <v>3.9592910944991873E-7</v>
      </c>
    </row>
    <row r="1242" spans="7:28" x14ac:dyDescent="0.2">
      <c r="G1242" s="21"/>
      <c r="H1242" s="21">
        <v>1127</v>
      </c>
      <c r="I1242">
        <f t="shared" si="204"/>
        <v>1.0462397546154276E-2</v>
      </c>
      <c r="J1242">
        <f t="shared" si="205"/>
        <v>0.41860413199831981</v>
      </c>
      <c r="K1242">
        <f t="shared" si="199"/>
        <v>22.747083381351917</v>
      </c>
      <c r="L1242">
        <f>0.5*Z1242*K1242/J1242/$B$7</f>
        <v>27.17016106931694</v>
      </c>
      <c r="M1242">
        <f t="shared" si="202"/>
        <v>0.87082959802440285</v>
      </c>
      <c r="N1242" s="21">
        <f t="shared" si="206"/>
        <v>7.1245623535108327E-2</v>
      </c>
      <c r="O1242" s="21">
        <f t="shared" si="207"/>
        <v>22.188670442092601</v>
      </c>
      <c r="P1242">
        <f t="shared" si="203"/>
        <v>0.86179355204805053</v>
      </c>
      <c r="Q1242">
        <f t="shared" si="200"/>
        <v>0.41860413199831981</v>
      </c>
      <c r="R1242">
        <f t="shared" si="201"/>
        <v>0.45605565592005676</v>
      </c>
      <c r="T1242" s="21">
        <f>(M1242-M1241)/(H1242-H1241)</f>
        <v>7.4524940964770803E-4</v>
      </c>
      <c r="W1242">
        <v>1127</v>
      </c>
      <c r="X1242">
        <v>22.279948999999998</v>
      </c>
      <c r="Y1242">
        <v>1</v>
      </c>
      <c r="Z1242">
        <f t="shared" si="198"/>
        <v>1</v>
      </c>
      <c r="AA1242" s="21">
        <f>IF(X1242&gt;$B$8+$B$9,0,ABS(X1242-O1242)/X1242)</f>
        <v>4.0968925874739475E-3</v>
      </c>
      <c r="AB1242">
        <f>IF(OR(Z1239&lt;&gt;Z1245,X1242&gt;$B$8+$B$9),0,((X1245-X1239)/(W1245-W1239)-(O1245-O1239)/(W1245-W1239))^2)</f>
        <v>3.671750974670309E-8</v>
      </c>
    </row>
    <row r="1243" spans="7:28" x14ac:dyDescent="0.2">
      <c r="G1243" s="21"/>
      <c r="H1243" s="21">
        <v>1128</v>
      </c>
      <c r="I1243">
        <f t="shared" si="204"/>
        <v>1.0472092691920905E-2</v>
      </c>
      <c r="J1243">
        <f t="shared" si="205"/>
        <v>0.41829186865429846</v>
      </c>
      <c r="K1243">
        <f t="shared" si="199"/>
        <v>22.745407226621388</v>
      </c>
      <c r="L1243">
        <f>0.5*Z1243*K1243/J1243/$B$7</f>
        <v>27.188440573559845</v>
      </c>
      <c r="M1243">
        <f t="shared" si="202"/>
        <v>0.8715758397516159</v>
      </c>
      <c r="N1243" s="21">
        <f t="shared" si="206"/>
        <v>7.1274455494860292E-2</v>
      </c>
      <c r="O1243" s="21">
        <f t="shared" si="207"/>
        <v>22.199142534784521</v>
      </c>
      <c r="P1243">
        <f t="shared" si="203"/>
        <v>0.86225641487737115</v>
      </c>
      <c r="Q1243">
        <f t="shared" si="200"/>
        <v>0.41829186865429846</v>
      </c>
      <c r="R1243">
        <f t="shared" si="201"/>
        <v>0.4554429804375249</v>
      </c>
      <c r="T1243" s="21">
        <f>(M1243-M1242)/(H1243-H1242)</f>
        <v>7.4624172721304838E-4</v>
      </c>
      <c r="W1243">
        <v>1128</v>
      </c>
      <c r="X1243">
        <v>22.296173</v>
      </c>
      <c r="Y1243">
        <v>1</v>
      </c>
      <c r="Z1243">
        <f t="shared" si="198"/>
        <v>1</v>
      </c>
      <c r="AA1243" s="21">
        <f>IF(X1243&gt;$B$8+$B$9,0,ABS(X1243-O1243)/X1243)</f>
        <v>4.3518887844778906E-3</v>
      </c>
      <c r="AB1243">
        <f>IF(OR(Z1240&lt;&gt;Z1246,X1243&gt;$B$8+$B$9),0,((X1246-X1240)/(W1246-W1240)-(O1246-O1240)/(W1246-W1240))^2)</f>
        <v>2.4128289529003295E-6</v>
      </c>
    </row>
    <row r="1244" spans="7:28" x14ac:dyDescent="0.2">
      <c r="G1244" s="21"/>
      <c r="H1244" s="21">
        <v>1129</v>
      </c>
      <c r="I1244">
        <f t="shared" si="204"/>
        <v>1.0481817657879471E-2</v>
      </c>
      <c r="J1244">
        <f t="shared" si="205"/>
        <v>0.41797942218023088</v>
      </c>
      <c r="K1244">
        <f t="shared" si="199"/>
        <v>22.743736042767633</v>
      </c>
      <c r="L1244">
        <f>0.5*Z1244*K1244/J1244/$B$7</f>
        <v>27.206765256688445</v>
      </c>
      <c r="M1244">
        <f t="shared" si="202"/>
        <v>0.87232307690307664</v>
      </c>
      <c r="N1244" s="21">
        <f t="shared" si="206"/>
        <v>7.1303327813568435E-2</v>
      </c>
      <c r="O1244" s="21">
        <f t="shared" si="207"/>
        <v>22.2096243524424</v>
      </c>
      <c r="P1244">
        <f t="shared" si="203"/>
        <v>0.86271954915735338</v>
      </c>
      <c r="Q1244">
        <f t="shared" si="200"/>
        <v>0.41797942218023088</v>
      </c>
      <c r="R1244">
        <f t="shared" si="201"/>
        <v>0.4548315910459943</v>
      </c>
      <c r="T1244" s="21">
        <f>(M1244-M1243)/(H1244-H1243)</f>
        <v>7.4723715146074454E-4</v>
      </c>
      <c r="W1244">
        <v>1129</v>
      </c>
      <c r="X1244">
        <v>22.309152999999998</v>
      </c>
      <c r="Y1244">
        <v>1</v>
      </c>
      <c r="Z1244">
        <f t="shared" si="198"/>
        <v>1</v>
      </c>
      <c r="AA1244" s="21">
        <f>IF(X1244&gt;$B$8+$B$9,0,ABS(X1244-O1244)/X1244)</f>
        <v>4.4613369031804148E-3</v>
      </c>
      <c r="AB1244">
        <f>IF(OR(Z1241&lt;&gt;Z1247,X1244&gt;$B$8+$B$9),0,((X1247-X1241)/(W1247-W1241)-(O1247-O1241)/(W1247-W1241))^2)</f>
        <v>2.3190816043736958E-7</v>
      </c>
    </row>
    <row r="1245" spans="7:28" x14ac:dyDescent="0.2">
      <c r="G1245" s="21"/>
      <c r="H1245" s="21">
        <v>1130</v>
      </c>
      <c r="I1245">
        <f t="shared" si="204"/>
        <v>1.0491572561128521E-2</v>
      </c>
      <c r="J1245">
        <f t="shared" si="205"/>
        <v>0.41766679203136448</v>
      </c>
      <c r="K1245">
        <f t="shared" si="199"/>
        <v>22.742069833967658</v>
      </c>
      <c r="L1245">
        <f>0.5*Z1245*K1245/J1245/$B$7</f>
        <v>27.225135284707832</v>
      </c>
      <c r="M1245">
        <f t="shared" si="202"/>
        <v>0.87307131259932047</v>
      </c>
      <c r="N1245" s="21">
        <f t="shared" si="206"/>
        <v>7.1332240658110918E-2</v>
      </c>
      <c r="O1245" s="21">
        <f t="shared" si="207"/>
        <v>22.22011592500353</v>
      </c>
      <c r="P1245">
        <f t="shared" si="203"/>
        <v>0.86318295569547498</v>
      </c>
      <c r="Q1245">
        <f t="shared" si="200"/>
        <v>0.41766679203136448</v>
      </c>
      <c r="R1245">
        <f t="shared" si="201"/>
        <v>0.45422148295256642</v>
      </c>
      <c r="T1245" s="21">
        <f>(M1245-M1244)/(H1245-H1244)</f>
        <v>7.4823569624382635E-4</v>
      </c>
      <c r="W1245">
        <v>1130</v>
      </c>
      <c r="X1245">
        <v>22.312397999999998</v>
      </c>
      <c r="Y1245">
        <v>1</v>
      </c>
      <c r="Z1245">
        <f t="shared" si="198"/>
        <v>1</v>
      </c>
      <c r="AA1245" s="21">
        <f>IF(X1245&gt;$B$8+$B$9,0,ABS(X1245-O1245)/X1245)</f>
        <v>4.1359102233865033E-3</v>
      </c>
      <c r="AB1245">
        <f>IF(OR(Z1242&lt;&gt;Z1248,X1245&gt;$B$8+$B$9),0,((X1248-X1242)/(W1248-W1242)-(O1248-O1242)/(W1248-W1242))^2)</f>
        <v>7.4073817246964275E-7</v>
      </c>
    </row>
    <row r="1246" spans="7:28" x14ac:dyDescent="0.2">
      <c r="G1246" s="21"/>
      <c r="H1246" s="21">
        <v>1131</v>
      </c>
      <c r="I1246">
        <f t="shared" si="204"/>
        <v>1.0501357519434413E-2</v>
      </c>
      <c r="J1246">
        <f t="shared" si="205"/>
        <v>0.41735397766101123</v>
      </c>
      <c r="K1246">
        <f t="shared" si="199"/>
        <v>22.740408604437196</v>
      </c>
      <c r="L1246">
        <f>0.5*Z1246*K1246/J1246/$B$7</f>
        <v>27.243550824508628</v>
      </c>
      <c r="M1246">
        <f t="shared" si="202"/>
        <v>0.87382054997482161</v>
      </c>
      <c r="N1246" s="21">
        <f t="shared" si="206"/>
        <v>7.136119419620833E-2</v>
      </c>
      <c r="O1246" s="21">
        <f t="shared" si="207"/>
        <v>22.230617282522964</v>
      </c>
      <c r="P1246">
        <f t="shared" si="203"/>
        <v>0.86364663530208274</v>
      </c>
      <c r="Q1246">
        <f t="shared" si="200"/>
        <v>0.41735397766101123</v>
      </c>
      <c r="R1246">
        <f t="shared" si="201"/>
        <v>0.45361265138590728</v>
      </c>
      <c r="T1246" s="21">
        <f>(M1246-M1245)/(H1246-H1245)</f>
        <v>7.4923737550114389E-4</v>
      </c>
      <c r="W1246">
        <v>1131</v>
      </c>
      <c r="X1246">
        <v>22.322132999999997</v>
      </c>
      <c r="Y1246">
        <v>1</v>
      </c>
      <c r="Z1246">
        <f t="shared" si="198"/>
        <v>1</v>
      </c>
      <c r="AA1246" s="21">
        <f>IF(X1246&gt;$B$8+$B$9,0,ABS(X1246-O1246)/X1246)</f>
        <v>4.0997747606392985E-3</v>
      </c>
      <c r="AB1246">
        <f>IF(OR(Z1243&lt;&gt;Z1249,X1246&gt;$B$8+$B$9),0,((X1249-X1243)/(W1249-W1243)-(O1249-O1243)/(W1249-W1243))^2)</f>
        <v>9.6220692164096056E-8</v>
      </c>
    </row>
    <row r="1247" spans="7:28" x14ac:dyDescent="0.2">
      <c r="G1247" s="21"/>
      <c r="H1247" s="21">
        <v>1132</v>
      </c>
      <c r="I1247">
        <f t="shared" si="204"/>
        <v>1.0511172651236028E-2</v>
      </c>
      <c r="J1247">
        <f t="shared" si="205"/>
        <v>0.41704097852053801</v>
      </c>
      <c r="K1247">
        <f t="shared" si="199"/>
        <v>22.738752358430908</v>
      </c>
      <c r="L1247">
        <f>0.5*Z1247*K1247/J1247/$B$7</f>
        <v>27.262012043872918</v>
      </c>
      <c r="M1247">
        <f t="shared" si="202"/>
        <v>0.87457079217807487</v>
      </c>
      <c r="N1247" s="21">
        <f t="shared" si="206"/>
        <v>7.1390188596429108E-2</v>
      </c>
      <c r="O1247" s="21">
        <f t="shared" si="207"/>
        <v>22.241128455174199</v>
      </c>
      <c r="P1247">
        <f t="shared" si="203"/>
        <v>0.86411058879040659</v>
      </c>
      <c r="Q1247">
        <f t="shared" si="200"/>
        <v>0.41704097852053801</v>
      </c>
      <c r="R1247">
        <f t="shared" si="201"/>
        <v>0.45300509159611757</v>
      </c>
      <c r="T1247" s="21">
        <f>(M1247-M1246)/(H1247-H1246)</f>
        <v>7.5024220325325963E-4</v>
      </c>
      <c r="W1247">
        <v>1132</v>
      </c>
      <c r="X1247">
        <v>22.338356999999998</v>
      </c>
      <c r="Y1247">
        <v>1</v>
      </c>
      <c r="Z1247">
        <f t="shared" si="198"/>
        <v>1</v>
      </c>
      <c r="AA1247" s="21">
        <f>IF(X1247&gt;$B$8+$B$9,0,ABS(X1247-O1247)/X1247)</f>
        <v>4.352537871330461E-3</v>
      </c>
      <c r="AB1247">
        <f>IF(OR(Z1244&lt;&gt;Z1250,X1247&gt;$B$8+$B$9),0,((X1250-X1244)/(W1250-W1244)-(O1250-O1244)/(W1250-W1244))^2)</f>
        <v>5.7825420286292509E-8</v>
      </c>
    </row>
    <row r="1248" spans="7:28" x14ac:dyDescent="0.2">
      <c r="G1248" s="21"/>
      <c r="H1248" s="21">
        <v>1133</v>
      </c>
      <c r="I1248">
        <f t="shared" si="204"/>
        <v>1.0521018075649502E-2</v>
      </c>
      <c r="J1248">
        <f t="shared" si="205"/>
        <v>0.41672779405935489</v>
      </c>
      <c r="K1248">
        <f t="shared" si="199"/>
        <v>22.737101100242544</v>
      </c>
      <c r="L1248">
        <f>0.5*Z1248*K1248/J1248/$B$7</f>
        <v>27.280519111480334</v>
      </c>
      <c r="M1248">
        <f t="shared" si="202"/>
        <v>0.87532204237168321</v>
      </c>
      <c r="N1248" s="21">
        <f t="shared" si="206"/>
        <v>7.1419224028195491E-2</v>
      </c>
      <c r="O1248" s="21">
        <f t="shared" si="207"/>
        <v>22.251649473249849</v>
      </c>
      <c r="P1248">
        <f t="shared" si="203"/>
        <v>0.86457481697657668</v>
      </c>
      <c r="Q1248">
        <f t="shared" si="200"/>
        <v>0.41672779405935489</v>
      </c>
      <c r="R1248">
        <f t="shared" si="201"/>
        <v>0.45239879885459999</v>
      </c>
      <c r="T1248" s="21">
        <f>(M1248-M1247)/(H1248-H1247)</f>
        <v>7.5125019360833267E-4</v>
      </c>
      <c r="W1248">
        <v>1133</v>
      </c>
      <c r="X1248">
        <v>22.348091999999998</v>
      </c>
      <c r="Y1248">
        <v>1</v>
      </c>
      <c r="Z1248">
        <f t="shared" si="198"/>
        <v>1</v>
      </c>
      <c r="AA1248" s="21">
        <f>IF(X1248&gt;$B$8+$B$9,0,ABS(X1248-O1248)/X1248)</f>
        <v>4.3154702759478965E-3</v>
      </c>
      <c r="AB1248">
        <f>IF(OR(Z1245&lt;&gt;Z1251,X1248&gt;$B$8+$B$9),0,((X1251-X1245)/(W1251-W1245)-(O1251-O1245)/(W1251-W1245))^2)</f>
        <v>1.2136768818216743E-6</v>
      </c>
    </row>
    <row r="1249" spans="7:28" x14ac:dyDescent="0.2">
      <c r="G1249" s="21"/>
      <c r="H1249" s="21">
        <v>1134</v>
      </c>
      <c r="I1249">
        <f t="shared" si="204"/>
        <v>1.0530893912472954E-2</v>
      </c>
      <c r="J1249">
        <f t="shared" si="205"/>
        <v>0.41641442372490522</v>
      </c>
      <c r="K1249">
        <f t="shared" si="199"/>
        <v>22.735454834205115</v>
      </c>
      <c r="L1249">
        <f>0.5*Z1249*K1249/J1249/$B$7</f>
        <v>27.299072196914075</v>
      </c>
      <c r="M1249">
        <f t="shared" si="202"/>
        <v>0.87607430373244111</v>
      </c>
      <c r="N1249" s="21">
        <f t="shared" si="206"/>
        <v>7.1448300661789144E-2</v>
      </c>
      <c r="O1249" s="21">
        <f t="shared" si="207"/>
        <v>22.262180367162323</v>
      </c>
      <c r="P1249">
        <f t="shared" si="203"/>
        <v>0.86503932067963896</v>
      </c>
      <c r="Q1249">
        <f t="shared" si="200"/>
        <v>0.41641442372490522</v>
      </c>
      <c r="R1249">
        <f t="shared" si="201"/>
        <v>0.45179376845392971</v>
      </c>
      <c r="T1249" s="21">
        <f>(M1249-M1248)/(H1249-H1248)</f>
        <v>7.5226136075789984E-4</v>
      </c>
      <c r="W1249">
        <v>1134</v>
      </c>
      <c r="X1249">
        <v>22.361071999999997</v>
      </c>
      <c r="Y1249">
        <v>1</v>
      </c>
      <c r="Z1249">
        <f t="shared" si="198"/>
        <v>1</v>
      </c>
      <c r="AA1249" s="21">
        <f>IF(X1249&gt;$B$8+$B$9,0,ABS(X1249-O1249)/X1249)</f>
        <v>4.4224906944387056E-3</v>
      </c>
      <c r="AB1249">
        <f>IF(OR(Z1246&lt;&gt;Z1252,X1249&gt;$B$8+$B$9),0,((X1252-X1246)/(W1252-W1246)-(O1252-O1246)/(W1252-W1246))^2)</f>
        <v>1.1919808996393852E-6</v>
      </c>
    </row>
    <row r="1250" spans="7:28" x14ac:dyDescent="0.2">
      <c r="G1250" s="21"/>
      <c r="H1250" s="21">
        <v>1135</v>
      </c>
      <c r="I1250">
        <f t="shared" si="204"/>
        <v>1.0540800282191318E-2</v>
      </c>
      <c r="J1250">
        <f t="shared" si="205"/>
        <v>0.41610086696265403</v>
      </c>
      <c r="K1250">
        <f t="shared" si="199"/>
        <v>22.733813564691062</v>
      </c>
      <c r="L1250">
        <f>0.5*Z1250*K1250/J1250/$B$7</f>
        <v>27.317671470667076</v>
      </c>
      <c r="M1250">
        <f t="shared" si="202"/>
        <v>0.87682757945142253</v>
      </c>
      <c r="N1250" s="21">
        <f t="shared" si="206"/>
        <v>7.1477418668357329E-2</v>
      </c>
      <c r="O1250" s="21">
        <f t="shared" si="207"/>
        <v>22.272721167444512</v>
      </c>
      <c r="P1250">
        <f t="shared" si="203"/>
        <v>0.86550410072157136</v>
      </c>
      <c r="Q1250">
        <f t="shared" si="200"/>
        <v>0.41610086696265403</v>
      </c>
      <c r="R1250">
        <f t="shared" si="201"/>
        <v>0.45118999570772478</v>
      </c>
      <c r="T1250" s="21">
        <f>(M1250-M1249)/(H1250-H1249)</f>
        <v>7.5327571898142764E-4</v>
      </c>
      <c r="W1250">
        <v>1135</v>
      </c>
      <c r="X1250">
        <v>22.370807000000003</v>
      </c>
      <c r="Y1250">
        <v>1</v>
      </c>
      <c r="Z1250">
        <f t="shared" si="198"/>
        <v>1</v>
      </c>
      <c r="AA1250" s="21">
        <f>IF(X1250&gt;$B$8+$B$9,0,ABS(X1250-O1250)/X1250)</f>
        <v>4.3845460092472527E-3</v>
      </c>
      <c r="AB1250">
        <f>IF(OR(Z1247&lt;&gt;Z1253,X1250&gt;$B$8+$B$9),0,((X1253-X1247)/(W1253-W1247)-(O1253-O1247)/(W1253-W1247))^2)</f>
        <v>1.8288692363797941E-6</v>
      </c>
    </row>
    <row r="1251" spans="7:28" x14ac:dyDescent="0.2">
      <c r="G1251" s="21"/>
      <c r="H1251" s="21">
        <v>1136</v>
      </c>
      <c r="I1251">
        <f t="shared" si="204"/>
        <v>1.055073730598113E-2</v>
      </c>
      <c r="J1251">
        <f t="shared" si="205"/>
        <v>0.41578712321607769</v>
      </c>
      <c r="K1251">
        <f t="shared" si="199"/>
        <v>22.732177296112464</v>
      </c>
      <c r="L1251">
        <f>0.5*Z1251*K1251/J1251/$B$7</f>
        <v>27.336317104148183</v>
      </c>
      <c r="M1251">
        <f t="shared" si="202"/>
        <v>0.87758187273406629</v>
      </c>
      <c r="N1251" s="21">
        <f t="shared" si="206"/>
        <v>7.1506578219918404E-2</v>
      </c>
      <c r="O1251" s="21">
        <f t="shared" si="207"/>
        <v>22.283271904750492</v>
      </c>
      <c r="P1251">
        <f t="shared" si="203"/>
        <v>0.86596915792729978</v>
      </c>
      <c r="Q1251">
        <f t="shared" si="200"/>
        <v>0.41578712321607769</v>
      </c>
      <c r="R1251">
        <f t="shared" si="201"/>
        <v>0.45058747595051801</v>
      </c>
      <c r="T1251" s="21">
        <f>(M1251-M1250)/(H1251-H1250)</f>
        <v>7.5429328264375872E-4</v>
      </c>
      <c r="W1251">
        <v>1136</v>
      </c>
      <c r="X1251">
        <v>22.382164</v>
      </c>
      <c r="Y1251">
        <v>1</v>
      </c>
      <c r="Z1251">
        <f t="shared" si="198"/>
        <v>1</v>
      </c>
      <c r="AA1251" s="21">
        <f>IF(X1251&gt;$B$8+$B$9,0,ABS(X1251-O1251)/X1251)</f>
        <v>4.4183437870219857E-3</v>
      </c>
      <c r="AB1251">
        <f>IF(OR(Z1248&lt;&gt;Z1254,X1251&gt;$B$8+$B$9),0,((X1254-X1248)/(W1254-W1248)-(O1254-O1248)/(W1254-W1248))^2)</f>
        <v>6.7984136525088031E-8</v>
      </c>
    </row>
    <row r="1252" spans="7:28" x14ac:dyDescent="0.2">
      <c r="G1252" s="21"/>
      <c r="H1252" s="21">
        <v>1137</v>
      </c>
      <c r="I1252">
        <f t="shared" si="204"/>
        <v>1.0560705105715495E-2</v>
      </c>
      <c r="J1252">
        <f t="shared" si="205"/>
        <v>0.41547319192665177</v>
      </c>
      <c r="K1252">
        <f t="shared" si="199"/>
        <v>22.730546032921158</v>
      </c>
      <c r="L1252">
        <f>0.5*Z1252*K1252/J1252/$B$7</f>
        <v>27.355009269688381</v>
      </c>
      <c r="M1252">
        <f t="shared" si="202"/>
        <v>0.87833718680026662</v>
      </c>
      <c r="N1252" s="21">
        <f t="shared" si="206"/>
        <v>7.1535779489368317E-2</v>
      </c>
      <c r="O1252" s="21">
        <f t="shared" si="207"/>
        <v>22.293832609856207</v>
      </c>
      <c r="P1252">
        <f t="shared" si="203"/>
        <v>0.86643449312471565</v>
      </c>
      <c r="Q1252">
        <f t="shared" si="200"/>
        <v>0.41547319192665177</v>
      </c>
      <c r="R1252">
        <f t="shared" si="201"/>
        <v>0.44998620453762794</v>
      </c>
      <c r="T1252" s="21">
        <f>(M1252-M1251)/(H1252-H1251)</f>
        <v>7.5531406620032993E-4</v>
      </c>
      <c r="W1252">
        <v>1137</v>
      </c>
      <c r="X1252">
        <v>22.391898999999999</v>
      </c>
      <c r="Y1252">
        <v>1</v>
      </c>
      <c r="Z1252">
        <f t="shared" si="198"/>
        <v>1</v>
      </c>
      <c r="AA1252" s="21">
        <f>IF(X1252&gt;$B$8+$B$9,0,ABS(X1252-O1252)/X1252)</f>
        <v>4.3795477169574657E-3</v>
      </c>
      <c r="AB1252">
        <f>IF(OR(Z1249&lt;&gt;Z1255,X1252&gt;$B$8+$B$9),0,((X1255-X1249)/(W1255-W1249)-(O1255-O1249)/(W1255-W1249))^2)</f>
        <v>1.1276760644960994E-6</v>
      </c>
    </row>
    <row r="1253" spans="7:28" x14ac:dyDescent="0.2">
      <c r="G1253" s="21"/>
      <c r="H1253" s="21">
        <v>1138</v>
      </c>
      <c r="I1253">
        <f t="shared" si="204"/>
        <v>1.057070380396891E-2</v>
      </c>
      <c r="J1253">
        <f t="shared" si="205"/>
        <v>0.41515907253384177</v>
      </c>
      <c r="K1253">
        <f t="shared" si="199"/>
        <v>22.728919779608987</v>
      </c>
      <c r="L1253">
        <f>0.5*Z1253*K1253/J1253/$B$7</f>
        <v>27.373748140547061</v>
      </c>
      <c r="M1253">
        <f t="shared" si="202"/>
        <v>0.8790935248844568</v>
      </c>
      <c r="N1253" s="21">
        <f t="shared" si="206"/>
        <v>7.156502265048599E-2</v>
      </c>
      <c r="O1253" s="21">
        <f t="shared" si="207"/>
        <v>22.304403313660174</v>
      </c>
      <c r="P1253">
        <f t="shared" si="203"/>
        <v>0.86690010714469035</v>
      </c>
      <c r="Q1253">
        <f t="shared" si="200"/>
        <v>0.41515907253384177</v>
      </c>
      <c r="R1253">
        <f t="shared" si="201"/>
        <v>0.44938617684503446</v>
      </c>
      <c r="T1253" s="21">
        <f>(M1253-M1252)/(H1253-H1252)</f>
        <v>7.563380841901779E-4</v>
      </c>
      <c r="W1253">
        <v>1138</v>
      </c>
      <c r="X1253">
        <v>22.409746000000002</v>
      </c>
      <c r="Y1253">
        <v>1</v>
      </c>
      <c r="Z1253">
        <f t="shared" si="198"/>
        <v>1</v>
      </c>
      <c r="AA1253" s="21">
        <f>IF(X1253&gt;$B$8+$B$9,0,ABS(X1253-O1253)/X1253)</f>
        <v>4.7007532499399101E-3</v>
      </c>
      <c r="AB1253">
        <f>IF(OR(Z1250&lt;&gt;Z1256,X1253&gt;$B$8+$B$9),0,((X1256-X1250)/(W1256-W1250)-(O1256-O1250)/(W1256-W1250))^2)</f>
        <v>7.1524504341091098E-6</v>
      </c>
    </row>
    <row r="1254" spans="7:28" x14ac:dyDescent="0.2">
      <c r="G1254" s="21"/>
      <c r="H1254" s="21">
        <v>1139</v>
      </c>
      <c r="I1254">
        <f t="shared" si="204"/>
        <v>1.0580733524022329E-2</v>
      </c>
      <c r="J1254">
        <f t="shared" si="205"/>
        <v>0.41484476447508978</v>
      </c>
      <c r="K1254">
        <f t="shared" si="199"/>
        <v>22.727298540707924</v>
      </c>
      <c r="L1254">
        <f>0.5*Z1254*K1254/J1254/$B$7</f>
        <v>27.392533890918408</v>
      </c>
      <c r="M1254">
        <f t="shared" si="202"/>
        <v>0.87985089023570295</v>
      </c>
      <c r="N1254" s="21">
        <f t="shared" si="206"/>
        <v>7.1594307877939994E-2</v>
      </c>
      <c r="O1254" s="21">
        <f t="shared" si="207"/>
        <v>22.314984047184197</v>
      </c>
      <c r="P1254">
        <f t="shared" si="203"/>
        <v>0.86736600082109394</v>
      </c>
      <c r="Q1254">
        <f t="shared" si="200"/>
        <v>0.41484476447508978</v>
      </c>
      <c r="R1254">
        <f t="shared" si="201"/>
        <v>0.4487873882692503</v>
      </c>
      <c r="T1254" s="21">
        <f>(M1254-M1253)/(H1254-H1253)</f>
        <v>7.5736535124615312E-4</v>
      </c>
      <c r="W1254">
        <v>1139</v>
      </c>
      <c r="X1254">
        <v>22.412991000000002</v>
      </c>
      <c r="Y1254">
        <v>1</v>
      </c>
      <c r="Z1254">
        <f t="shared" si="198"/>
        <v>1</v>
      </c>
      <c r="AA1254" s="21">
        <f>IF(X1254&gt;$B$8+$B$9,0,ABS(X1254-O1254)/X1254)</f>
        <v>4.3727743796356643E-3</v>
      </c>
      <c r="AB1254">
        <f>IF(OR(Z1251&lt;&gt;Z1257,X1254&gt;$B$8+$B$9),0,((X1257-X1251)/(W1257-W1251)-(O1257-O1251)/(W1257-W1251))^2)</f>
        <v>5.952550926072019E-7</v>
      </c>
    </row>
    <row r="1255" spans="7:28" x14ac:dyDescent="0.2">
      <c r="G1255" s="21"/>
      <c r="H1255" s="21">
        <v>1140</v>
      </c>
      <c r="I1255">
        <f t="shared" si="204"/>
        <v>1.0590794389868105E-2</v>
      </c>
      <c r="J1255">
        <f t="shared" si="205"/>
        <v>0.41453026718580532</v>
      </c>
      <c r="K1255">
        <f t="shared" si="199"/>
        <v>22.725682320790291</v>
      </c>
      <c r="L1255">
        <f>0.5*Z1255*K1255/J1255/$B$7</f>
        <v>27.411366695937712</v>
      </c>
      <c r="M1255">
        <f t="shared" si="202"/>
        <v>0.88060928611778932</v>
      </c>
      <c r="N1255" s="21">
        <f t="shared" si="206"/>
        <v>7.162363534729424E-2</v>
      </c>
      <c r="O1255" s="21">
        <f t="shared" si="207"/>
        <v>22.325574841574063</v>
      </c>
      <c r="P1255">
        <f t="shared" si="203"/>
        <v>0.86783217499080989</v>
      </c>
      <c r="Q1255">
        <f t="shared" si="200"/>
        <v>0.41453026718580532</v>
      </c>
      <c r="R1255">
        <f t="shared" si="201"/>
        <v>0.44818983422719849</v>
      </c>
      <c r="T1255" s="21">
        <f>(M1255-M1254)/(H1255-H1254)</f>
        <v>7.5839588208637121E-4</v>
      </c>
      <c r="W1255">
        <v>1140</v>
      </c>
      <c r="X1255">
        <v>22.430837999999998</v>
      </c>
      <c r="Y1255">
        <v>1</v>
      </c>
      <c r="Z1255">
        <f t="shared" si="198"/>
        <v>1</v>
      </c>
      <c r="AA1255" s="21">
        <f>IF(X1255&gt;$B$8+$B$9,0,ABS(X1255-O1255)/X1255)</f>
        <v>4.6927876000858503E-3</v>
      </c>
      <c r="AB1255">
        <f>IF(OR(Z1252&lt;&gt;Z1258,X1255&gt;$B$8+$B$9),0,((X1258-X1252)/(W1258-W1252)-(O1258-O1252)/(W1258-W1252))^2)</f>
        <v>7.0452258393851062E-6</v>
      </c>
    </row>
    <row r="1256" spans="7:28" x14ac:dyDescent="0.2">
      <c r="G1256" s="21"/>
      <c r="H1256" s="21">
        <v>1141</v>
      </c>
      <c r="I1256">
        <f t="shared" si="204"/>
        <v>1.0600886526215065E-2</v>
      </c>
      <c r="J1256">
        <f t="shared" si="205"/>
        <v>0.41421558009935211</v>
      </c>
      <c r="K1256">
        <f t="shared" si="199"/>
        <v>22.724071124468924</v>
      </c>
      <c r="L1256">
        <f>0.5*Z1256*K1256/J1256/$B$7</f>
        <v>27.430246731687902</v>
      </c>
      <c r="M1256">
        <f t="shared" si="202"/>
        <v>0.88136871580931242</v>
      </c>
      <c r="N1256" s="21">
        <f t="shared" si="206"/>
        <v>7.1653005235014333E-2</v>
      </c>
      <c r="O1256" s="21">
        <f t="shared" si="207"/>
        <v>22.33617572810028</v>
      </c>
      <c r="P1256">
        <f t="shared" si="203"/>
        <v>0.86829863049375366</v>
      </c>
      <c r="Q1256">
        <f t="shared" si="200"/>
        <v>0.41421558009935211</v>
      </c>
      <c r="R1256">
        <f t="shared" si="201"/>
        <v>0.44759351015608567</v>
      </c>
      <c r="T1256" s="21">
        <f>(M1256-M1255)/(H1256-H1255)</f>
        <v>7.594296915230947E-4</v>
      </c>
      <c r="W1256">
        <v>1141</v>
      </c>
      <c r="X1256">
        <v>22.450307999999996</v>
      </c>
      <c r="Y1256">
        <v>1</v>
      </c>
      <c r="Z1256">
        <f t="shared" si="198"/>
        <v>1</v>
      </c>
      <c r="AA1256" s="21">
        <f>IF(X1256&gt;$B$8+$B$9,0,ABS(X1256-O1256)/X1256)</f>
        <v>5.0837731001158945E-3</v>
      </c>
      <c r="AB1256">
        <f>IF(OR(Z1253&lt;&gt;Z1259,X1256&gt;$B$8+$B$9),0,((X1259-X1253)/(W1259-W1253)-(O1259-O1253)/(W1259-W1253))^2)</f>
        <v>5.6451644698784593E-7</v>
      </c>
    </row>
    <row r="1257" spans="7:28" x14ac:dyDescent="0.2">
      <c r="G1257" s="21"/>
      <c r="H1257" s="21">
        <v>1142</v>
      </c>
      <c r="I1257">
        <f t="shared" si="204"/>
        <v>1.0611010058493641E-2</v>
      </c>
      <c r="J1257">
        <f t="shared" si="205"/>
        <v>0.41390070264703804</v>
      </c>
      <c r="K1257">
        <f t="shared" si="199"/>
        <v>22.722464956397364</v>
      </c>
      <c r="L1257">
        <f>0.5*Z1257*K1257/J1257/$B$7</f>
        <v>27.449174175205968</v>
      </c>
      <c r="M1257">
        <f t="shared" si="202"/>
        <v>0.88212918260376916</v>
      </c>
      <c r="N1257" s="21">
        <f t="shared" si="206"/>
        <v>7.1682417718473737E-2</v>
      </c>
      <c r="O1257" s="21">
        <f t="shared" si="207"/>
        <v>22.346786738158773</v>
      </c>
      <c r="P1257">
        <f t="shared" si="203"/>
        <v>0.8687653681728883</v>
      </c>
      <c r="Q1257">
        <f t="shared" si="200"/>
        <v>0.41390070264703804</v>
      </c>
      <c r="R1257">
        <f t="shared" si="201"/>
        <v>0.44699841151328057</v>
      </c>
      <c r="T1257" s="21">
        <f>(M1257-M1256)/(H1257-H1256)</f>
        <v>7.6046679445673782E-4</v>
      </c>
      <c r="W1257">
        <v>1142</v>
      </c>
      <c r="X1257">
        <v>22.450307999999996</v>
      </c>
      <c r="Y1257">
        <v>1</v>
      </c>
      <c r="Z1257">
        <f t="shared" si="198"/>
        <v>1</v>
      </c>
      <c r="AA1257" s="21">
        <f>IF(X1257&gt;$B$8+$B$9,0,ABS(X1257-O1257)/X1257)</f>
        <v>4.6111288023853898E-3</v>
      </c>
      <c r="AB1257">
        <f>IF(OR(Z1254&lt;&gt;Z1260,X1257&gt;$B$8+$B$9),0,((X1260-X1254)/(W1260-W1254)-(O1260-O1254)/(W1260-W1254))^2)</f>
        <v>5.493828261155814E-7</v>
      </c>
    </row>
    <row r="1258" spans="7:28" x14ac:dyDescent="0.2">
      <c r="G1258" s="21"/>
      <c r="H1258" s="21">
        <v>1143</v>
      </c>
      <c r="I1258">
        <f t="shared" si="204"/>
        <v>1.0621165112860939E-2</v>
      </c>
      <c r="J1258">
        <f t="shared" si="205"/>
        <v>0.41358563425810302</v>
      </c>
      <c r="K1258">
        <f t="shared" si="199"/>
        <v>22.720863821270051</v>
      </c>
      <c r="L1258">
        <f>0.5*Z1258*K1258/J1258/$B$7</f>
        <v>27.468149204489567</v>
      </c>
      <c r="M1258">
        <f t="shared" si="202"/>
        <v>0.8828906898096498</v>
      </c>
      <c r="N1258" s="21">
        <f t="shared" si="206"/>
        <v>7.1711872975960031E-2</v>
      </c>
      <c r="O1258" s="21">
        <f t="shared" si="207"/>
        <v>22.357407903271636</v>
      </c>
      <c r="P1258">
        <f t="shared" si="203"/>
        <v>0.86923238887424215</v>
      </c>
      <c r="Q1258">
        <f t="shared" si="200"/>
        <v>0.41358563425810302</v>
      </c>
      <c r="R1258">
        <f t="shared" si="201"/>
        <v>0.44640453377619049</v>
      </c>
      <c r="T1258" s="21">
        <f>(M1258-M1257)/(H1258-H1257)</f>
        <v>7.6150720588064047E-4</v>
      </c>
      <c r="W1258">
        <v>1143</v>
      </c>
      <c r="X1258">
        <v>22.471399999999999</v>
      </c>
      <c r="Y1258">
        <v>1</v>
      </c>
      <c r="Z1258">
        <f t="shared" si="198"/>
        <v>1</v>
      </c>
      <c r="AA1258" s="21">
        <f>IF(X1258&gt;$B$8+$B$9,0,ABS(X1258-O1258)/X1258)</f>
        <v>5.0727634561426368E-3</v>
      </c>
      <c r="AB1258">
        <f>IF(OR(Z1255&lt;&gt;Z1261,X1258&gt;$B$8+$B$9),0,((X1261-X1255)/(W1261-W1255)-(O1261-O1255)/(W1261-W1255))^2)</f>
        <v>1.2294425934352136E-7</v>
      </c>
    </row>
    <row r="1259" spans="7:28" x14ac:dyDescent="0.2">
      <c r="G1259" s="21"/>
      <c r="H1259" s="21">
        <v>1144</v>
      </c>
      <c r="I1259">
        <f t="shared" si="204"/>
        <v>1.0631351816206003E-2</v>
      </c>
      <c r="J1259">
        <f t="shared" si="205"/>
        <v>0.41327037435970748</v>
      </c>
      <c r="K1259">
        <f t="shared" si="199"/>
        <v>22.719267723822497</v>
      </c>
      <c r="L1259">
        <f>0.5*Z1259*K1259/J1259/$B$7</f>
        <v>27.487171998503594</v>
      </c>
      <c r="M1259">
        <f t="shared" si="202"/>
        <v>0.88365324075053031</v>
      </c>
      <c r="N1259" s="21">
        <f t="shared" si="206"/>
        <v>7.1741371186681335E-2</v>
      </c>
      <c r="O1259" s="21">
        <f t="shared" si="207"/>
        <v>22.36803925508784</v>
      </c>
      <c r="P1259">
        <f t="shared" si="203"/>
        <v>0.86969969344692588</v>
      </c>
      <c r="Q1259">
        <f t="shared" si="200"/>
        <v>0.41327037435970748</v>
      </c>
      <c r="R1259">
        <f t="shared" si="201"/>
        <v>0.44581187244213977</v>
      </c>
      <c r="T1259" s="21">
        <f>(M1259-M1258)/(H1259-H1258)</f>
        <v>7.6255094088051312E-4</v>
      </c>
      <c r="W1259">
        <v>1144</v>
      </c>
      <c r="X1259">
        <v>22.477889999999999</v>
      </c>
      <c r="Y1259">
        <v>1</v>
      </c>
      <c r="Z1259">
        <f t="shared" si="198"/>
        <v>1</v>
      </c>
      <c r="AA1259" s="21">
        <f>IF(X1259&gt;$B$8+$B$9,0,ABS(X1259-O1259)/X1259)</f>
        <v>4.8870576781076163E-3</v>
      </c>
      <c r="AB1259">
        <f>IF(OR(Z1256&lt;&gt;Z1262,X1259&gt;$B$8+$B$9),0,((X1262-X1256)/(W1262-W1256)-(O1262-O1256)/(W1262-W1256))^2)</f>
        <v>8.1908854694863431E-9</v>
      </c>
    </row>
    <row r="1260" spans="7:28" x14ac:dyDescent="0.2">
      <c r="G1260" s="21"/>
      <c r="H1260" s="21">
        <v>1145</v>
      </c>
      <c r="I1260">
        <f t="shared" si="204"/>
        <v>1.0641570296154996E-2</v>
      </c>
      <c r="J1260">
        <f t="shared" si="205"/>
        <v>0.41295492237692089</v>
      </c>
      <c r="K1260">
        <f t="shared" si="199"/>
        <v>22.717676668831494</v>
      </c>
      <c r="L1260">
        <f>0.5*Z1260*K1260/J1260/$B$7</f>
        <v>27.50624273718687</v>
      </c>
      <c r="M1260">
        <f t="shared" si="202"/>
        <v>0.88441683876516486</v>
      </c>
      <c r="N1260" s="21">
        <f t="shared" si="206"/>
        <v>7.1770912530772474E-2</v>
      </c>
      <c r="O1260" s="21">
        <f t="shared" si="207"/>
        <v>22.378680825383995</v>
      </c>
      <c r="P1260">
        <f t="shared" si="203"/>
        <v>0.87016728274314958</v>
      </c>
      <c r="Q1260">
        <f t="shared" si="200"/>
        <v>0.41295492237692089</v>
      </c>
      <c r="R1260">
        <f t="shared" si="201"/>
        <v>0.44522042302824888</v>
      </c>
      <c r="T1260" s="21">
        <f>(M1260-M1259)/(H1260-H1259)</f>
        <v>7.6359801463454779E-4</v>
      </c>
      <c r="W1260">
        <v>1145</v>
      </c>
      <c r="X1260">
        <v>22.481134999999998</v>
      </c>
      <c r="Y1260">
        <v>1</v>
      </c>
      <c r="Z1260">
        <f t="shared" si="198"/>
        <v>1</v>
      </c>
      <c r="AA1260" s="21">
        <f>IF(X1260&gt;$B$8+$B$9,0,ABS(X1260-O1260)/X1260)</f>
        <v>4.5573399481833666E-3</v>
      </c>
      <c r="AB1260">
        <f>IF(OR(Z1257&lt;&gt;Z1263,X1260&gt;$B$8+$B$9),0,((X1263-X1257)/(W1263-W1257)-(O1263-O1257)/(W1263-W1257))^2)</f>
        <v>4.2542990350766964E-6</v>
      </c>
    </row>
    <row r="1261" spans="7:28" x14ac:dyDescent="0.2">
      <c r="G1261" s="21"/>
      <c r="H1261" s="21">
        <v>1146</v>
      </c>
      <c r="I1261">
        <f t="shared" si="204"/>
        <v>1.0651820681076483E-2</v>
      </c>
      <c r="J1261">
        <f t="shared" si="205"/>
        <v>0.4126392777327097</v>
      </c>
      <c r="K1261">
        <f t="shared" si="199"/>
        <v>22.716090661115288</v>
      </c>
      <c r="L1261">
        <f>0.5*Z1261*K1261/J1261/$B$7</f>
        <v>27.525361601458858</v>
      </c>
      <c r="M1261">
        <f t="shared" si="202"/>
        <v>0.8851814872075805</v>
      </c>
      <c r="N1261" s="21">
        <f t="shared" si="206"/>
        <v>7.1800497189301662E-2</v>
      </c>
      <c r="O1261" s="21">
        <f t="shared" si="207"/>
        <v>22.389332646065071</v>
      </c>
      <c r="P1261">
        <f t="shared" si="203"/>
        <v>0.87063515761824051</v>
      </c>
      <c r="Q1261">
        <f t="shared" si="200"/>
        <v>0.4126392777327097</v>
      </c>
      <c r="R1261">
        <f t="shared" si="201"/>
        <v>0.44463018107131397</v>
      </c>
      <c r="T1261" s="21">
        <f>(M1261-M1260)/(H1261-H1260)</f>
        <v>7.6464844241563856E-4</v>
      </c>
      <c r="W1261">
        <v>1146</v>
      </c>
      <c r="X1261">
        <v>22.492492000000002</v>
      </c>
      <c r="Y1261">
        <v>1</v>
      </c>
      <c r="Z1261">
        <f t="shared" si="198"/>
        <v>1</v>
      </c>
      <c r="AA1261" s="21">
        <f>IF(X1261&gt;$B$8+$B$9,0,ABS(X1261-O1261)/X1261)</f>
        <v>4.5863906024699672E-3</v>
      </c>
      <c r="AB1261">
        <f>IF(OR(Z1258&lt;&gt;Z1264,X1261&gt;$B$8+$B$9),0,((X1264-X1258)/(W1264-W1258)-(O1264-O1258)/(W1264-W1258))^2)</f>
        <v>2.5385616735775133E-8</v>
      </c>
    </row>
    <row r="1262" spans="7:28" x14ac:dyDescent="0.2">
      <c r="G1262" s="21"/>
      <c r="H1262" s="21">
        <v>1147</v>
      </c>
      <c r="I1262">
        <f t="shared" si="204"/>
        <v>1.0662103100086811E-2</v>
      </c>
      <c r="J1262">
        <f t="shared" si="205"/>
        <v>0.41232343984792597</v>
      </c>
      <c r="K1262">
        <f t="shared" si="199"/>
        <v>22.714509705533786</v>
      </c>
      <c r="L1262">
        <f>0.5*Z1262*K1262/J1262/$B$7</f>
        <v>27.544528773226428</v>
      </c>
      <c r="M1262">
        <f t="shared" si="202"/>
        <v>0.88594718944717099</v>
      </c>
      <c r="N1262" s="21">
        <f t="shared" si="206"/>
        <v>7.1830125344276741E-2</v>
      </c>
      <c r="O1262" s="21">
        <f t="shared" si="207"/>
        <v>22.39999474916516</v>
      </c>
      <c r="P1262">
        <f t="shared" si="203"/>
        <v>0.8711033189306604</v>
      </c>
      <c r="Q1262">
        <f t="shared" si="200"/>
        <v>0.41232343984792597</v>
      </c>
      <c r="R1262">
        <f t="shared" si="201"/>
        <v>0.4440411421276878</v>
      </c>
      <c r="T1262" s="21">
        <f>(M1262-M1261)/(H1262-H1261)</f>
        <v>7.6570223959049333E-4</v>
      </c>
      <c r="W1262">
        <v>1147</v>
      </c>
      <c r="X1262">
        <v>22.513583999999998</v>
      </c>
      <c r="Y1262">
        <v>1</v>
      </c>
      <c r="Z1262">
        <f t="shared" si="198"/>
        <v>1</v>
      </c>
      <c r="AA1262" s="21">
        <f>IF(X1262&gt;$B$8+$B$9,0,ABS(X1262-O1262)/X1262)</f>
        <v>5.0453650931294811E-3</v>
      </c>
      <c r="AB1262">
        <f>IF(OR(Z1259&lt;&gt;Z1265,X1262&gt;$B$8+$B$9),0,((X1265-X1259)/(W1265-W1259)-(O1265-O1259)/(W1265-W1259))^2)</f>
        <v>3.1383184315811753E-6</v>
      </c>
    </row>
    <row r="1263" spans="7:28" x14ac:dyDescent="0.2">
      <c r="G1263" s="21"/>
      <c r="H1263" s="21">
        <v>1148</v>
      </c>
      <c r="I1263">
        <f t="shared" si="204"/>
        <v>1.0672417683055359E-2</v>
      </c>
      <c r="J1263">
        <f t="shared" si="205"/>
        <v>0.41200740814129522</v>
      </c>
      <c r="K1263">
        <f t="shared" si="199"/>
        <v>22.712933806988751</v>
      </c>
      <c r="L1263">
        <f>0.5*Z1263*K1263/J1263/$B$7</f>
        <v>27.56374443539071</v>
      </c>
      <c r="M1263">
        <f t="shared" si="202"/>
        <v>0.88671394886879173</v>
      </c>
      <c r="N1263" s="21">
        <f t="shared" si="206"/>
        <v>7.1859797178651874E-2</v>
      </c>
      <c r="O1263" s="21">
        <f t="shared" si="207"/>
        <v>22.410667166848214</v>
      </c>
      <c r="P1263">
        <f t="shared" si="203"/>
        <v>0.87157176754202259</v>
      </c>
      <c r="Q1263">
        <f t="shared" si="200"/>
        <v>0.41200740814129522</v>
      </c>
      <c r="R1263">
        <f t="shared" si="201"/>
        <v>0.44345330177316167</v>
      </c>
      <c r="T1263" s="21">
        <f>(M1263-M1262)/(H1263-H1262)</f>
        <v>7.6675942162074406E-4</v>
      </c>
      <c r="W1263">
        <v>1148</v>
      </c>
      <c r="X1263">
        <v>22.526563999999997</v>
      </c>
      <c r="Y1263">
        <v>1</v>
      </c>
      <c r="Z1263">
        <f t="shared" si="198"/>
        <v>1</v>
      </c>
      <c r="AA1263" s="21">
        <f>IF(X1263&gt;$B$8+$B$9,0,ABS(X1263-O1263)/X1263)</f>
        <v>5.1448961835361736E-3</v>
      </c>
      <c r="AB1263">
        <f>IF(OR(Z1260&lt;&gt;Z1266,X1263&gt;$B$8+$B$9),0,((X1266-X1260)/(W1266-W1260)-(O1266-O1260)/(W1266-W1260))^2)</f>
        <v>4.127801087481888E-6</v>
      </c>
    </row>
    <row r="1264" spans="7:28" x14ac:dyDescent="0.2">
      <c r="G1264" s="21"/>
      <c r="H1264" s="21">
        <v>1149</v>
      </c>
      <c r="I1264">
        <f t="shared" si="204"/>
        <v>1.0682764560610125E-2</v>
      </c>
      <c r="J1264">
        <f t="shared" si="205"/>
        <v>0.41169118202940425</v>
      </c>
      <c r="K1264">
        <f t="shared" si="199"/>
        <v>22.711362970423984</v>
      </c>
      <c r="L1264">
        <f>0.5*Z1264*K1264/J1264/$B$7</f>
        <v>27.583008771853983</v>
      </c>
      <c r="M1264">
        <f t="shared" si="202"/>
        <v>0.88748176887285735</v>
      </c>
      <c r="N1264" s="21">
        <f t="shared" si="206"/>
        <v>7.1889512876334133E-2</v>
      </c>
      <c r="O1264" s="21">
        <f t="shared" si="207"/>
        <v>22.421349931408823</v>
      </c>
      <c r="P1264">
        <f t="shared" si="203"/>
        <v>0.872040504317111</v>
      </c>
      <c r="Q1264">
        <f t="shared" si="200"/>
        <v>0.41169118202940425</v>
      </c>
      <c r="R1264">
        <f t="shared" si="201"/>
        <v>0.44286665560284616</v>
      </c>
      <c r="T1264" s="21">
        <f>(M1264-M1263)/(H1264-H1263)</f>
        <v>7.6782000406561135E-4</v>
      </c>
      <c r="W1264">
        <v>1149</v>
      </c>
      <c r="X1264">
        <v>22.536297999999999</v>
      </c>
      <c r="Y1264">
        <v>1</v>
      </c>
      <c r="Z1264">
        <f t="shared" si="198"/>
        <v>1</v>
      </c>
      <c r="AA1264" s="21">
        <f>IF(X1264&gt;$B$8+$B$9,0,ABS(X1264-O1264)/X1264)</f>
        <v>5.1005745749002551E-3</v>
      </c>
      <c r="AB1264">
        <f>IF(OR(Z1261&lt;&gt;Z1267,X1264&gt;$B$8+$B$9),0,((X1267-X1261)/(W1267-W1261)-(O1267-O1261)/(W1267-W1261))^2)</f>
        <v>9.6286242954446366E-6</v>
      </c>
    </row>
    <row r="1265" spans="7:28" x14ac:dyDescent="0.2">
      <c r="G1265" s="21"/>
      <c r="H1265" s="21">
        <v>1150</v>
      </c>
      <c r="I1265">
        <f t="shared" si="204"/>
        <v>1.0693143864143013E-2</v>
      </c>
      <c r="J1265">
        <f t="shared" si="205"/>
        <v>0.41137476092668968</v>
      </c>
      <c r="K1265">
        <f t="shared" si="199"/>
        <v>22.709797200825541</v>
      </c>
      <c r="L1265">
        <f>0.5*Z1265*K1265/J1265/$B$7</f>
        <v>27.602321967526603</v>
      </c>
      <c r="M1265">
        <f t="shared" si="202"/>
        <v>0.88825065287543592</v>
      </c>
      <c r="N1265" s="21">
        <f t="shared" si="206"/>
        <v>7.191927262219E-2</v>
      </c>
      <c r="O1265" s="21">
        <f t="shared" si="207"/>
        <v>22.432043075272965</v>
      </c>
      <c r="P1265">
        <f t="shared" si="203"/>
        <v>0.87250953012389665</v>
      </c>
      <c r="Q1265">
        <f t="shared" si="200"/>
        <v>0.41137476092668968</v>
      </c>
      <c r="R1265">
        <f t="shared" si="201"/>
        <v>0.44228119923105591</v>
      </c>
      <c r="T1265" s="21">
        <f>(M1265-M1264)/(H1265-H1264)</f>
        <v>7.688840025785737E-4</v>
      </c>
      <c r="W1265">
        <v>1150</v>
      </c>
      <c r="X1265">
        <v>22.552522999999997</v>
      </c>
      <c r="Y1265">
        <v>1</v>
      </c>
      <c r="Z1265">
        <f t="shared" si="198"/>
        <v>1</v>
      </c>
      <c r="AA1265" s="21">
        <f>IF(X1265&gt;$B$8+$B$9,0,ABS(X1265-O1265)/X1265)</f>
        <v>5.3421927438908855E-3</v>
      </c>
      <c r="AB1265">
        <f>IF(OR(Z1262&lt;&gt;Z1268,X1265&gt;$B$8+$B$9),0,((X1268-X1262)/(W1268-W1262)-(O1268-O1262)/(W1268-W1262))^2)</f>
        <v>2.322371627398698E-8</v>
      </c>
    </row>
    <row r="1266" spans="7:28" x14ac:dyDescent="0.2">
      <c r="G1266" s="21"/>
      <c r="H1266" s="21">
        <v>1151</v>
      </c>
      <c r="I1266">
        <f t="shared" si="204"/>
        <v>1.0703555725815505E-2</v>
      </c>
      <c r="J1266">
        <f t="shared" si="205"/>
        <v>0.41105814424542519</v>
      </c>
      <c r="K1266">
        <f t="shared" si="199"/>
        <v>22.708236503221919</v>
      </c>
      <c r="L1266">
        <f>0.5*Z1266*K1266/J1266/$B$7</f>
        <v>27.621684208334045</v>
      </c>
      <c r="M1266">
        <f t="shared" si="202"/>
        <v>0.88902060430834884</v>
      </c>
      <c r="N1266" s="21">
        <f t="shared" si="206"/>
        <v>7.1949076602052228E-2</v>
      </c>
      <c r="O1266" s="21">
        <f t="shared" si="207"/>
        <v>22.44274663099878</v>
      </c>
      <c r="P1266">
        <f t="shared" si="203"/>
        <v>0.87297884583355667</v>
      </c>
      <c r="Q1266">
        <f t="shared" si="200"/>
        <v>0.41105814424542519</v>
      </c>
      <c r="R1266">
        <f t="shared" si="201"/>
        <v>0.44169692829119189</v>
      </c>
      <c r="T1266" s="21">
        <f>(M1266-M1265)/(H1266-H1265)</f>
        <v>7.6995143291291868E-4</v>
      </c>
      <c r="W1266">
        <v>1151</v>
      </c>
      <c r="X1266">
        <v>22.557390999999999</v>
      </c>
      <c r="Y1266">
        <v>1</v>
      </c>
      <c r="Z1266">
        <f t="shared" si="198"/>
        <v>1</v>
      </c>
      <c r="AA1266" s="21">
        <f>IF(X1266&gt;$B$8+$B$9,0,ABS(X1266-O1266)/X1266)</f>
        <v>5.0823417034895173E-3</v>
      </c>
      <c r="AB1266">
        <f>IF(OR(Z1263&lt;&gt;Z1269,X1266&gt;$B$8+$B$9),0,((X1269-X1263)/(W1269-W1263)-(O1269-O1263)/(W1269-W1263))^2)</f>
        <v>8.4427611008044289E-7</v>
      </c>
    </row>
    <row r="1267" spans="7:28" x14ac:dyDescent="0.2">
      <c r="G1267" s="21"/>
      <c r="H1267" s="21">
        <v>1152</v>
      </c>
      <c r="I1267">
        <f t="shared" si="204"/>
        <v>1.0714000278564081E-2</v>
      </c>
      <c r="J1267">
        <f t="shared" si="205"/>
        <v>0.41074133139570934</v>
      </c>
      <c r="K1267">
        <f t="shared" si="199"/>
        <v>22.706680882684253</v>
      </c>
      <c r="L1267">
        <f>0.5*Z1267*K1267/J1267/$B$7</f>
        <v>27.641095681223973</v>
      </c>
      <c r="M1267">
        <f t="shared" si="202"/>
        <v>0.88979162661926836</v>
      </c>
      <c r="N1267" s="21">
        <f t="shared" si="206"/>
        <v>7.1978925002726568E-2</v>
      </c>
      <c r="O1267" s="21">
        <f t="shared" si="207"/>
        <v>22.453460631277345</v>
      </c>
      <c r="P1267">
        <f t="shared" si="203"/>
        <v>0.87344845232049217</v>
      </c>
      <c r="Q1267">
        <f t="shared" si="200"/>
        <v>0.41074133139570934</v>
      </c>
      <c r="R1267">
        <f t="shared" si="201"/>
        <v>0.44111383843562652</v>
      </c>
      <c r="T1267" s="21">
        <f>(M1267-M1266)/(H1267-H1266)</f>
        <v>7.7102231091952245E-4</v>
      </c>
      <c r="W1267">
        <v>1152</v>
      </c>
      <c r="X1267">
        <v>22.575238000000002</v>
      </c>
      <c r="Y1267">
        <v>1</v>
      </c>
      <c r="Z1267">
        <f t="shared" si="198"/>
        <v>1</v>
      </c>
      <c r="AA1267" s="21">
        <f>IF(X1267&gt;$B$8+$B$9,0,ABS(X1267-O1267)/X1267)</f>
        <v>5.3942894742752007E-3</v>
      </c>
      <c r="AB1267">
        <f>IF(OR(Z1264&lt;&gt;Z1270,X1267&gt;$B$8+$B$9),0,((X1270-X1264)/(W1270-W1264)-(O1270-O1264)/(W1270-W1264))^2)</f>
        <v>3.9603010310605595E-6</v>
      </c>
    </row>
    <row r="1268" spans="7:28" x14ac:dyDescent="0.2">
      <c r="G1268" s="21"/>
      <c r="H1268" s="21">
        <v>1153</v>
      </c>
      <c r="I1268">
        <f t="shared" si="204"/>
        <v>1.0724477656105957E-2</v>
      </c>
      <c r="J1268">
        <f t="shared" si="205"/>
        <v>0.41042432178545374</v>
      </c>
      <c r="K1268">
        <f t="shared" si="199"/>
        <v>22.705130344326541</v>
      </c>
      <c r="L1268">
        <f>0.5*Z1268*K1268/J1268/$B$7</f>
        <v>27.660556574173349</v>
      </c>
      <c r="M1268">
        <f t="shared" si="202"/>
        <v>0.89056372327181554</v>
      </c>
      <c r="N1268" s="21">
        <f t="shared" si="206"/>
        <v>7.2008818011998557E-2</v>
      </c>
      <c r="O1268" s="21">
        <f t="shared" si="207"/>
        <v>22.464185108933449</v>
      </c>
      <c r="P1268">
        <f t="shared" si="203"/>
        <v>0.87391835046234612</v>
      </c>
      <c r="Q1268">
        <f t="shared" si="200"/>
        <v>0.41042432178545374</v>
      </c>
      <c r="R1268">
        <f t="shared" si="201"/>
        <v>0.44053192533558927</v>
      </c>
      <c r="T1268" s="21">
        <f>(M1268-M1267)/(H1268-H1267)</f>
        <v>7.7209665254718285E-4</v>
      </c>
      <c r="W1268">
        <v>1153</v>
      </c>
      <c r="X1268">
        <v>22.57686</v>
      </c>
      <c r="Y1268">
        <v>1</v>
      </c>
      <c r="Z1268">
        <f t="shared" si="198"/>
        <v>1</v>
      </c>
      <c r="AA1268" s="21">
        <f>IF(X1268&gt;$B$8+$B$9,0,ABS(X1268-O1268)/X1268)</f>
        <v>4.9907246209858454E-3</v>
      </c>
      <c r="AB1268">
        <f>IF(OR(Z1265&lt;&gt;Z1271,X1268&gt;$B$8+$B$9),0,((X1271-X1265)/(W1271-W1265)-(O1271-O1265)/(W1271-W1265))^2)</f>
        <v>2.9214437398645234E-6</v>
      </c>
    </row>
    <row r="1269" spans="7:28" x14ac:dyDescent="0.2">
      <c r="G1269" s="21"/>
      <c r="H1269" s="21">
        <v>1154</v>
      </c>
      <c r="I1269">
        <f t="shared" si="204"/>
        <v>1.0734987992944648E-2</v>
      </c>
      <c r="J1269">
        <f t="shared" si="205"/>
        <v>0.41010711482037032</v>
      </c>
      <c r="K1269">
        <f t="shared" si="199"/>
        <v>22.703584893305834</v>
      </c>
      <c r="L1269">
        <f>0.5*Z1269*K1269/J1269/$B$7</f>
        <v>27.680067076195638</v>
      </c>
      <c r="M1269">
        <f t="shared" si="202"/>
        <v>0.89133689774566072</v>
      </c>
      <c r="N1269" s="21">
        <f t="shared" si="206"/>
        <v>7.2038755818640332E-2</v>
      </c>
      <c r="O1269" s="21">
        <f t="shared" si="207"/>
        <v>22.474920096926393</v>
      </c>
      <c r="P1269">
        <f t="shared" si="203"/>
        <v>0.87438854114002185</v>
      </c>
      <c r="Q1269">
        <f t="shared" si="200"/>
        <v>0.41010711482037032</v>
      </c>
      <c r="R1269">
        <f t="shared" si="201"/>
        <v>0.43995118468105249</v>
      </c>
      <c r="T1269" s="21">
        <f>(M1269-M1268)/(H1269-H1268)</f>
        <v>7.731744738451729E-4</v>
      </c>
      <c r="W1269">
        <v>1154</v>
      </c>
      <c r="X1269">
        <v>22.596329999999998</v>
      </c>
      <c r="Y1269">
        <v>1</v>
      </c>
      <c r="Z1269">
        <f t="shared" si="198"/>
        <v>1</v>
      </c>
      <c r="AA1269" s="21">
        <f>IF(X1269&gt;$B$8+$B$9,0,ABS(X1269-O1269)/X1269)</f>
        <v>5.3729921218890466E-3</v>
      </c>
      <c r="AB1269">
        <f>IF(OR(Z1266&lt;&gt;Z1272,X1269&gt;$B$8+$B$9),0,((X1272-X1266)/(W1272-W1266)-(O1272-O1266)/(W1272-W1266))^2)</f>
        <v>1.1029236325838489E-5</v>
      </c>
    </row>
    <row r="1270" spans="7:28" x14ac:dyDescent="0.2">
      <c r="G1270" s="21"/>
      <c r="H1270" s="21">
        <v>1155</v>
      </c>
      <c r="I1270">
        <f t="shared" si="204"/>
        <v>1.0745531424375726E-2</v>
      </c>
      <c r="J1270">
        <f t="shared" si="205"/>
        <v>0.40978970990395869</v>
      </c>
      <c r="K1270">
        <f t="shared" si="199"/>
        <v>22.702044534822434</v>
      </c>
      <c r="L1270">
        <f>0.5*Z1270*K1270/J1270/$B$7</f>
        <v>27.699627377348069</v>
      </c>
      <c r="M1270">
        <f t="shared" si="202"/>
        <v>0.89211115353662473</v>
      </c>
      <c r="N1270" s="21">
        <f t="shared" si="206"/>
        <v>7.2068738612417665E-2</v>
      </c>
      <c r="O1270" s="21">
        <f t="shared" si="207"/>
        <v>22.48566562835077</v>
      </c>
      <c r="P1270">
        <f t="shared" si="203"/>
        <v>0.87485902523770231</v>
      </c>
      <c r="Q1270">
        <f t="shared" si="200"/>
        <v>0.40978970990395869</v>
      </c>
      <c r="R1270">
        <f t="shared" si="201"/>
        <v>0.43937161218061727</v>
      </c>
      <c r="T1270" s="21">
        <f>(M1270-M1269)/(H1270-H1269)</f>
        <v>7.7425579096401798E-4</v>
      </c>
      <c r="W1270">
        <v>1155</v>
      </c>
      <c r="X1270">
        <v>22.612553999999999</v>
      </c>
      <c r="Y1270">
        <v>1</v>
      </c>
      <c r="Z1270">
        <f t="shared" si="198"/>
        <v>1</v>
      </c>
      <c r="AA1270" s="21">
        <f>IF(X1270&gt;$B$8+$B$9,0,ABS(X1270-O1270)/X1270)</f>
        <v>5.6114126537510859E-3</v>
      </c>
      <c r="AB1270">
        <f>IF(OR(Z1267&lt;&gt;Z1273,X1270&gt;$B$8+$B$9),0,((X1273-X1267)/(W1273-W1267)-(O1273-O1267)/(W1273-W1267))^2)</f>
        <v>2.2597107942976821E-7</v>
      </c>
    </row>
    <row r="1271" spans="7:28" x14ac:dyDescent="0.2">
      <c r="G1271" s="21"/>
      <c r="H1271" s="21">
        <v>1156</v>
      </c>
      <c r="I1271">
        <f t="shared" si="204"/>
        <v>1.0756108086492602E-2</v>
      </c>
      <c r="J1271">
        <f t="shared" si="205"/>
        <v>0.40947210643749399</v>
      </c>
      <c r="K1271">
        <f t="shared" si="199"/>
        <v>22.700509274120126</v>
      </c>
      <c r="L1271">
        <f>0.5*Z1271*K1271/J1271/$B$7</f>
        <v>27.719237668738938</v>
      </c>
      <c r="M1271">
        <f t="shared" si="202"/>
        <v>0.8928864941567789</v>
      </c>
      <c r="N1271" s="21">
        <f t="shared" si="206"/>
        <v>7.2098766584096918E-2</v>
      </c>
      <c r="O1271" s="21">
        <f t="shared" si="207"/>
        <v>22.496421736437263</v>
      </c>
      <c r="P1271">
        <f t="shared" si="203"/>
        <v>0.87532980364286739</v>
      </c>
      <c r="Q1271">
        <f t="shared" si="200"/>
        <v>0.40947210643749399</v>
      </c>
      <c r="R1271">
        <f t="shared" si="201"/>
        <v>0.43879320356140272</v>
      </c>
      <c r="T1271" s="21">
        <f>(M1271-M1270)/(H1271-H1270)</f>
        <v>7.753406201541635E-4</v>
      </c>
      <c r="W1271">
        <v>1156</v>
      </c>
      <c r="X1271">
        <v>22.627157</v>
      </c>
      <c r="Y1271">
        <v>1</v>
      </c>
      <c r="Z1271">
        <f t="shared" si="198"/>
        <v>1</v>
      </c>
      <c r="AA1271" s="21">
        <f>IF(X1271&gt;$B$8+$B$9,0,ABS(X1271-O1271)/X1271)</f>
        <v>5.7778033520842877E-3</v>
      </c>
      <c r="AB1271">
        <f>IF(OR(Z1268&lt;&gt;Z1274,X1271&gt;$B$8+$B$9),0,((X1274-X1268)/(W1274-W1268)-(O1274-O1268)/(W1274-W1268))^2)</f>
        <v>2.8141482235511076E-6</v>
      </c>
    </row>
    <row r="1272" spans="7:28" x14ac:dyDescent="0.2">
      <c r="G1272" s="21"/>
      <c r="H1272" s="21">
        <v>1157</v>
      </c>
      <c r="I1272">
        <f t="shared" si="204"/>
        <v>1.0766718116192262E-2</v>
      </c>
      <c r="J1272">
        <f t="shared" si="205"/>
        <v>0.40915430382001383</v>
      </c>
      <c r="K1272">
        <f t="shared" si="199"/>
        <v>22.698979116486363</v>
      </c>
      <c r="L1272">
        <f>0.5*Z1272*K1272/J1272/$B$7</f>
        <v>27.738898142534996</v>
      </c>
      <c r="M1272">
        <f t="shared" si="202"/>
        <v>0.89366292313454809</v>
      </c>
      <c r="N1272" s="21">
        <f t="shared" si="206"/>
        <v>7.2128839925452118E-2</v>
      </c>
      <c r="O1272" s="21">
        <f t="shared" si="207"/>
        <v>22.507188454553454</v>
      </c>
      <c r="P1272">
        <f t="shared" si="203"/>
        <v>0.87580087724631372</v>
      </c>
      <c r="Q1272">
        <f t="shared" si="200"/>
        <v>0.40915430382001383</v>
      </c>
      <c r="R1272">
        <f t="shared" si="201"/>
        <v>0.43821595456893281</v>
      </c>
      <c r="T1272" s="21">
        <f>(M1272-M1271)/(H1272-H1271)</f>
        <v>7.7642897776919462E-4</v>
      </c>
      <c r="W1272">
        <v>1157</v>
      </c>
      <c r="X1272">
        <v>22.641758999999997</v>
      </c>
      <c r="Y1272">
        <v>1</v>
      </c>
      <c r="Z1272">
        <f t="shared" si="198"/>
        <v>1</v>
      </c>
      <c r="AA1272" s="21">
        <f>IF(X1272&gt;$B$8+$B$9,0,ABS(X1272-O1272)/X1272)</f>
        <v>5.9434669120249509E-3</v>
      </c>
      <c r="AB1272">
        <f>IF(OR(Z1269&lt;&gt;Z1275,X1272&gt;$B$8+$B$9),0,((X1275-X1269)/(W1275-W1269)-(O1275-O1269)/(W1275-W1269))^2)</f>
        <v>2.4659631464225254E-7</v>
      </c>
    </row>
    <row r="1273" spans="7:28" x14ac:dyDescent="0.2">
      <c r="G1273" s="21"/>
      <c r="H1273" s="21">
        <v>1158</v>
      </c>
      <c r="I1273">
        <f t="shared" si="204"/>
        <v>1.0777361651181226E-2</v>
      </c>
      <c r="J1273">
        <f t="shared" si="205"/>
        <v>0.40883630144830563</v>
      </c>
      <c r="K1273">
        <f t="shared" si="199"/>
        <v>22.697454067252487</v>
      </c>
      <c r="L1273">
        <f>0.5*Z1273*K1273/J1273/$B$7</f>
        <v>27.758608991968899</v>
      </c>
      <c r="M1273">
        <f t="shared" si="202"/>
        <v>0.89444044401481371</v>
      </c>
      <c r="N1273" s="21">
        <f t="shared" si="206"/>
        <v>7.2158958829271966E-2</v>
      </c>
      <c r="O1273" s="21">
        <f t="shared" si="207"/>
        <v>22.517965816204637</v>
      </c>
      <c r="P1273">
        <f t="shared" si="203"/>
        <v>0.87627224694217365</v>
      </c>
      <c r="Q1273">
        <f t="shared" si="200"/>
        <v>0.40883630144830563</v>
      </c>
      <c r="R1273">
        <f t="shared" si="201"/>
        <v>0.43763986096702517</v>
      </c>
      <c r="T1273" s="21">
        <f>(M1273-M1272)/(H1273-H1272)</f>
        <v>7.7752088026561417E-4</v>
      </c>
      <c r="W1273">
        <v>1158</v>
      </c>
      <c r="X1273">
        <v>22.636891000000002</v>
      </c>
      <c r="Y1273">
        <v>1</v>
      </c>
      <c r="Z1273">
        <f t="shared" si="198"/>
        <v>1</v>
      </c>
      <c r="AA1273" s="21">
        <f>IF(X1273&gt;$B$8+$B$9,0,ABS(X1273-O1273)/X1273)</f>
        <v>5.2536005847872626E-3</v>
      </c>
      <c r="AB1273">
        <f>IF(OR(Z1270&lt;&gt;Z1276,X1273&gt;$B$8+$B$9),0,((X1276-X1270)/(W1276-W1270)-(O1276-O1270)/(W1276-W1270))^2)</f>
        <v>6.0436919825451197E-7</v>
      </c>
    </row>
    <row r="1274" spans="7:28" x14ac:dyDescent="0.2">
      <c r="G1274" s="21"/>
      <c r="H1274" s="21">
        <v>1159</v>
      </c>
      <c r="I1274">
        <f t="shared" si="204"/>
        <v>1.0788038829981398E-2</v>
      </c>
      <c r="J1274">
        <f t="shared" si="205"/>
        <v>0.40851809871689382</v>
      </c>
      <c r="K1274">
        <f t="shared" si="199"/>
        <v>22.695934131793948</v>
      </c>
      <c r="L1274">
        <f>0.5*Z1274*K1274/J1274/$B$7</f>
        <v>27.7783704113467</v>
      </c>
      <c r="M1274">
        <f t="shared" si="202"/>
        <v>0.89521906035901688</v>
      </c>
      <c r="N1274" s="21">
        <f t="shared" si="206"/>
        <v>7.2189123489367193E-2</v>
      </c>
      <c r="O1274" s="21">
        <f t="shared" si="207"/>
        <v>22.528753855034619</v>
      </c>
      <c r="P1274">
        <f t="shared" si="203"/>
        <v>0.87674391362793347</v>
      </c>
      <c r="Q1274">
        <f t="shared" si="200"/>
        <v>0.40851809871689382</v>
      </c>
      <c r="R1274">
        <f t="shared" si="201"/>
        <v>0.43706491853768192</v>
      </c>
      <c r="T1274" s="21">
        <f>(M1274-M1273)/(H1274-H1273)</f>
        <v>7.7861634420317571E-4</v>
      </c>
      <c r="W1274">
        <v>1159</v>
      </c>
      <c r="X1274">
        <v>22.651493999999996</v>
      </c>
      <c r="Y1274">
        <v>1</v>
      </c>
      <c r="Z1274">
        <f t="shared" si="198"/>
        <v>1</v>
      </c>
      <c r="AA1274" s="21">
        <f>IF(X1274&gt;$B$8+$B$9,0,ABS(X1274-O1274)/X1274)</f>
        <v>5.4186335331955103E-3</v>
      </c>
      <c r="AB1274">
        <f>IF(OR(Z1271&lt;&gt;Z1277,X1274&gt;$B$8+$B$9),0,((X1277-X1271)/(W1277-W1271)-(O1277-O1271)/(W1277-W1271))^2)</f>
        <v>4.5807675823194591E-6</v>
      </c>
    </row>
    <row r="1275" spans="7:28" x14ac:dyDescent="0.2">
      <c r="G1275" s="21"/>
      <c r="H1275" s="21">
        <v>1160</v>
      </c>
      <c r="I1275">
        <f t="shared" si="204"/>
        <v>1.0798749791936036E-2</v>
      </c>
      <c r="J1275">
        <f t="shared" si="205"/>
        <v>0.40819969501802755</v>
      </c>
      <c r="K1275">
        <f t="shared" si="199"/>
        <v>22.694419315530528</v>
      </c>
      <c r="L1275">
        <f>0.5*Z1275*K1275/J1275/$B$7</f>
        <v>27.798182596055419</v>
      </c>
      <c r="M1275">
        <f t="shared" si="202"/>
        <v>0.89599877574526177</v>
      </c>
      <c r="N1275" s="21">
        <f t="shared" si="206"/>
        <v>7.2219334100577515E-2</v>
      </c>
      <c r="O1275" s="21">
        <f t="shared" si="207"/>
        <v>22.539552604826554</v>
      </c>
      <c r="P1275">
        <f t="shared" si="203"/>
        <v>0.87721587820445224</v>
      </c>
      <c r="Q1275">
        <f t="shared" si="200"/>
        <v>0.40819969501802755</v>
      </c>
      <c r="R1275">
        <f t="shared" si="201"/>
        <v>0.43649112308098043</v>
      </c>
      <c r="T1275" s="21">
        <f>(M1275-M1274)/(H1275-H1274)</f>
        <v>7.7971538624488357E-4</v>
      </c>
      <c r="W1275">
        <v>1160</v>
      </c>
      <c r="X1275">
        <v>22.657982999999998</v>
      </c>
      <c r="Y1275">
        <v>1</v>
      </c>
      <c r="Z1275">
        <f t="shared" si="198"/>
        <v>1</v>
      </c>
      <c r="AA1275" s="21">
        <f>IF(X1275&gt;$B$8+$B$9,0,ABS(X1275-O1275)/X1275)</f>
        <v>5.2268728056440077E-3</v>
      </c>
      <c r="AB1275">
        <f>IF(OR(Z1272&lt;&gt;Z1278,X1275&gt;$B$8+$B$9),0,((X1278-X1272)/(W1278-W1272)-(O1278-O1272)/(W1278-W1272))^2)</f>
        <v>1.7951557548318926E-6</v>
      </c>
    </row>
    <row r="1276" spans="7:28" x14ac:dyDescent="0.2">
      <c r="G1276" s="21"/>
      <c r="H1276" s="21">
        <v>1161</v>
      </c>
      <c r="I1276">
        <f t="shared" si="204"/>
        <v>1.0809494677215838E-2</v>
      </c>
      <c r="J1276">
        <f t="shared" si="205"/>
        <v>0.40788108974166581</v>
      </c>
      <c r="K1276">
        <f t="shared" si="199"/>
        <v>22.692909623926511</v>
      </c>
      <c r="L1276">
        <f>0.5*Z1276*K1276/J1276/$B$7</f>
        <v>27.818045742570728</v>
      </c>
      <c r="M1276">
        <f t="shared" si="202"/>
        <v>0.89677959376842531</v>
      </c>
      <c r="N1276" s="21">
        <f t="shared" si="206"/>
        <v>7.2249590858779356E-2</v>
      </c>
      <c r="O1276" s="21">
        <f t="shared" si="207"/>
        <v>22.550362099503769</v>
      </c>
      <c r="P1276">
        <f t="shared" si="203"/>
        <v>0.87768814157598385</v>
      </c>
      <c r="Q1276">
        <f t="shared" si="200"/>
        <v>0.40788108974166581</v>
      </c>
      <c r="R1276">
        <f t="shared" si="201"/>
        <v>0.43591847041496096</v>
      </c>
      <c r="T1276" s="21">
        <f>(M1276-M1275)/(H1276-H1275)</f>
        <v>7.808180231635431E-4</v>
      </c>
      <c r="W1276">
        <v>1161</v>
      </c>
      <c r="X1276">
        <v>22.672585999999999</v>
      </c>
      <c r="Y1276">
        <v>1</v>
      </c>
      <c r="Z1276">
        <f t="shared" si="198"/>
        <v>1</v>
      </c>
      <c r="AA1276" s="21">
        <f>IF(X1276&gt;$B$8+$B$9,0,ABS(X1276-O1276)/X1276)</f>
        <v>5.3908231066465227E-3</v>
      </c>
      <c r="AB1276">
        <f>IF(OR(Z1273&lt;&gt;Z1279,X1276&gt;$B$8+$B$9),0,((X1279-X1273)/(W1279-W1273)-(O1279-O1273)/(W1279-W1273))^2)</f>
        <v>3.5887652549240141E-6</v>
      </c>
    </row>
    <row r="1277" spans="7:28" x14ac:dyDescent="0.2">
      <c r="G1277" s="21"/>
      <c r="H1277" s="21">
        <v>1162</v>
      </c>
      <c r="I1277">
        <f t="shared" si="204"/>
        <v>1.0820273626824927E-2</v>
      </c>
      <c r="J1277">
        <f t="shared" si="205"/>
        <v>0.40756228227546687</v>
      </c>
      <c r="K1277">
        <f t="shared" si="199"/>
        <v>22.691405062490968</v>
      </c>
      <c r="L1277">
        <f>0.5*Z1277*K1277/J1277/$B$7</f>
        <v>27.837960048464563</v>
      </c>
      <c r="M1277">
        <f t="shared" si="202"/>
        <v>0.8975615180402573</v>
      </c>
      <c r="N1277" s="21">
        <f t="shared" si="206"/>
        <v>7.227989396089271E-2</v>
      </c>
      <c r="O1277" s="21">
        <f t="shared" si="207"/>
        <v>22.561182373130592</v>
      </c>
      <c r="P1277">
        <f t="shared" si="203"/>
        <v>0.87816070465019247</v>
      </c>
      <c r="Q1277">
        <f t="shared" si="200"/>
        <v>0.40756228227546687</v>
      </c>
      <c r="R1277">
        <f t="shared" si="201"/>
        <v>0.43534695637552351</v>
      </c>
      <c r="T1277" s="21">
        <f>(M1277-M1276)/(H1277-H1276)</f>
        <v>7.8192427183199076E-4</v>
      </c>
      <c r="W1277">
        <v>1162</v>
      </c>
      <c r="X1277">
        <v>22.679075999999998</v>
      </c>
      <c r="Y1277">
        <v>1</v>
      </c>
      <c r="Z1277">
        <f t="shared" si="198"/>
        <v>1</v>
      </c>
      <c r="AA1277" s="21">
        <f>IF(X1277&gt;$B$8+$B$9,0,ABS(X1277-O1277)/X1277)</f>
        <v>5.198343480545973E-3</v>
      </c>
      <c r="AB1277">
        <f>IF(OR(Z1274&lt;&gt;Z1280,X1277&gt;$B$8+$B$9),0,((X1280-X1274)/(W1280-W1274)-(O1280-O1274)/(W1280-W1274))^2)</f>
        <v>8.7918620416608724E-6</v>
      </c>
    </row>
    <row r="1278" spans="7:28" x14ac:dyDescent="0.2">
      <c r="G1278" s="21"/>
      <c r="H1278" s="21">
        <v>1163</v>
      </c>
      <c r="I1278">
        <f t="shared" si="204"/>
        <v>1.0831086782607056E-2</v>
      </c>
      <c r="J1278">
        <f t="shared" si="205"/>
        <v>0.40724327200477251</v>
      </c>
      <c r="K1278">
        <f t="shared" si="199"/>
        <v>22.689905636777922</v>
      </c>
      <c r="L1278">
        <f>0.5*Z1278*K1278/J1278/$B$7</f>
        <v>27.857925712413021</v>
      </c>
      <c r="M1278">
        <f t="shared" si="202"/>
        <v>0.89834455218949316</v>
      </c>
      <c r="N1278" s="21">
        <f t="shared" si="206"/>
        <v>7.2310243604888996E-2</v>
      </c>
      <c r="O1278" s="21">
        <f t="shared" si="207"/>
        <v>22.572013459913197</v>
      </c>
      <c r="P1278">
        <f t="shared" si="203"/>
        <v>0.87863356833817563</v>
      </c>
      <c r="Q1278">
        <f t="shared" si="200"/>
        <v>0.40724327200477251</v>
      </c>
      <c r="R1278">
        <f t="shared" si="201"/>
        <v>0.43477657681631576</v>
      </c>
      <c r="T1278" s="21">
        <f>(M1278-M1277)/(H1278-H1277)</f>
        <v>7.8303414923586168E-4</v>
      </c>
      <c r="W1278">
        <v>1163</v>
      </c>
      <c r="X1278">
        <v>22.698544999999999</v>
      </c>
      <c r="Y1278">
        <v>1</v>
      </c>
      <c r="Z1278">
        <f t="shared" ref="Z1278:Z1341" si="208">Y1278</f>
        <v>1</v>
      </c>
      <c r="AA1278" s="21">
        <f>IF(X1278&gt;$B$8+$B$9,0,ABS(X1278-O1278)/X1278)</f>
        <v>5.5744339598331923E-3</v>
      </c>
      <c r="AB1278">
        <f>IF(OR(Z1275&lt;&gt;Z1281,X1278&gt;$B$8+$B$9),0,((X1281-X1275)/(W1281-W1275)-(O1281-O1275)/(W1281-W1275))^2)</f>
        <v>3.5072933319364219E-6</v>
      </c>
    </row>
    <row r="1279" spans="7:28" x14ac:dyDescent="0.2">
      <c r="G1279" s="21"/>
      <c r="H1279" s="21">
        <v>1164</v>
      </c>
      <c r="I1279">
        <f t="shared" si="204"/>
        <v>1.0841934287251781E-2</v>
      </c>
      <c r="J1279">
        <f t="shared" si="205"/>
        <v>0.40692405831259715</v>
      </c>
      <c r="K1279">
        <f t="shared" si="199"/>
        <v>22.688411352386616</v>
      </c>
      <c r="L1279">
        <f>0.5*Z1279*K1279/J1279/$B$7</f>
        <v>27.877942934204057</v>
      </c>
      <c r="M1279">
        <f t="shared" si="202"/>
        <v>0.89912869986195665</v>
      </c>
      <c r="N1279" s="21">
        <f t="shared" si="206"/>
        <v>7.2340639989798131E-2</v>
      </c>
      <c r="O1279" s="21">
        <f t="shared" si="207"/>
        <v>22.58285539420045</v>
      </c>
      <c r="P1279">
        <f t="shared" si="203"/>
        <v>0.87910673355448121</v>
      </c>
      <c r="Q1279">
        <f t="shared" si="200"/>
        <v>0.40692405831259715</v>
      </c>
      <c r="R1279">
        <f t="shared" si="201"/>
        <v>0.4342073276086299</v>
      </c>
      <c r="T1279" s="21">
        <f>(M1279-M1278)/(H1279-H1278)</f>
        <v>7.841476724634866E-4</v>
      </c>
      <c r="W1279">
        <v>1164</v>
      </c>
      <c r="X1279">
        <v>22.713147000000003</v>
      </c>
      <c r="Y1279">
        <v>1</v>
      </c>
      <c r="Z1279">
        <f t="shared" si="208"/>
        <v>1</v>
      </c>
      <c r="AA1279" s="21">
        <f>IF(X1279&gt;$B$8+$B$9,0,ABS(X1279-O1279)/X1279)</f>
        <v>5.7363960088644885E-3</v>
      </c>
      <c r="AB1279">
        <f>IF(OR(Z1276&lt;&gt;Z1282,X1279&gt;$B$8+$B$9),0,((X1282-X1276)/(W1282-W1276)-(O1282-O1276)/(W1282-W1276))^2)</f>
        <v>3.4667161510030362E-6</v>
      </c>
    </row>
    <row r="1280" spans="7:28" x14ac:dyDescent="0.2">
      <c r="G1280" s="21"/>
      <c r="H1280" s="21">
        <v>1165</v>
      </c>
      <c r="I1280">
        <f t="shared" si="204"/>
        <v>1.0852816284300645E-2</v>
      </c>
      <c r="J1280">
        <f t="shared" si="205"/>
        <v>0.40660464057961243</v>
      </c>
      <c r="K1280">
        <f t="shared" si="199"/>
        <v>22.686922214961687</v>
      </c>
      <c r="L1280">
        <f>0.5*Z1280*K1280/J1280/$B$7</f>
        <v>27.89801191474551</v>
      </c>
      <c r="M1280">
        <f t="shared" si="202"/>
        <v>0.89991396472067275</v>
      </c>
      <c r="N1280" s="21">
        <f t="shared" si="206"/>
        <v>7.2371083315716497E-2</v>
      </c>
      <c r="O1280" s="21">
        <f t="shared" si="207"/>
        <v>22.593708210484753</v>
      </c>
      <c r="P1280">
        <f t="shared" si="203"/>
        <v>0.87958020121712943</v>
      </c>
      <c r="Q1280">
        <f t="shared" si="200"/>
        <v>0.40660464057961243</v>
      </c>
      <c r="R1280">
        <f t="shared" si="201"/>
        <v>0.43363920464129374</v>
      </c>
      <c r="T1280" s="21">
        <f>(M1280-M1279)/(H1280-H1279)</f>
        <v>7.8526485871610596E-4</v>
      </c>
      <c r="W1280">
        <v>1165</v>
      </c>
      <c r="X1280">
        <v>22.734238999999999</v>
      </c>
      <c r="Y1280">
        <v>1</v>
      </c>
      <c r="Z1280">
        <f t="shared" si="208"/>
        <v>1</v>
      </c>
      <c r="AA1280" s="21">
        <f>IF(X1280&gt;$B$8+$B$9,0,ABS(X1280-O1280)/X1280)</f>
        <v>6.1814600222706434E-3</v>
      </c>
      <c r="AB1280">
        <f>IF(OR(Z1277&lt;&gt;Z1283,X1280&gt;$B$8+$B$9),0,((X1283-X1277)/(W1283-W1277)-(O1283-O1277)/(W1283-W1277))^2)</f>
        <v>1.0259288771301443E-5</v>
      </c>
    </row>
    <row r="1281" spans="7:28" x14ac:dyDescent="0.2">
      <c r="G1281" s="21"/>
      <c r="H1281" s="21">
        <v>1166</v>
      </c>
      <c r="I1281">
        <f t="shared" si="204"/>
        <v>1.0863732918153587E-2</v>
      </c>
      <c r="J1281">
        <f t="shared" si="205"/>
        <v>0.40628501818413476</v>
      </c>
      <c r="K1281">
        <f t="shared" si="199"/>
        <v>22.685438230193434</v>
      </c>
      <c r="L1281">
        <f>0.5*Z1281*K1281/J1281/$B$7</f>
        <v>27.918132856073019</v>
      </c>
      <c r="M1281">
        <f t="shared" si="202"/>
        <v>0.9007003504459753</v>
      </c>
      <c r="N1281" s="21">
        <f t="shared" si="206"/>
        <v>7.2401573783814357E-2</v>
      </c>
      <c r="O1281" s="21">
        <f t="shared" si="207"/>
        <v>22.604571943402906</v>
      </c>
      <c r="P1281">
        <f t="shared" si="203"/>
        <v>0.88005397224763149</v>
      </c>
      <c r="Q1281">
        <f t="shared" si="200"/>
        <v>0.40628501818413476</v>
      </c>
      <c r="R1281">
        <f t="shared" si="201"/>
        <v>0.43307220382056683</v>
      </c>
      <c r="T1281" s="21">
        <f>(M1281-M1280)/(H1281-H1280)</f>
        <v>7.8638572530254081E-4</v>
      </c>
      <c r="W1281">
        <v>1166</v>
      </c>
      <c r="X1281">
        <v>22.734238999999999</v>
      </c>
      <c r="Y1281">
        <v>1</v>
      </c>
      <c r="Z1281">
        <f t="shared" si="208"/>
        <v>1</v>
      </c>
      <c r="AA1281" s="21">
        <f>IF(X1281&gt;$B$8+$B$9,0,ABS(X1281-O1281)/X1281)</f>
        <v>5.7036022449263764E-3</v>
      </c>
      <c r="AB1281">
        <f>IF(OR(Z1278&lt;&gt;Z1284,X1281&gt;$B$8+$B$9),0,((X1284-X1278)/(W1284-W1278)-(O1284-O1278)/(W1284-W1278))^2)</f>
        <v>1.0449385962563104E-7</v>
      </c>
    </row>
    <row r="1282" spans="7:28" x14ac:dyDescent="0.2">
      <c r="G1282" s="21"/>
      <c r="H1282" s="21">
        <v>1167</v>
      </c>
      <c r="I1282">
        <f t="shared" si="204"/>
        <v>1.0874684334075142E-2</v>
      </c>
      <c r="J1282">
        <f t="shared" si="205"/>
        <v>0.40596519050211155</v>
      </c>
      <c r="K1282">
        <f t="shared" si="199"/>
        <v>22.683959403818033</v>
      </c>
      <c r="L1282">
        <f>0.5*Z1282*K1282/J1282/$B$7</f>
        <v>27.938305961358093</v>
      </c>
      <c r="M1282">
        <f t="shared" si="202"/>
        <v>0.9014878607356176</v>
      </c>
      <c r="N1282" s="21">
        <f t="shared" si="206"/>
        <v>7.2432111596343399E-2</v>
      </c>
      <c r="O1282" s="21">
        <f t="shared" si="207"/>
        <v>22.615446627736983</v>
      </c>
      <c r="P1282">
        <f t="shared" si="203"/>
        <v>0.88052804757101033</v>
      </c>
      <c r="Q1282">
        <f t="shared" si="200"/>
        <v>0.40596519050211155</v>
      </c>
      <c r="R1282">
        <f t="shared" si="201"/>
        <v>0.432506321070035</v>
      </c>
      <c r="T1282" s="21">
        <f>(M1282-M1281)/(H1282-H1281)</f>
        <v>7.8751028964230141E-4</v>
      </c>
      <c r="W1282">
        <v>1167</v>
      </c>
      <c r="X1282">
        <v>22.748842</v>
      </c>
      <c r="Y1282">
        <v>1</v>
      </c>
      <c r="Z1282">
        <f t="shared" si="208"/>
        <v>1</v>
      </c>
      <c r="AA1282" s="21">
        <f>IF(X1282&gt;$B$8+$B$9,0,ABS(X1282-O1282)/X1282)</f>
        <v>5.8638313221840927E-3</v>
      </c>
      <c r="AB1282">
        <f>IF(OR(Z1279&lt;&gt;Z1285,X1282&gt;$B$8+$B$9),0,((X1285-X1279)/(W1285-W1279)-(O1285-O1279)/(W1285-W1279))^2)</f>
        <v>2.2763314860173463E-7</v>
      </c>
    </row>
    <row r="1283" spans="7:28" x14ac:dyDescent="0.2">
      <c r="G1283" s="21"/>
      <c r="H1283" s="21">
        <v>1168</v>
      </c>
      <c r="I1283">
        <f t="shared" si="204"/>
        <v>1.0885670678201009E-2</v>
      </c>
      <c r="J1283">
        <f t="shared" si="205"/>
        <v>0.40564515690710745</v>
      </c>
      <c r="K1283">
        <f t="shared" ref="K1283:K1346" si="209">IF(O1283&lt;$B$8+$B$9,0.5*(($B$8+$B$9)^2+O1283^2)/O1283-$B$9,$B$8)</f>
        <v>22.682485741617747</v>
      </c>
      <c r="L1283">
        <f>0.5*Z1283*K1283/J1283/$B$7</f>
        <v>27.958531434916189</v>
      </c>
      <c r="M1283">
        <f t="shared" si="202"/>
        <v>0.90227649930488363</v>
      </c>
      <c r="N1283" s="21">
        <f t="shared" si="206"/>
        <v>7.2462696956644784E-2</v>
      </c>
      <c r="O1283" s="21">
        <f t="shared" si="207"/>
        <v>22.626332298415186</v>
      </c>
      <c r="P1283">
        <f t="shared" si="203"/>
        <v>0.88100242811582097</v>
      </c>
      <c r="Q1283">
        <f t="shared" ref="Q1283:Q1346" si="210">1-B$15*P1283</f>
        <v>0.40564515690710745</v>
      </c>
      <c r="R1283">
        <f t="shared" ref="R1283:R1346" si="211">$E$15/(P1283+$E$16)</f>
        <v>0.43194155233050624</v>
      </c>
      <c r="T1283" s="21">
        <f>(M1283-M1282)/(H1283-H1282)</f>
        <v>7.8863856926603138E-4</v>
      </c>
      <c r="W1283">
        <v>1168</v>
      </c>
      <c r="X1283">
        <v>22.763443999999996</v>
      </c>
      <c r="Y1283">
        <v>1</v>
      </c>
      <c r="Z1283">
        <f t="shared" si="208"/>
        <v>1</v>
      </c>
      <c r="AA1283" s="21">
        <f>IF(X1283&gt;$B$8+$B$9,0,ABS(X1283-O1283)/X1283)</f>
        <v>6.0233285255434418E-3</v>
      </c>
      <c r="AB1283">
        <f>IF(OR(Z1280&lt;&gt;Z1286,X1283&gt;$B$8+$B$9),0,((X1286-X1280)/(W1286-W1280)-(O1286-O1280)/(W1286-W1280))^2)</f>
        <v>3.8712985988648197E-6</v>
      </c>
    </row>
    <row r="1284" spans="7:28" x14ac:dyDescent="0.2">
      <c r="G1284" s="21"/>
      <c r="H1284" s="21">
        <v>1169</v>
      </c>
      <c r="I1284">
        <f t="shared" si="204"/>
        <v>1.0896692097544423E-2</v>
      </c>
      <c r="J1284">
        <f t="shared" si="205"/>
        <v>0.40532491677029092</v>
      </c>
      <c r="K1284">
        <f t="shared" si="209"/>
        <v>22.681017249421199</v>
      </c>
      <c r="L1284">
        <f>0.5*Z1284*K1284/J1284/$B$7</f>
        <v>27.978809482214945</v>
      </c>
      <c r="M1284">
        <f t="shared" ref="M1284:M1347" si="212">-LN(J1284)</f>
        <v>0.90306626988670025</v>
      </c>
      <c r="N1284" s="21">
        <f t="shared" si="206"/>
        <v>7.2493330069156675E-2</v>
      </c>
      <c r="O1284" s="21">
        <f t="shared" si="207"/>
        <v>22.637228990512732</v>
      </c>
      <c r="P1284">
        <f t="shared" ref="P1284:P1347" si="213">MIN(O1284/(K1284+$B$9),1)</f>
        <v>0.88147711481417002</v>
      </c>
      <c r="Q1284">
        <f t="shared" si="210"/>
        <v>0.40532491677029092</v>
      </c>
      <c r="R1284">
        <f t="shared" si="211"/>
        <v>0.43137789355990819</v>
      </c>
      <c r="T1284" s="21">
        <f>(M1284-M1283)/(H1284-H1283)</f>
        <v>7.8977058181661786E-4</v>
      </c>
      <c r="W1284">
        <v>1169</v>
      </c>
      <c r="X1284">
        <v>22.761821000000001</v>
      </c>
      <c r="Y1284">
        <v>1</v>
      </c>
      <c r="Z1284">
        <f t="shared" si="208"/>
        <v>1</v>
      </c>
      <c r="AA1284" s="21">
        <f>IF(X1284&gt;$B$8+$B$9,0,ABS(X1284-O1284)/X1284)</f>
        <v>5.4737276726352186E-3</v>
      </c>
      <c r="AB1284">
        <f>IF(OR(Z1281&lt;&gt;Z1287,X1284&gt;$B$8+$B$9),0,((X1287-X1281)/(W1287-W1281)-(O1287-O1281)/(W1287-W1281))^2)</f>
        <v>1.2680779097854957E-7</v>
      </c>
    </row>
    <row r="1285" spans="7:28" x14ac:dyDescent="0.2">
      <c r="G1285" s="21"/>
      <c r="H1285" s="21">
        <v>1170</v>
      </c>
      <c r="I1285">
        <f t="shared" ref="I1285:I1348" si="214">IF(P1284&lt;0.999,MAX(0,MIN(10000000,(L1284/$E$8/M1284^$E$10)^(1/$E$9)/N1284)),0.1)</f>
        <v>1.0907748740002729E-2</v>
      </c>
      <c r="J1285">
        <f t="shared" ref="J1285:J1348" si="215">Q1285</f>
        <v>0.40500446946041935</v>
      </c>
      <c r="K1285">
        <f t="shared" si="209"/>
        <v>22.679553933103556</v>
      </c>
      <c r="L1285">
        <f>0.5*Z1285*K1285/J1285/$B$7</f>
        <v>27.999140309882439</v>
      </c>
      <c r="M1285">
        <f t="shared" si="212"/>
        <v>0.90385717623175177</v>
      </c>
      <c r="N1285" s="21">
        <f t="shared" ref="N1285:N1348" si="216">-$B$15*(O1285-2*(K1285+$B$9))/(K1285+$B$9)^2/J1285</f>
        <v>7.2524011139422376E-2</v>
      </c>
      <c r="O1285" s="21">
        <f t="shared" ref="O1285:O1348" si="217">O1284+I1285*(H1285-H1284)</f>
        <v>22.648136739252735</v>
      </c>
      <c r="P1285">
        <f t="shared" si="213"/>
        <v>0.88195210860173801</v>
      </c>
      <c r="Q1285">
        <f t="shared" si="210"/>
        <v>0.40500446946041935</v>
      </c>
      <c r="R1285">
        <f t="shared" si="211"/>
        <v>0.43081534073318339</v>
      </c>
      <c r="T1285" s="21">
        <f>(M1285-M1284)/(H1285-H1284)</f>
        <v>7.9090634505152302E-4</v>
      </c>
      <c r="W1285">
        <v>1170</v>
      </c>
      <c r="X1285">
        <v>22.781291</v>
      </c>
      <c r="Y1285">
        <v>1</v>
      </c>
      <c r="Z1285">
        <f t="shared" si="208"/>
        <v>1</v>
      </c>
      <c r="AA1285" s="21">
        <f>IF(X1285&gt;$B$8+$B$9,0,ABS(X1285-O1285)/X1285)</f>
        <v>5.8448953023454596E-3</v>
      </c>
      <c r="AB1285">
        <f>IF(OR(Z1282&lt;&gt;Z1288,X1285&gt;$B$8+$B$9),0,((X1288-X1282)/(W1288-W1282)-(O1288-O1282)/(W1288-W1282))^2)</f>
        <v>5.4607494768858071E-6</v>
      </c>
    </row>
    <row r="1286" spans="7:28" x14ac:dyDescent="0.2">
      <c r="G1286" s="21"/>
      <c r="H1286" s="21">
        <v>1171</v>
      </c>
      <c r="I1286">
        <f t="shared" si="214"/>
        <v>1.0918840754363921E-2</v>
      </c>
      <c r="J1286">
        <f t="shared" si="215"/>
        <v>0.4046838143438265</v>
      </c>
      <c r="K1286">
        <f t="shared" si="209"/>
        <v>22.678095798586817</v>
      </c>
      <c r="L1286">
        <f>0.5*Z1286*K1286/J1286/$B$7</f>
        <v>28.019524125715474</v>
      </c>
      <c r="M1286">
        <f t="shared" si="212"/>
        <v>0.90464922210859089</v>
      </c>
      <c r="N1286" s="21">
        <f t="shared" si="216"/>
        <v>7.2554740374098051E-2</v>
      </c>
      <c r="O1286" s="21">
        <f t="shared" si="217"/>
        <v>22.659055580007099</v>
      </c>
      <c r="P1286">
        <f t="shared" si="213"/>
        <v>0.88242741041779782</v>
      </c>
      <c r="Q1286">
        <f t="shared" si="210"/>
        <v>0.4046838143438265</v>
      </c>
      <c r="R1286">
        <f t="shared" si="211"/>
        <v>0.43025388984218976</v>
      </c>
      <c r="T1286" s="21">
        <f>(M1286-M1285)/(H1286-H1285)</f>
        <v>7.9204587683912031E-4</v>
      </c>
      <c r="W1286">
        <v>1171</v>
      </c>
      <c r="X1286">
        <v>22.787780999999999</v>
      </c>
      <c r="Y1286">
        <v>1</v>
      </c>
      <c r="Z1286">
        <f t="shared" si="208"/>
        <v>1</v>
      </c>
      <c r="AA1286" s="21">
        <f>IF(X1286&gt;$B$8+$B$9,0,ABS(X1286-O1286)/X1286)</f>
        <v>5.64887910731195E-3</v>
      </c>
      <c r="AB1286">
        <f>IF(OR(Z1283&lt;&gt;Z1289,X1286&gt;$B$8+$B$9),0,((X1289-X1283)/(W1289-W1283)-(O1289-O1283)/(W1289-W1283))^2)</f>
        <v>2.1319464773875144E-6</v>
      </c>
    </row>
    <row r="1287" spans="7:28" x14ac:dyDescent="0.2">
      <c r="G1287" s="21"/>
      <c r="H1287" s="21">
        <v>1172</v>
      </c>
      <c r="I1287">
        <f t="shared" si="214"/>
        <v>1.0929968290313357E-2</v>
      </c>
      <c r="J1287">
        <f t="shared" si="215"/>
        <v>0.4043629507844072</v>
      </c>
      <c r="K1287">
        <f t="shared" si="209"/>
        <v>22.676642851839997</v>
      </c>
      <c r="L1287">
        <f>0.5*Z1287*K1287/J1287/$B$7</f>
        <v>28.039961138688032</v>
      </c>
      <c r="M1287">
        <f t="shared" si="212"/>
        <v>0.90544241130375691</v>
      </c>
      <c r="N1287" s="21">
        <f t="shared" si="216"/>
        <v>7.2585517980960967E-2</v>
      </c>
      <c r="O1287" s="21">
        <f t="shared" si="217"/>
        <v>22.669985548297412</v>
      </c>
      <c r="P1287">
        <f t="shared" si="213"/>
        <v>0.882903021205238</v>
      </c>
      <c r="Q1287">
        <f t="shared" si="210"/>
        <v>0.4043629507844072</v>
      </c>
      <c r="R1287">
        <f t="shared" si="211"/>
        <v>0.4296935368955962</v>
      </c>
      <c r="T1287" s="21">
        <f>(M1287-M1286)/(H1287-H1286)</f>
        <v>7.9318919516602193E-4</v>
      </c>
      <c r="W1287">
        <v>1172</v>
      </c>
      <c r="X1287">
        <v>22.797515999999998</v>
      </c>
      <c r="Y1287">
        <v>1</v>
      </c>
      <c r="Z1287">
        <f t="shared" si="208"/>
        <v>1</v>
      </c>
      <c r="AA1287" s="21">
        <f>IF(X1287&gt;$B$8+$B$9,0,ABS(X1287-O1287)/X1287)</f>
        <v>5.5940503212098458E-3</v>
      </c>
      <c r="AB1287">
        <f>IF(OR(Z1284&lt;&gt;Z1290,X1287&gt;$B$8+$B$9),0,((X1290-X1284)/(W1290-W1284)-(O1290-O1284)/(W1290-W1284))^2)</f>
        <v>1.5200484300473737E-6</v>
      </c>
    </row>
    <row r="1288" spans="7:28" x14ac:dyDescent="0.2">
      <c r="G1288" s="21"/>
      <c r="H1288" s="21">
        <v>1173</v>
      </c>
      <c r="I1288">
        <f t="shared" si="214"/>
        <v>1.0941131498440398E-2</v>
      </c>
      <c r="J1288">
        <f t="shared" si="215"/>
        <v>0.40404187814360371</v>
      </c>
      <c r="K1288">
        <f t="shared" si="209"/>
        <v>22.675195098879406</v>
      </c>
      <c r="L1288">
        <f>0.5*Z1288*K1288/J1288/$B$7</f>
        <v>28.060451558959734</v>
      </c>
      <c r="M1288">
        <f t="shared" si="212"/>
        <v>0.90623674762188988</v>
      </c>
      <c r="N1288" s="21">
        <f t="shared" si="216"/>
        <v>7.2616344168917407E-2</v>
      </c>
      <c r="O1288" s="21">
        <f t="shared" si="217"/>
        <v>22.680926679795853</v>
      </c>
      <c r="P1288">
        <f t="shared" si="213"/>
        <v>0.88337894191058208</v>
      </c>
      <c r="Q1288">
        <f t="shared" si="210"/>
        <v>0.40404187814360371</v>
      </c>
      <c r="R1288">
        <f t="shared" si="211"/>
        <v>0.42913427791878367</v>
      </c>
      <c r="T1288" s="21">
        <f>(M1288-M1287)/(H1288-H1287)</f>
        <v>7.9433631813297101E-4</v>
      </c>
      <c r="W1288">
        <v>1173</v>
      </c>
      <c r="X1288">
        <v>22.828343</v>
      </c>
      <c r="Y1288">
        <v>1</v>
      </c>
      <c r="Z1288">
        <f t="shared" si="208"/>
        <v>1</v>
      </c>
      <c r="AA1288" s="21">
        <f>IF(X1288&gt;$B$8+$B$9,0,ABS(X1288-O1288)/X1288)</f>
        <v>6.4576005452584712E-3</v>
      </c>
      <c r="AB1288">
        <f>IF(OR(Z1285&lt;&gt;Z1291,X1288&gt;$B$8+$B$9),0,((X1291-X1285)/(W1291-W1285)-(O1291-O1285)/(W1291-W1285))^2)</f>
        <v>3.1065981968582738E-6</v>
      </c>
    </row>
    <row r="1289" spans="7:28" x14ac:dyDescent="0.2">
      <c r="G1289" s="21"/>
      <c r="H1289" s="21">
        <v>1174</v>
      </c>
      <c r="I1289">
        <f t="shared" si="214"/>
        <v>1.0952330530245257E-2</v>
      </c>
      <c r="J1289">
        <f t="shared" si="215"/>
        <v>0.40372059578039166</v>
      </c>
      <c r="K1289">
        <f t="shared" si="209"/>
        <v>22.673752545768881</v>
      </c>
      <c r="L1289">
        <f>0.5*Z1289*K1289/J1289/$B$7</f>
        <v>28.080995597884389</v>
      </c>
      <c r="M1289">
        <f t="shared" si="212"/>
        <v>0.9070322348858465</v>
      </c>
      <c r="N1289" s="21">
        <f t="shared" si="216"/>
        <v>7.2647219148010908E-2</v>
      </c>
      <c r="O1289" s="21">
        <f t="shared" si="217"/>
        <v>22.691879010326097</v>
      </c>
      <c r="P1289">
        <f t="shared" si="213"/>
        <v>0.88385517348400999</v>
      </c>
      <c r="Q1289">
        <f t="shared" si="210"/>
        <v>0.40372059578039166</v>
      </c>
      <c r="R1289">
        <f t="shared" si="211"/>
        <v>0.42857610895374476</v>
      </c>
      <c r="T1289" s="21">
        <f>(M1289-M1288)/(H1289-H1288)</f>
        <v>7.9548726395661795E-4</v>
      </c>
      <c r="W1289">
        <v>1174</v>
      </c>
      <c r="X1289">
        <v>22.820229999999999</v>
      </c>
      <c r="Y1289">
        <v>1</v>
      </c>
      <c r="Z1289">
        <f t="shared" si="208"/>
        <v>1</v>
      </c>
      <c r="AA1289" s="21">
        <f>IF(X1289&gt;$B$8+$B$9,0,ABS(X1289-O1289)/X1289)</f>
        <v>5.6244389155543674E-3</v>
      </c>
      <c r="AB1289">
        <f>IF(OR(Z1286&lt;&gt;Z1292,X1289&gt;$B$8+$B$9),0,((X1292-X1286)/(W1292-W1286)-(O1292-O1286)/(W1292-W1286))^2)</f>
        <v>1.697407904197653E-7</v>
      </c>
    </row>
    <row r="1290" spans="7:28" x14ac:dyDescent="0.2">
      <c r="G1290" s="21"/>
      <c r="H1290" s="21">
        <v>1175</v>
      </c>
      <c r="I1290">
        <f t="shared" si="214"/>
        <v>1.096356553814572E-2</v>
      </c>
      <c r="J1290">
        <f t="shared" si="215"/>
        <v>0.40339910305126492</v>
      </c>
      <c r="K1290">
        <f t="shared" si="209"/>
        <v>22.672315198620012</v>
      </c>
      <c r="L1290">
        <f>0.5*Z1290*K1290/J1290/$B$7</f>
        <v>28.101593468018645</v>
      </c>
      <c r="M1290">
        <f t="shared" si="212"/>
        <v>0.90782887693682057</v>
      </c>
      <c r="N1290" s="21">
        <f t="shared" si="216"/>
        <v>7.267814312943055E-2</v>
      </c>
      <c r="O1290" s="21">
        <f t="shared" si="217"/>
        <v>22.702842575864242</v>
      </c>
      <c r="P1290">
        <f t="shared" si="213"/>
        <v>0.88433171687938017</v>
      </c>
      <c r="Q1290">
        <f t="shared" si="210"/>
        <v>0.40339910305126492</v>
      </c>
      <c r="R1290">
        <f t="shared" si="211"/>
        <v>0.42801902605898318</v>
      </c>
      <c r="T1290" s="21">
        <f>(M1290-M1289)/(H1290-H1289)</f>
        <v>7.9664205097407237E-4</v>
      </c>
      <c r="W1290">
        <v>1175</v>
      </c>
      <c r="X1290">
        <v>22.834832000000002</v>
      </c>
      <c r="Y1290">
        <v>1</v>
      </c>
      <c r="Z1290">
        <f t="shared" si="208"/>
        <v>1</v>
      </c>
      <c r="AA1290" s="21">
        <f>IF(X1290&gt;$B$8+$B$9,0,ABS(X1290-O1290)/X1290)</f>
        <v>5.7801793389922985E-3</v>
      </c>
      <c r="AB1290">
        <f>IF(OR(Z1287&lt;&gt;Z1293,X1290&gt;$B$8+$B$9),0,((X1293-X1287)/(W1293-W1287)-(O1293-O1287)/(W1293-W1287))^2)</f>
        <v>4.0417776562354288E-6</v>
      </c>
    </row>
    <row r="1291" spans="7:28" x14ac:dyDescent="0.2">
      <c r="G1291" s="21"/>
      <c r="H1291" s="21">
        <v>1176</v>
      </c>
      <c r="I1291">
        <f t="shared" si="214"/>
        <v>1.097483667548417E-2</v>
      </c>
      <c r="J1291">
        <f t="shared" si="215"/>
        <v>0.40307739931022202</v>
      </c>
      <c r="K1291">
        <f t="shared" si="209"/>
        <v>22.670883063592413</v>
      </c>
      <c r="L1291">
        <f>0.5*Z1291*K1291/J1291/$B$7</f>
        <v>28.122245383130664</v>
      </c>
      <c r="M1291">
        <f t="shared" si="212"/>
        <v>0.90862667763445826</v>
      </c>
      <c r="N1291" s="21">
        <f t="shared" si="216"/>
        <v>7.2709116325519102E-2</v>
      </c>
      <c r="O1291" s="21">
        <f t="shared" si="217"/>
        <v>22.713817412539726</v>
      </c>
      <c r="P1291">
        <f t="shared" si="213"/>
        <v>0.88480857305425031</v>
      </c>
      <c r="Q1291">
        <f t="shared" si="210"/>
        <v>0.40307739931022202</v>
      </c>
      <c r="R1291">
        <f t="shared" si="211"/>
        <v>0.42746302530941538</v>
      </c>
      <c r="T1291" s="21">
        <f>(M1291-M1290)/(H1291-H1290)</f>
        <v>7.9780069763768502E-4</v>
      </c>
      <c r="W1291">
        <v>1176</v>
      </c>
      <c r="X1291">
        <v>22.857547</v>
      </c>
      <c r="Y1291">
        <v>1</v>
      </c>
      <c r="Z1291">
        <f t="shared" si="208"/>
        <v>1</v>
      </c>
      <c r="AA1291" s="21">
        <f>IF(X1291&gt;$B$8+$B$9,0,ABS(X1291-O1291)/X1291)</f>
        <v>6.2880582706567175E-3</v>
      </c>
      <c r="AB1291">
        <f>IF(OR(Z1288&lt;&gt;Z1294,X1291&gt;$B$8+$B$9),0,((X1294-X1288)/(W1294-W1288)-(O1294-O1288)/(W1294-W1288))^2)</f>
        <v>4.97079805503902E-7</v>
      </c>
    </row>
    <row r="1292" spans="7:28" x14ac:dyDescent="0.2">
      <c r="G1292" s="21"/>
      <c r="H1292" s="21">
        <v>1177</v>
      </c>
      <c r="I1292">
        <f t="shared" si="214"/>
        <v>1.0986144096534397E-2</v>
      </c>
      <c r="J1292">
        <f t="shared" si="215"/>
        <v>0.40275548390875038</v>
      </c>
      <c r="K1292">
        <f t="shared" si="209"/>
        <v>22.669456146893946</v>
      </c>
      <c r="L1292">
        <f>0.5*Z1292*K1292/J1292/$B$7</f>
        <v>28.142951558208967</v>
      </c>
      <c r="M1292">
        <f t="shared" si="212"/>
        <v>0.90942564085698174</v>
      </c>
      <c r="N1292" s="21">
        <f t="shared" si="216"/>
        <v>7.274013894978168E-2</v>
      </c>
      <c r="O1292" s="21">
        <f t="shared" si="217"/>
        <v>22.72480355663626</v>
      </c>
      <c r="P1292">
        <f t="shared" si="213"/>
        <v>0.88528574296989948</v>
      </c>
      <c r="Q1292">
        <f t="shared" si="210"/>
        <v>0.40275548390875038</v>
      </c>
      <c r="R1292">
        <f t="shared" si="211"/>
        <v>0.426908102796272</v>
      </c>
      <c r="T1292" s="21">
        <f>(M1292-M1291)/(H1292-H1291)</f>
        <v>7.9896322252348551E-4</v>
      </c>
      <c r="W1292">
        <v>1177</v>
      </c>
      <c r="X1292">
        <v>22.851057000000001</v>
      </c>
      <c r="Y1292">
        <v>1</v>
      </c>
      <c r="Z1292">
        <f t="shared" si="208"/>
        <v>1</v>
      </c>
      <c r="AA1292" s="21">
        <f>IF(X1292&gt;$B$8+$B$9,0,ABS(X1292-O1292)/X1292)</f>
        <v>5.5250592287149148E-3</v>
      </c>
      <c r="AB1292">
        <f>IF(OR(Z1289&lt;&gt;Z1295,X1292&gt;$B$8+$B$9),0,((X1295-X1289)/(W1295-W1289)-(O1295-O1289)/(W1295-W1289))^2)</f>
        <v>5.0999276995927993E-6</v>
      </c>
    </row>
    <row r="1293" spans="7:28" x14ac:dyDescent="0.2">
      <c r="G1293" s="21"/>
      <c r="H1293" s="21">
        <v>1178</v>
      </c>
      <c r="I1293">
        <f t="shared" si="214"/>
        <v>1.0997487956508796E-2</v>
      </c>
      <c r="J1293">
        <f t="shared" si="215"/>
        <v>0.40243335619581322</v>
      </c>
      <c r="K1293">
        <f t="shared" si="209"/>
        <v>22.66803445478099</v>
      </c>
      <c r="L1293">
        <f>0.5*Z1293*K1293/J1293/$B$7</f>
        <v>28.163712209471196</v>
      </c>
      <c r="M1293">
        <f t="shared" si="212"/>
        <v>0.91022577050130471</v>
      </c>
      <c r="N1293" s="21">
        <f t="shared" si="216"/>
        <v>7.277121121689388E-2</v>
      </c>
      <c r="O1293" s="21">
        <f t="shared" si="217"/>
        <v>22.735801044592769</v>
      </c>
      <c r="P1293">
        <f t="shared" si="213"/>
        <v>0.88576322759134929</v>
      </c>
      <c r="Q1293">
        <f t="shared" si="210"/>
        <v>0.40243335619581322</v>
      </c>
      <c r="R1293">
        <f t="shared" si="211"/>
        <v>0.42635425462700044</v>
      </c>
      <c r="T1293" s="21">
        <f>(M1293-M1292)/(H1293-H1292)</f>
        <v>8.0012964432296663E-4</v>
      </c>
      <c r="W1293">
        <v>1178</v>
      </c>
      <c r="X1293">
        <v>22.875393999999996</v>
      </c>
      <c r="Y1293">
        <v>1</v>
      </c>
      <c r="Z1293">
        <f t="shared" si="208"/>
        <v>1</v>
      </c>
      <c r="AA1293" s="21">
        <f>IF(X1293&gt;$B$8+$B$9,0,ABS(X1293-O1293)/X1293)</f>
        <v>6.1023191734851656E-3</v>
      </c>
      <c r="AB1293">
        <f>IF(OR(Z1290&lt;&gt;Z1296,X1293&gt;$B$8+$B$9),0,((X1296-X1290)/(W1296-W1290)-(O1296-O1290)/(W1296-W1290))^2)</f>
        <v>8.0091685923682595E-7</v>
      </c>
    </row>
    <row r="1294" spans="7:28" x14ac:dyDescent="0.2">
      <c r="G1294" s="21"/>
      <c r="H1294" s="21">
        <v>1179</v>
      </c>
      <c r="I1294">
        <f t="shared" si="214"/>
        <v>1.1008868411565268E-2</v>
      </c>
      <c r="J1294">
        <f t="shared" si="215"/>
        <v>0.40211101551783324</v>
      </c>
      <c r="K1294">
        <f t="shared" si="209"/>
        <v>22.666617993558685</v>
      </c>
      <c r="L1294">
        <f>0.5*Z1294*K1294/J1294/$B$7</f>
        <v>28.184527554373155</v>
      </c>
      <c r="M1294">
        <f t="shared" si="212"/>
        <v>0.91102707048315867</v>
      </c>
      <c r="N1294" s="21">
        <f t="shared" si="216"/>
        <v>7.2802333342710482E-2</v>
      </c>
      <c r="O1294" s="21">
        <f t="shared" si="217"/>
        <v>22.746809913004334</v>
      </c>
      <c r="P1294">
        <f t="shared" si="213"/>
        <v>0.88624102788738635</v>
      </c>
      <c r="Q1294">
        <f t="shared" si="210"/>
        <v>0.40211101551783324</v>
      </c>
      <c r="R1294">
        <f t="shared" si="211"/>
        <v>0.42580147692516734</v>
      </c>
      <c r="T1294" s="21">
        <f>(M1294-M1293)/(H1294-H1293)</f>
        <v>8.0129998185396456E-4</v>
      </c>
      <c r="W1294">
        <v>1179</v>
      </c>
      <c r="X1294">
        <v>22.889996</v>
      </c>
      <c r="Y1294">
        <v>1</v>
      </c>
      <c r="Z1294">
        <f t="shared" si="208"/>
        <v>1</v>
      </c>
      <c r="AA1294" s="21">
        <f>IF(X1294&gt;$B$8+$B$9,0,ABS(X1294-O1294)/X1294)</f>
        <v>6.2554002628775387E-3</v>
      </c>
      <c r="AB1294">
        <f>IF(OR(Z1291&lt;&gt;Z1297,X1294&gt;$B$8+$B$9),0,((X1297-X1291)/(W1297-W1291)-(O1297-O1291)/(W1297-W1291))^2)</f>
        <v>3.7581870717974728E-7</v>
      </c>
    </row>
    <row r="1295" spans="7:28" x14ac:dyDescent="0.2">
      <c r="G1295" s="21"/>
      <c r="H1295" s="21">
        <v>1180</v>
      </c>
      <c r="I1295">
        <f t="shared" si="214"/>
        <v>1.1020285618814468E-2</v>
      </c>
      <c r="J1295">
        <f t="shared" si="215"/>
        <v>0.40178846121867851</v>
      </c>
      <c r="K1295">
        <f t="shared" si="209"/>
        <v>22.665206769581179</v>
      </c>
      <c r="L1295">
        <f>0.5*Z1295*K1295/J1295/$B$7</f>
        <v>28.205397811617779</v>
      </c>
      <c r="M1295">
        <f t="shared" si="212"/>
        <v>0.91182954473721245</v>
      </c>
      <c r="N1295" s="21">
        <f t="shared" si="216"/>
        <v>7.2833505544274091E-2</v>
      </c>
      <c r="O1295" s="21">
        <f t="shared" si="217"/>
        <v>22.75783019862315</v>
      </c>
      <c r="P1295">
        <f t="shared" si="213"/>
        <v>0.88671914483058445</v>
      </c>
      <c r="Q1295">
        <f t="shared" si="210"/>
        <v>0.40178846121867851</v>
      </c>
      <c r="R1295">
        <f t="shared" si="211"/>
        <v>0.42524976583036189</v>
      </c>
      <c r="T1295" s="21">
        <f>(M1295-M1294)/(H1295-H1294)</f>
        <v>8.0247425405377548E-4</v>
      </c>
      <c r="W1295">
        <v>1180</v>
      </c>
      <c r="X1295">
        <v>22.899730999999999</v>
      </c>
      <c r="Y1295">
        <v>1</v>
      </c>
      <c r="Z1295">
        <f t="shared" si="208"/>
        <v>1</v>
      </c>
      <c r="AA1295" s="21">
        <f>IF(X1295&gt;$B$8+$B$9,0,ABS(X1295-O1295)/X1295)</f>
        <v>6.1966143347644137E-3</v>
      </c>
      <c r="AB1295">
        <f>IF(OR(Z1292&lt;&gt;Z1298,X1295&gt;$B$8+$B$9),0,((X1298-X1292)/(W1298-W1292)-(O1298-O1292)/(W1298-W1292))^2)</f>
        <v>1.9963937986129726E-6</v>
      </c>
    </row>
    <row r="1296" spans="7:28" x14ac:dyDescent="0.2">
      <c r="G1296" s="21"/>
      <c r="H1296" s="21">
        <v>1181</v>
      </c>
      <c r="I1296">
        <f t="shared" si="214"/>
        <v>1.1031739736327054E-2</v>
      </c>
      <c r="J1296">
        <f t="shared" si="215"/>
        <v>0.40146569263964704</v>
      </c>
      <c r="K1296">
        <f t="shared" si="209"/>
        <v>22.663800789251894</v>
      </c>
      <c r="L1296">
        <f>0.5*Z1296*K1296/J1296/$B$7</f>
        <v>28.226323201164256</v>
      </c>
      <c r="M1296">
        <f t="shared" si="212"/>
        <v>0.91263319721719771</v>
      </c>
      <c r="N1296" s="21">
        <f t="shared" si="216"/>
        <v>7.2864728039823745E-2</v>
      </c>
      <c r="O1296" s="21">
        <f t="shared" si="217"/>
        <v>22.768861938359478</v>
      </c>
      <c r="P1296">
        <f t="shared" si="213"/>
        <v>0.88719757939732646</v>
      </c>
      <c r="Q1296">
        <f t="shared" si="210"/>
        <v>0.40146569263964704</v>
      </c>
      <c r="R1296">
        <f t="shared" si="211"/>
        <v>0.42469911749810024</v>
      </c>
      <c r="T1296" s="21">
        <f>(M1296-M1295)/(H1296-H1295)</f>
        <v>8.0365247998526179E-4</v>
      </c>
      <c r="W1296">
        <v>1181</v>
      </c>
      <c r="X1296">
        <v>22.906220999999999</v>
      </c>
      <c r="Y1296">
        <v>1</v>
      </c>
      <c r="Z1296">
        <f t="shared" si="208"/>
        <v>1</v>
      </c>
      <c r="AA1296" s="21">
        <f>IF(X1296&gt;$B$8+$B$9,0,ABS(X1296-O1296)/X1296)</f>
        <v>5.9965832705674259E-3</v>
      </c>
      <c r="AB1296">
        <f>IF(OR(Z1293&lt;&gt;Z1299,X1296&gt;$B$8+$B$9),0,((X1299-X1293)/(W1299-W1293)-(O1299-O1293)/(W1299-W1293))^2)</f>
        <v>1.9641045317131115E-6</v>
      </c>
    </row>
    <row r="1297" spans="7:28" x14ac:dyDescent="0.2">
      <c r="G1297" s="21"/>
      <c r="H1297" s="21">
        <v>1182</v>
      </c>
      <c r="I1297">
        <f t="shared" si="214"/>
        <v>1.1043230923140881E-2</v>
      </c>
      <c r="J1297">
        <f t="shared" si="215"/>
        <v>0.40114270911945227</v>
      </c>
      <c r="K1297">
        <f t="shared" si="209"/>
        <v>22.662400059023785</v>
      </c>
      <c r="L1297">
        <f>0.5*Z1297*K1297/J1297/$B$7</f>
        <v>28.247303944237181</v>
      </c>
      <c r="M1297">
        <f t="shared" si="212"/>
        <v>0.91343803189603112</v>
      </c>
      <c r="N1297" s="21">
        <f t="shared" si="216"/>
        <v>7.2896001048803616E-2</v>
      </c>
      <c r="O1297" s="21">
        <f t="shared" si="217"/>
        <v>22.779905169282618</v>
      </c>
      <c r="P1297">
        <f t="shared" si="213"/>
        <v>0.88767633256782685</v>
      </c>
      <c r="Q1297">
        <f t="shared" si="210"/>
        <v>0.40114270911945227</v>
      </c>
      <c r="R1297">
        <f t="shared" si="211"/>
        <v>0.42414952809973006</v>
      </c>
      <c r="T1297" s="21">
        <f>(M1297-M1296)/(H1297-H1296)</f>
        <v>8.0483467883341042E-4</v>
      </c>
      <c r="W1297">
        <v>1182</v>
      </c>
      <c r="X1297">
        <v>22.927313000000002</v>
      </c>
      <c r="Y1297">
        <v>1</v>
      </c>
      <c r="Z1297">
        <f t="shared" si="208"/>
        <v>1</v>
      </c>
      <c r="AA1297" s="21">
        <f>IF(X1297&gt;$B$8+$B$9,0,ABS(X1297-O1297)/X1297)</f>
        <v>6.4293548361896592E-3</v>
      </c>
      <c r="AB1297">
        <f>IF(OR(Z1294&lt;&gt;Z1300,X1297&gt;$B$8+$B$9),0,((X1300-X1294)/(W1300-W1294)-(O1300-O1294)/(W1300-W1294))^2)</f>
        <v>1.7271519839988877E-6</v>
      </c>
    </row>
    <row r="1298" spans="7:28" x14ac:dyDescent="0.2">
      <c r="G1298" s="21"/>
      <c r="H1298" s="21">
        <v>1183</v>
      </c>
      <c r="I1298">
        <f t="shared" si="214"/>
        <v>1.1054759339268399E-2</v>
      </c>
      <c r="J1298">
        <f t="shared" si="215"/>
        <v>0.40081950999420668</v>
      </c>
      <c r="K1298">
        <f t="shared" si="209"/>
        <v>22.661004585399574</v>
      </c>
      <c r="L1298">
        <f>0.5*Z1298*K1298/J1298/$B$7</f>
        <v>28.268340263335872</v>
      </c>
      <c r="M1298">
        <f t="shared" si="212"/>
        <v>0.91424405276594323</v>
      </c>
      <c r="N1298" s="21">
        <f t="shared" si="216"/>
        <v>7.2927324791872083E-2</v>
      </c>
      <c r="O1298" s="21">
        <f t="shared" si="217"/>
        <v>22.790959928621884</v>
      </c>
      <c r="P1298">
        <f t="shared" si="213"/>
        <v>0.88815540532615511</v>
      </c>
      <c r="Q1298">
        <f t="shared" si="210"/>
        <v>0.40081950999420668</v>
      </c>
      <c r="R1298">
        <f t="shared" si="211"/>
        <v>0.4236009938223349</v>
      </c>
      <c r="T1298" s="21">
        <f>(M1298-M1297)/(H1298-H1297)</f>
        <v>8.060208699121052E-4</v>
      </c>
      <c r="W1298">
        <v>1183</v>
      </c>
      <c r="X1298">
        <v>22.925690999999997</v>
      </c>
      <c r="Y1298">
        <v>1</v>
      </c>
      <c r="Z1298">
        <f t="shared" si="208"/>
        <v>1</v>
      </c>
      <c r="AA1298" s="21">
        <f>IF(X1298&gt;$B$8+$B$9,0,ABS(X1298-O1298)/X1298)</f>
        <v>5.8768597805018271E-3</v>
      </c>
      <c r="AB1298">
        <f>IF(OR(Z1295&lt;&gt;Z1301,X1298&gt;$B$8+$B$9),0,((X1301-X1295)/(W1301-W1295)-(O1301-O1295)/(W1301-W1295))^2)</f>
        <v>1.2274596832174898E-6</v>
      </c>
    </row>
    <row r="1299" spans="7:28" x14ac:dyDescent="0.2">
      <c r="G1299" s="21"/>
      <c r="H1299" s="21">
        <v>1184</v>
      </c>
      <c r="I1299">
        <f t="shared" si="214"/>
        <v>1.1066325145704048E-2</v>
      </c>
      <c r="J1299">
        <f t="shared" si="215"/>
        <v>0.40049609459740787</v>
      </c>
      <c r="K1299">
        <f t="shared" si="209"/>
        <v>22.659614374932065</v>
      </c>
      <c r="L1299">
        <f>0.5*Z1299*K1299/J1299/$B$7</f>
        <v>28.289432382243668</v>
      </c>
      <c r="M1299">
        <f t="shared" si="212"/>
        <v>0.91505126383860125</v>
      </c>
      <c r="N1299" s="21">
        <f t="shared" si="216"/>
        <v>7.2958699490910259E-2</v>
      </c>
      <c r="O1299" s="21">
        <f t="shared" si="217"/>
        <v>22.80202625376759</v>
      </c>
      <c r="P1299">
        <f t="shared" si="213"/>
        <v>0.88863479866025685</v>
      </c>
      <c r="Q1299">
        <f t="shared" si="210"/>
        <v>0.40049609459740787</v>
      </c>
      <c r="R1299">
        <f t="shared" si="211"/>
        <v>0.42305351086864168</v>
      </c>
      <c r="T1299" s="21">
        <f>(M1299-M1298)/(H1299-H1298)</f>
        <v>8.0721107265802061E-4</v>
      </c>
      <c r="W1299">
        <v>1184</v>
      </c>
      <c r="X1299">
        <v>22.950028</v>
      </c>
      <c r="Y1299">
        <v>1</v>
      </c>
      <c r="Z1299">
        <f t="shared" si="208"/>
        <v>1</v>
      </c>
      <c r="AA1299" s="21">
        <f>IF(X1299&gt;$B$8+$B$9,0,ABS(X1299-O1299)/X1299)</f>
        <v>6.4488699635752043E-3</v>
      </c>
      <c r="AB1299">
        <f>IF(OR(Z1296&lt;&gt;Z1302,X1299&gt;$B$8+$B$9),0,((X1302-X1296)/(W1302-W1296)-(O1302-O1296)/(W1302-W1296))^2)</f>
        <v>3.6385168140261566E-6</v>
      </c>
    </row>
    <row r="1300" spans="7:28" x14ac:dyDescent="0.2">
      <c r="G1300" s="21"/>
      <c r="H1300" s="21">
        <v>1185</v>
      </c>
      <c r="I1300">
        <f t="shared" si="214"/>
        <v>1.1077928504431801E-2</v>
      </c>
      <c r="J1300">
        <f t="shared" si="215"/>
        <v>0.40017246225992165</v>
      </c>
      <c r="K1300">
        <f t="shared" si="209"/>
        <v>22.658229434224346</v>
      </c>
      <c r="L1300">
        <f>0.5*Z1300*K1300/J1300/$B$7</f>
        <v>28.310580526037398</v>
      </c>
      <c r="M1300">
        <f t="shared" si="212"/>
        <v>0.9158596691452402</v>
      </c>
      <c r="N1300" s="21">
        <f t="shared" si="216"/>
        <v>7.2990125369031461E-2</v>
      </c>
      <c r="O1300" s="21">
        <f t="shared" si="217"/>
        <v>22.813104182272021</v>
      </c>
      <c r="P1300">
        <f t="shared" si="213"/>
        <v>0.88911451356197857</v>
      </c>
      <c r="Q1300">
        <f t="shared" si="210"/>
        <v>0.40017246225992165</v>
      </c>
      <c r="R1300">
        <f t="shared" si="211"/>
        <v>0.42250707545692512</v>
      </c>
      <c r="T1300" s="21">
        <f>(M1300-M1299)/(H1300-H1299)</f>
        <v>8.084053066389485E-4</v>
      </c>
      <c r="W1300">
        <v>1185</v>
      </c>
      <c r="X1300">
        <v>22.948404999999998</v>
      </c>
      <c r="Y1300">
        <v>1</v>
      </c>
      <c r="Z1300">
        <f t="shared" si="208"/>
        <v>1</v>
      </c>
      <c r="AA1300" s="21">
        <f>IF(X1300&gt;$B$8+$B$9,0,ABS(X1300-O1300)/X1300)</f>
        <v>5.8958702240080249E-3</v>
      </c>
      <c r="AB1300">
        <f>IF(OR(Z1297&lt;&gt;Z1303,X1300&gt;$B$8+$B$9),0,((X1303-X1297)/(W1303-W1297)-(O1303-O1297)/(W1303-W1297))^2)</f>
        <v>2.6226704645641319E-6</v>
      </c>
    </row>
    <row r="1301" spans="7:28" x14ac:dyDescent="0.2">
      <c r="G1301" s="21"/>
      <c r="H1301" s="21">
        <v>1186</v>
      </c>
      <c r="I1301">
        <f t="shared" si="214"/>
        <v>1.1089569578432655E-2</v>
      </c>
      <c r="J1301">
        <f t="shared" si="215"/>
        <v>0.39984861230996782</v>
      </c>
      <c r="K1301">
        <f t="shared" si="209"/>
        <v>22.656849769930112</v>
      </c>
      <c r="L1301">
        <f>0.5*Z1301*K1301/J1301/$B$7</f>
        <v>28.331784921096872</v>
      </c>
      <c r="M1301">
        <f t="shared" si="212"/>
        <v>0.91666927273678833</v>
      </c>
      <c r="N1301" s="21">
        <f t="shared" si="216"/>
        <v>7.3021602650589809E-2</v>
      </c>
      <c r="O1301" s="21">
        <f t="shared" si="217"/>
        <v>22.824193751850455</v>
      </c>
      <c r="P1301">
        <f t="shared" si="213"/>
        <v>0.88959455102708918</v>
      </c>
      <c r="Q1301">
        <f t="shared" si="210"/>
        <v>0.39984861230996782</v>
      </c>
      <c r="R1301">
        <f t="shared" si="211"/>
        <v>0.42196168382091653</v>
      </c>
      <c r="T1301" s="21">
        <f>(M1301-M1300)/(H1301-H1300)</f>
        <v>8.0960359154813588E-4</v>
      </c>
      <c r="W1301">
        <v>1186</v>
      </c>
      <c r="X1301">
        <v>22.972742</v>
      </c>
      <c r="Y1301">
        <v>1</v>
      </c>
      <c r="Z1301">
        <f t="shared" si="208"/>
        <v>1</v>
      </c>
      <c r="AA1301" s="21">
        <f>IF(X1301&gt;$B$8+$B$9,0,ABS(X1301-O1301)/X1301)</f>
        <v>6.466282873396012E-3</v>
      </c>
      <c r="AB1301">
        <f>IF(OR(Z1298&lt;&gt;Z1304,X1301&gt;$B$8+$B$9),0,((X1304-X1298)/(W1304-W1298)-(O1304-O1298)/(W1304-W1298))^2)</f>
        <v>2.6308764403597382E-5</v>
      </c>
    </row>
    <row r="1302" spans="7:28" x14ac:dyDescent="0.2">
      <c r="G1302" s="21"/>
      <c r="H1302" s="21">
        <v>1187</v>
      </c>
      <c r="I1302">
        <f t="shared" si="214"/>
        <v>1.1101248531692264E-2</v>
      </c>
      <c r="J1302">
        <f t="shared" si="215"/>
        <v>0.39952454407310345</v>
      </c>
      <c r="K1302">
        <f t="shared" si="209"/>
        <v>22.655475388753892</v>
      </c>
      <c r="L1302">
        <f>0.5*Z1302*K1302/J1302/$B$7</f>
        <v>28.353045795114507</v>
      </c>
      <c r="M1302">
        <f t="shared" si="212"/>
        <v>0.91748007868399928</v>
      </c>
      <c r="N1302" s="21">
        <f t="shared" si="216"/>
        <v>7.3053131561189727E-2</v>
      </c>
      <c r="O1302" s="21">
        <f t="shared" si="217"/>
        <v>22.835295000382146</v>
      </c>
      <c r="P1302">
        <f t="shared" si="213"/>
        <v>0.89007491205530431</v>
      </c>
      <c r="Q1302">
        <f t="shared" si="210"/>
        <v>0.39952454407310345</v>
      </c>
      <c r="R1302">
        <f t="shared" si="211"/>
        <v>0.42141733220970984</v>
      </c>
      <c r="T1302" s="21">
        <f>(M1302-M1301)/(H1302-H1301)</f>
        <v>8.1080594721094634E-4</v>
      </c>
      <c r="W1302">
        <v>1187</v>
      </c>
      <c r="X1302">
        <v>22.984098999999997</v>
      </c>
      <c r="Y1302">
        <v>1</v>
      </c>
      <c r="Z1302">
        <f t="shared" si="208"/>
        <v>1</v>
      </c>
      <c r="AA1302" s="21">
        <f>IF(X1302&gt;$B$8+$B$9,0,ABS(X1302-O1302)/X1302)</f>
        <v>6.4742150483188725E-3</v>
      </c>
      <c r="AB1302">
        <f>IF(OR(Z1299&lt;&gt;Z1305,X1302&gt;$B$8+$B$9),0,((X1305-X1299)/(W1305-W1299)-(O1305-O1299)/(W1305-W1299))^2)</f>
        <v>6.9165480798689042E-7</v>
      </c>
    </row>
    <row r="1303" spans="7:28" x14ac:dyDescent="0.2">
      <c r="G1303" s="21"/>
      <c r="H1303" s="21">
        <v>1188</v>
      </c>
      <c r="I1303">
        <f t="shared" si="214"/>
        <v>1.1112965529208671E-2</v>
      </c>
      <c r="J1303">
        <f t="shared" si="215"/>
        <v>0.39920025687220717</v>
      </c>
      <c r="K1303">
        <f t="shared" si="209"/>
        <v>22.654106297451339</v>
      </c>
      <c r="L1303">
        <f>0.5*Z1303*K1303/J1303/$B$7</f>
        <v>28.374363377105013</v>
      </c>
      <c r="M1303">
        <f t="shared" si="212"/>
        <v>0.91829209107758236</v>
      </c>
      <c r="N1303" s="21">
        <f t="shared" si="216"/>
        <v>7.3084712327695117E-2</v>
      </c>
      <c r="O1303" s="21">
        <f t="shared" si="217"/>
        <v>22.846407965911354</v>
      </c>
      <c r="P1303">
        <f t="shared" si="213"/>
        <v>0.89055559765030978</v>
      </c>
      <c r="Q1303">
        <f t="shared" si="210"/>
        <v>0.39920025687220717</v>
      </c>
      <c r="R1303">
        <f t="shared" si="211"/>
        <v>0.42087401688767001</v>
      </c>
      <c r="T1303" s="21">
        <f>(M1303-M1302)/(H1303-H1302)</f>
        <v>8.1201239358308364E-4</v>
      </c>
      <c r="W1303">
        <v>1188</v>
      </c>
      <c r="X1303">
        <v>22.984098999999997</v>
      </c>
      <c r="Y1303">
        <v>1</v>
      </c>
      <c r="Z1303">
        <f t="shared" si="208"/>
        <v>1</v>
      </c>
      <c r="AA1303" s="21">
        <f>IF(X1303&gt;$B$8+$B$9,0,ABS(X1303-O1303)/X1303)</f>
        <v>5.9907083627095091E-3</v>
      </c>
      <c r="AB1303">
        <f>IF(OR(Z1300&lt;&gt;Z1306,X1303&gt;$B$8+$B$9),0,((X1306-X1300)/(W1306-W1300)-(O1306-O1300)/(W1306-W1300))^2)</f>
        <v>3.462474203048333E-6</v>
      </c>
    </row>
    <row r="1304" spans="7:28" x14ac:dyDescent="0.2">
      <c r="G1304" s="21"/>
      <c r="H1304" s="21">
        <v>1189</v>
      </c>
      <c r="I1304">
        <f t="shared" si="214"/>
        <v>1.1124720737000065E-2</v>
      </c>
      <c r="J1304">
        <f t="shared" si="215"/>
        <v>0.39887575002746378</v>
      </c>
      <c r="K1304">
        <f t="shared" si="209"/>
        <v>22.652742502829504</v>
      </c>
      <c r="L1304">
        <f>0.5*Z1304*K1304/J1304/$B$7</f>
        <v>28.395737897415167</v>
      </c>
      <c r="M1304">
        <f t="shared" si="212"/>
        <v>0.9191053140283334</v>
      </c>
      <c r="N1304" s="21">
        <f t="shared" si="216"/>
        <v>7.3116345178238562E-2</v>
      </c>
      <c r="O1304" s="21">
        <f t="shared" si="217"/>
        <v>22.857532686648355</v>
      </c>
      <c r="P1304">
        <f t="shared" si="213"/>
        <v>0.89103660881978464</v>
      </c>
      <c r="Q1304">
        <f t="shared" si="210"/>
        <v>0.39887575002746378</v>
      </c>
      <c r="R1304">
        <f t="shared" si="211"/>
        <v>0.42033173413434205</v>
      </c>
      <c r="T1304" s="21">
        <f>(M1304-M1303)/(H1304-H1303)</f>
        <v>8.1322295075103579E-4</v>
      </c>
      <c r="W1304">
        <v>1189</v>
      </c>
      <c r="X1304">
        <v>23.023039000000001</v>
      </c>
      <c r="Y1304">
        <v>1</v>
      </c>
      <c r="Z1304">
        <f t="shared" si="208"/>
        <v>1</v>
      </c>
      <c r="AA1304" s="21">
        <f>IF(X1304&gt;$B$8+$B$9,0,ABS(X1304-O1304)/X1304)</f>
        <v>7.188725752132274E-3</v>
      </c>
      <c r="AB1304">
        <f>IF(OR(Z1301&lt;&gt;Z1307,X1304&gt;$B$8+$B$9),0,((X1307-X1301)/(W1307-W1301)-(O1307-O1301)/(W1307-W1301))^2)</f>
        <v>5.8905295734814666E-7</v>
      </c>
    </row>
    <row r="1305" spans="7:28" x14ac:dyDescent="0.2">
      <c r="G1305" s="21"/>
      <c r="H1305" s="21">
        <v>1190</v>
      </c>
      <c r="I1305">
        <f t="shared" si="214"/>
        <v>1.1136514322112595E-2</v>
      </c>
      <c r="J1305">
        <f t="shared" si="215"/>
        <v>0.39855102285634814</v>
      </c>
      <c r="K1305">
        <f t="shared" si="209"/>
        <v>22.651384011747119</v>
      </c>
      <c r="L1305">
        <f>0.5*Z1305*K1305/J1305/$B$7</f>
        <v>28.41716958773366</v>
      </c>
      <c r="M1305">
        <f t="shared" si="212"/>
        <v>0.91991975166726747</v>
      </c>
      <c r="N1305" s="21">
        <f t="shared" si="216"/>
        <v>7.3148030342230705E-2</v>
      </c>
      <c r="O1305" s="21">
        <f t="shared" si="217"/>
        <v>22.868669200970469</v>
      </c>
      <c r="P1305">
        <f t="shared" si="213"/>
        <v>0.8915179465754246</v>
      </c>
      <c r="Q1305">
        <f t="shared" si="210"/>
        <v>0.39855102285634814</v>
      </c>
      <c r="R1305">
        <f t="shared" si="211"/>
        <v>0.41979048024436061</v>
      </c>
      <c r="T1305" s="21">
        <f>(M1305-M1304)/(H1305-H1304)</f>
        <v>8.144376389340735E-4</v>
      </c>
      <c r="W1305">
        <v>1190</v>
      </c>
      <c r="X1305">
        <v>23.011680999999999</v>
      </c>
      <c r="Y1305">
        <v>1</v>
      </c>
      <c r="Z1305">
        <f t="shared" si="208"/>
        <v>1</v>
      </c>
      <c r="AA1305" s="21">
        <f>IF(X1305&gt;$B$8+$B$9,0,ABS(X1305-O1305)/X1305)</f>
        <v>6.2147480242547293E-3</v>
      </c>
      <c r="AB1305">
        <f>IF(OR(Z1302&lt;&gt;Z1308,X1305&gt;$B$8+$B$9),0,((X1308-X1302)/(W1308-W1302)-(O1308-O1302)/(W1308-W1302))^2)</f>
        <v>2.3540426329648502E-7</v>
      </c>
    </row>
    <row r="1306" spans="7:28" x14ac:dyDescent="0.2">
      <c r="G1306" s="21"/>
      <c r="H1306" s="21">
        <v>1191</v>
      </c>
      <c r="I1306">
        <f t="shared" si="214"/>
        <v>1.1148346452628322E-2</v>
      </c>
      <c r="J1306">
        <f t="shared" si="215"/>
        <v>0.39822607467360815</v>
      </c>
      <c r="K1306">
        <f t="shared" si="209"/>
        <v>22.650030831114851</v>
      </c>
      <c r="L1306">
        <f>0.5*Z1306*K1306/J1306/$B$7</f>
        <v>28.43865868110111</v>
      </c>
      <c r="M1306">
        <f t="shared" si="212"/>
        <v>0.92073540814575539</v>
      </c>
      <c r="N1306" s="21">
        <f t="shared" si="216"/>
        <v>7.3179768050370006E-2</v>
      </c>
      <c r="O1306" s="21">
        <f t="shared" si="217"/>
        <v>22.879817547423098</v>
      </c>
      <c r="P1306">
        <f t="shared" si="213"/>
        <v>0.89199961193296751</v>
      </c>
      <c r="Q1306">
        <f t="shared" si="210"/>
        <v>0.39822607467360815</v>
      </c>
      <c r="R1306">
        <f t="shared" si="211"/>
        <v>0.41925025152735818</v>
      </c>
      <c r="T1306" s="21">
        <f>(M1306-M1305)/(H1306-H1305)</f>
        <v>8.1565647848791389E-4</v>
      </c>
      <c r="W1306">
        <v>1191</v>
      </c>
      <c r="X1306">
        <v>23.026282999999996</v>
      </c>
      <c r="Y1306">
        <v>1</v>
      </c>
      <c r="Z1306">
        <f t="shared" si="208"/>
        <v>1</v>
      </c>
      <c r="AA1306" s="21">
        <f>IF(X1306&gt;$B$8+$B$9,0,ABS(X1306-O1306)/X1306)</f>
        <v>6.3607944268251121E-3</v>
      </c>
      <c r="AB1306">
        <f>IF(OR(Z1303&lt;&gt;Z1309,X1306&gt;$B$8+$B$9),0,((X1309-X1303)/(W1309-W1303)-(O1309-O1303)/(W1309-W1303))^2)</f>
        <v>1.0096504502412908E-5</v>
      </c>
    </row>
    <row r="1307" spans="7:28" x14ac:dyDescent="0.2">
      <c r="G1307" s="21"/>
      <c r="H1307" s="21">
        <v>1192</v>
      </c>
      <c r="I1307">
        <f t="shared" si="214"/>
        <v>1.1160217297673195E-2</v>
      </c>
      <c r="J1307">
        <f t="shared" si="215"/>
        <v>0.3979009047912494</v>
      </c>
      <c r="K1307">
        <f t="shared" si="209"/>
        <v>22.648682967895592</v>
      </c>
      <c r="L1307">
        <f>0.5*Z1307*K1307/J1307/$B$7</f>
        <v>28.46020541192004</v>
      </c>
      <c r="M1307">
        <f t="shared" si="212"/>
        <v>0.921552287635656</v>
      </c>
      <c r="N1307" s="21">
        <f t="shared" si="216"/>
        <v>7.3211558534652083E-2</v>
      </c>
      <c r="O1307" s="21">
        <f t="shared" si="217"/>
        <v>22.89097776472077</v>
      </c>
      <c r="P1307">
        <f t="shared" si="213"/>
        <v>0.89248160591221637</v>
      </c>
      <c r="Q1307">
        <f t="shared" si="210"/>
        <v>0.3979009047912494</v>
      </c>
      <c r="R1307">
        <f t="shared" si="211"/>
        <v>0.41871104430787642</v>
      </c>
      <c r="T1307" s="21">
        <f>(M1307-M1306)/(H1307-H1306)</f>
        <v>8.1687948990061265E-4</v>
      </c>
      <c r="W1307">
        <v>1192</v>
      </c>
      <c r="X1307">
        <v>23.044130999999997</v>
      </c>
      <c r="Y1307">
        <v>1</v>
      </c>
      <c r="Z1307">
        <f t="shared" si="208"/>
        <v>1</v>
      </c>
      <c r="AA1307" s="21">
        <f>IF(X1307&gt;$B$8+$B$9,0,ABS(X1307-O1307)/X1307)</f>
        <v>6.6460842146413282E-3</v>
      </c>
      <c r="AB1307">
        <f>IF(OR(Z1304&lt;&gt;Z1310,X1307&gt;$B$8+$B$9),0,((X1310-X1304)/(W1310-W1304)-(O1310-O1304)/(W1310-W1304))^2)</f>
        <v>1.2922041522917601E-5</v>
      </c>
    </row>
    <row r="1308" spans="7:28" x14ac:dyDescent="0.2">
      <c r="G1308" s="21"/>
      <c r="H1308" s="21">
        <v>1193</v>
      </c>
      <c r="I1308">
        <f t="shared" si="214"/>
        <v>1.1172127027425077E-2</v>
      </c>
      <c r="J1308">
        <f t="shared" si="215"/>
        <v>0.39757551251851864</v>
      </c>
      <c r="K1308">
        <f t="shared" si="209"/>
        <v>22.647340429104773</v>
      </c>
      <c r="L1308">
        <f>0.5*Z1308*K1308/J1308/$B$7</f>
        <v>28.48181001596506</v>
      </c>
      <c r="M1308">
        <f t="shared" si="212"/>
        <v>0.92237039432945322</v>
      </c>
      <c r="N1308" s="21">
        <f t="shared" si="216"/>
        <v>7.324340202837934E-2</v>
      </c>
      <c r="O1308" s="21">
        <f t="shared" si="217"/>
        <v>22.902149891748195</v>
      </c>
      <c r="P1308">
        <f t="shared" si="213"/>
        <v>0.89296392953706349</v>
      </c>
      <c r="Q1308">
        <f t="shared" si="210"/>
        <v>0.39757551251851864</v>
      </c>
      <c r="R1308">
        <f t="shared" si="211"/>
        <v>0.41817285492527723</v>
      </c>
      <c r="T1308" s="21">
        <f>(M1308-M1307)/(H1308-H1307)</f>
        <v>8.18106693797227E-4</v>
      </c>
      <c r="W1308">
        <v>1193</v>
      </c>
      <c r="X1308">
        <v>23.053864999999998</v>
      </c>
      <c r="Y1308">
        <v>1</v>
      </c>
      <c r="Z1308">
        <f t="shared" si="208"/>
        <v>1</v>
      </c>
      <c r="AA1308" s="21">
        <f>IF(X1308&gt;$B$8+$B$9,0,ABS(X1308-O1308)/X1308)</f>
        <v>6.5808968800590856E-3</v>
      </c>
      <c r="AB1308">
        <f>IF(OR(Z1305&lt;&gt;Z1311,X1308&gt;$B$8+$B$9),0,((X1311-X1305)/(W1311-W1305)-(O1311-O1305)/(W1311-W1305))^2)</f>
        <v>5.1841880163344332E-7</v>
      </c>
    </row>
    <row r="1309" spans="7:28" x14ac:dyDescent="0.2">
      <c r="G1309" s="21"/>
      <c r="H1309" s="21">
        <v>1194</v>
      </c>
      <c r="I1309">
        <f t="shared" si="214"/>
        <v>1.118407581312196E-2</v>
      </c>
      <c r="J1309">
        <f t="shared" si="215"/>
        <v>0.39724989716188619</v>
      </c>
      <c r="K1309">
        <f t="shared" si="209"/>
        <v>22.646003221810595</v>
      </c>
      <c r="L1309">
        <f>0.5*Z1309*K1309/J1309/$B$7</f>
        <v>28.503472730393128</v>
      </c>
      <c r="M1309">
        <f t="shared" si="212"/>
        <v>0.92318973244039571</v>
      </c>
      <c r="N1309" s="21">
        <f t="shared" si="216"/>
        <v>7.3275298766171018E-2</v>
      </c>
      <c r="O1309" s="21">
        <f t="shared" si="217"/>
        <v>22.913333967561318</v>
      </c>
      <c r="P1309">
        <f t="shared" si="213"/>
        <v>0.89344658383551623</v>
      </c>
      <c r="Q1309">
        <f t="shared" si="210"/>
        <v>0.39724989716188619</v>
      </c>
      <c r="R1309">
        <f t="shared" si="211"/>
        <v>0.41763567973365273</v>
      </c>
      <c r="T1309" s="21">
        <f>(M1309-M1308)/(H1309-H1308)</f>
        <v>8.1933811094248021E-4</v>
      </c>
      <c r="W1309">
        <v>1194</v>
      </c>
      <c r="X1309">
        <v>23.070089999999997</v>
      </c>
      <c r="Y1309">
        <v>1</v>
      </c>
      <c r="Z1309">
        <f t="shared" si="208"/>
        <v>1</v>
      </c>
      <c r="AA1309" s="21">
        <f>IF(X1309&gt;$B$8+$B$9,0,ABS(X1309-O1309)/X1309)</f>
        <v>6.7947733380614899E-3</v>
      </c>
      <c r="AB1309">
        <f>IF(OR(Z1306&lt;&gt;Z1312,X1309&gt;$B$8+$B$9),0,((X1312-X1306)/(W1312-W1306)-(O1312-O1306)/(W1312-W1306))^2)</f>
        <v>1.3959357850645471E-7</v>
      </c>
    </row>
    <row r="1310" spans="7:28" x14ac:dyDescent="0.2">
      <c r="G1310" s="21"/>
      <c r="H1310" s="21">
        <v>1195</v>
      </c>
      <c r="I1310">
        <f t="shared" si="214"/>
        <v>1.1196063827070129E-2</v>
      </c>
      <c r="J1310">
        <f t="shared" si="215"/>
        <v>0.39692405802503083</v>
      </c>
      <c r="K1310">
        <f t="shared" si="209"/>
        <v>22.644671353134356</v>
      </c>
      <c r="L1310">
        <f>0.5*Z1310*K1310/J1310/$B$7</f>
        <v>28.52519379375379</v>
      </c>
      <c r="M1310">
        <f t="shared" si="212"/>
        <v>0.92401030620263169</v>
      </c>
      <c r="N1310" s="21">
        <f t="shared" si="216"/>
        <v>7.3307248983972659E-2</v>
      </c>
      <c r="O1310" s="21">
        <f t="shared" si="217"/>
        <v>22.92453003138839</v>
      </c>
      <c r="P1310">
        <f t="shared" si="213"/>
        <v>0.89392956983972016</v>
      </c>
      <c r="Q1310">
        <f t="shared" si="210"/>
        <v>0.39692405802503083</v>
      </c>
      <c r="R1310">
        <f t="shared" si="211"/>
        <v>0.4170995151017387</v>
      </c>
      <c r="T1310" s="21">
        <f>(M1310-M1309)/(H1310-H1309)</f>
        <v>8.2057376223598766E-4</v>
      </c>
      <c r="W1310">
        <v>1195</v>
      </c>
      <c r="X1310">
        <v>23.068467999999999</v>
      </c>
      <c r="Y1310">
        <v>1</v>
      </c>
      <c r="Z1310">
        <f t="shared" si="208"/>
        <v>1</v>
      </c>
      <c r="AA1310" s="21">
        <f>IF(X1310&gt;$B$8+$B$9,0,ABS(X1310-O1310)/X1310)</f>
        <v>6.2395980787111564E-3</v>
      </c>
      <c r="AB1310">
        <f>IF(OR(Z1307&lt;&gt;Z1313,X1310&gt;$B$8+$B$9),0,((X1313-X1307)/(W1313-W1307)-(O1313-O1307)/(W1313-W1307))^2)</f>
        <v>1.329336447678985E-8</v>
      </c>
    </row>
    <row r="1311" spans="7:28" x14ac:dyDescent="0.2">
      <c r="G1311" s="21"/>
      <c r="H1311" s="21">
        <v>1196</v>
      </c>
      <c r="I1311">
        <f t="shared" si="214"/>
        <v>1.1208091242652467E-2</v>
      </c>
      <c r="J1311">
        <f t="shared" si="215"/>
        <v>0.39659799440882215</v>
      </c>
      <c r="K1311">
        <f t="shared" si="209"/>
        <v>22.643344830250733</v>
      </c>
      <c r="L1311">
        <f>0.5*Z1311*K1311/J1311/$B$7</f>
        <v>28.546973445999658</v>
      </c>
      <c r="M1311">
        <f t="shared" si="212"/>
        <v>0.92483211987135061</v>
      </c>
      <c r="N1311" s="21">
        <f t="shared" si="216"/>
        <v>7.3339252919066275E-2</v>
      </c>
      <c r="O1311" s="21">
        <f t="shared" si="217"/>
        <v>22.935738122631044</v>
      </c>
      <c r="P1311">
        <f t="shared" si="213"/>
        <v>0.894412888585985</v>
      </c>
      <c r="Q1311">
        <f t="shared" si="210"/>
        <v>0.39659799440882215</v>
      </c>
      <c r="R1311">
        <f t="shared" si="211"/>
        <v>0.41656435741282599</v>
      </c>
      <c r="T1311" s="21">
        <f>(M1311-M1310)/(H1311-H1310)</f>
        <v>8.2181366871891814E-4</v>
      </c>
      <c r="W1311">
        <v>1196</v>
      </c>
      <c r="X1311">
        <v>23.083070000000003</v>
      </c>
      <c r="Y1311">
        <v>1</v>
      </c>
      <c r="Z1311">
        <f t="shared" si="208"/>
        <v>1</v>
      </c>
      <c r="AA1311" s="21">
        <f>IF(X1311&gt;$B$8+$B$9,0,ABS(X1311-O1311)/X1311)</f>
        <v>6.382681219134159E-3</v>
      </c>
      <c r="AB1311">
        <f>IF(OR(Z1308&lt;&gt;Z1314,X1311&gt;$B$8+$B$9),0,((X1314-X1308)/(W1314-W1308)-(O1314-O1308)/(W1314-W1308))^2)</f>
        <v>3.0613717880602742E-6</v>
      </c>
    </row>
    <row r="1312" spans="7:28" x14ac:dyDescent="0.2">
      <c r="G1312" s="21"/>
      <c r="H1312" s="21">
        <v>1197</v>
      </c>
      <c r="I1312">
        <f t="shared" si="214"/>
        <v>1.1220158234336816E-2</v>
      </c>
      <c r="J1312">
        <f t="shared" si="215"/>
        <v>0.39627170561130387</v>
      </c>
      <c r="K1312">
        <f t="shared" si="209"/>
        <v>22.642023660388077</v>
      </c>
      <c r="L1312">
        <f>0.5*Z1312*K1312/J1312/$B$7</f>
        <v>28.56881192849692</v>
      </c>
      <c r="M1312">
        <f t="shared" si="212"/>
        <v>0.92565517772292361</v>
      </c>
      <c r="N1312" s="21">
        <f t="shared" si="216"/>
        <v>7.3371310810080234E-2</v>
      </c>
      <c r="O1312" s="21">
        <f t="shared" si="217"/>
        <v>22.946958280865381</v>
      </c>
      <c r="P1312">
        <f t="shared" si="213"/>
        <v>0.89489654111480887</v>
      </c>
      <c r="Q1312">
        <f t="shared" si="210"/>
        <v>0.39627170561130387</v>
      </c>
      <c r="R1312">
        <f t="shared" si="211"/>
        <v>0.41603020306467403</v>
      </c>
      <c r="T1312" s="21">
        <f>(M1312-M1311)/(H1312-H1311)</f>
        <v>8.2305785157299471E-4</v>
      </c>
      <c r="W1312">
        <v>1197</v>
      </c>
      <c r="X1312">
        <v>23.091182</v>
      </c>
      <c r="Y1312">
        <v>1</v>
      </c>
      <c r="Z1312">
        <f t="shared" si="208"/>
        <v>1</v>
      </c>
      <c r="AA1312" s="21">
        <f>IF(X1312&gt;$B$8+$B$9,0,ABS(X1312-O1312)/X1312)</f>
        <v>6.2458352774933191E-3</v>
      </c>
      <c r="AB1312">
        <f>IF(OR(Z1309&lt;&gt;Z1315,X1312&gt;$B$8+$B$9),0,((X1315-X1309)/(W1315-W1309)-(O1315-O1309)/(W1315-W1309))^2)</f>
        <v>8.0851020869264229E-6</v>
      </c>
    </row>
    <row r="1313" spans="7:28" x14ac:dyDescent="0.2">
      <c r="G1313" s="21"/>
      <c r="H1313" s="21">
        <v>1198</v>
      </c>
      <c r="I1313">
        <f t="shared" si="214"/>
        <v>1.1232264977684465E-2</v>
      </c>
      <c r="J1313">
        <f t="shared" si="215"/>
        <v>0.39594519092767622</v>
      </c>
      <c r="K1313">
        <f t="shared" si="209"/>
        <v>22.640707850828679</v>
      </c>
      <c r="L1313">
        <f>0.5*Z1313*K1313/J1313/$B$7</f>
        <v>28.590709484035955</v>
      </c>
      <c r="M1313">
        <f t="shared" si="212"/>
        <v>0.92647948405504676</v>
      </c>
      <c r="N1313" s="21">
        <f t="shared" si="216"/>
        <v>7.3403422896999554E-2</v>
      </c>
      <c r="O1313" s="21">
        <f t="shared" si="217"/>
        <v>22.958190545843067</v>
      </c>
      <c r="P1313">
        <f t="shared" si="213"/>
        <v>0.89538052847090499</v>
      </c>
      <c r="Q1313">
        <f t="shared" si="210"/>
        <v>0.39594519092767622</v>
      </c>
      <c r="R1313">
        <f t="shared" si="211"/>
        <v>0.41549704846942304</v>
      </c>
      <c r="T1313" s="21">
        <f>(M1313-M1312)/(H1313-H1312)</f>
        <v>8.2430633212315918E-4</v>
      </c>
      <c r="W1313">
        <v>1198</v>
      </c>
      <c r="X1313">
        <v>23.110651999999998</v>
      </c>
      <c r="Y1313">
        <v>1</v>
      </c>
      <c r="Z1313">
        <f t="shared" si="208"/>
        <v>1</v>
      </c>
      <c r="AA1313" s="21">
        <f>IF(X1313&gt;$B$8+$B$9,0,ABS(X1313-O1313)/X1313)</f>
        <v>6.5970208956861696E-3</v>
      </c>
      <c r="AB1313">
        <f>IF(OR(Z1310&lt;&gt;Z1316,X1313&gt;$B$8+$B$9),0,((X1316-X1310)/(W1316-W1310)-(O1316-O1310)/(W1316-W1310))^2)</f>
        <v>6.5149584438119705E-6</v>
      </c>
    </row>
    <row r="1314" spans="7:28" x14ac:dyDescent="0.2">
      <c r="G1314" s="21"/>
      <c r="H1314" s="21">
        <v>1199</v>
      </c>
      <c r="I1314">
        <f t="shared" si="214"/>
        <v>1.1244411649358644E-2</v>
      </c>
      <c r="J1314">
        <f t="shared" si="215"/>
        <v>0.39561844965027948</v>
      </c>
      <c r="K1314">
        <f t="shared" si="209"/>
        <v>22.639397408909108</v>
      </c>
      <c r="L1314">
        <f>0.5*Z1314*K1314/J1314/$B$7</f>
        <v>28.612666356842031</v>
      </c>
      <c r="M1314">
        <f t="shared" si="212"/>
        <v>0.92730504318688267</v>
      </c>
      <c r="N1314" s="21">
        <f t="shared" si="216"/>
        <v>7.3435589421175979E-2</v>
      </c>
      <c r="O1314" s="21">
        <f t="shared" si="217"/>
        <v>22.969434957492425</v>
      </c>
      <c r="P1314">
        <f t="shared" si="213"/>
        <v>0.89586485170322561</v>
      </c>
      <c r="Q1314">
        <f t="shared" si="210"/>
        <v>0.39561844965027948</v>
      </c>
      <c r="R1314">
        <f t="shared" si="211"/>
        <v>0.41496489005350917</v>
      </c>
      <c r="T1314" s="21">
        <f>(M1314-M1313)/(H1314-H1313)</f>
        <v>8.2555913183590679E-4</v>
      </c>
      <c r="W1314">
        <v>1199</v>
      </c>
      <c r="X1314">
        <v>23.110651999999998</v>
      </c>
      <c r="Y1314">
        <v>1</v>
      </c>
      <c r="Z1314">
        <f t="shared" si="208"/>
        <v>1</v>
      </c>
      <c r="AA1314" s="21">
        <f>IF(X1314&gt;$B$8+$B$9,0,ABS(X1314-O1314)/X1314)</f>
        <v>6.1104741877283956E-3</v>
      </c>
      <c r="AB1314">
        <f>IF(OR(Z1311&lt;&gt;Z1317,X1314&gt;$B$8+$B$9),0,((X1317-X1311)/(W1317-W1311)-(O1317-O1311)/(W1317-W1311))^2)</f>
        <v>4.1918032411299439E-7</v>
      </c>
    </row>
    <row r="1315" spans="7:28" x14ac:dyDescent="0.2">
      <c r="G1315" s="21"/>
      <c r="H1315" s="21">
        <v>1200</v>
      </c>
      <c r="I1315">
        <f t="shared" si="214"/>
        <v>1.1256598427133136E-2</v>
      </c>
      <c r="J1315">
        <f t="shared" si="215"/>
        <v>0.3952914810685767</v>
      </c>
      <c r="K1315">
        <f t="shared" si="209"/>
        <v>22.638092342020492</v>
      </c>
      <c r="L1315">
        <f>0.5*Z1315*K1315/J1315/$B$7</f>
        <v>28.634682792586098</v>
      </c>
      <c r="M1315">
        <f t="shared" si="212"/>
        <v>0.92813185945920484</v>
      </c>
      <c r="N1315" s="21">
        <f t="shared" si="216"/>
        <v>7.3467810625338151E-2</v>
      </c>
      <c r="O1315" s="21">
        <f t="shared" si="217"/>
        <v>22.980691555919559</v>
      </c>
      <c r="P1315">
        <f t="shared" si="213"/>
        <v>0.89634951186498812</v>
      </c>
      <c r="Q1315">
        <f t="shared" si="210"/>
        <v>0.3952914810685767</v>
      </c>
      <c r="R1315">
        <f t="shared" si="211"/>
        <v>0.41443372425757874</v>
      </c>
      <c r="T1315" s="21">
        <f>(M1315-M1314)/(H1315-H1314)</f>
        <v>8.2681627232217281E-4</v>
      </c>
      <c r="W1315">
        <v>1200</v>
      </c>
      <c r="X1315">
        <v>23.120386999999997</v>
      </c>
      <c r="Y1315">
        <v>1</v>
      </c>
      <c r="Z1315">
        <f t="shared" si="208"/>
        <v>1</v>
      </c>
      <c r="AA1315" s="21">
        <f>IF(X1315&gt;$B$8+$B$9,0,ABS(X1315-O1315)/X1315)</f>
        <v>6.0420893508589578E-3</v>
      </c>
      <c r="AB1315">
        <f>IF(OR(Z1312&lt;&gt;Z1318,X1315&gt;$B$8+$B$9),0,((X1318-X1312)/(W1318-W1312)-(O1318-O1312)/(W1318-W1312))^2)</f>
        <v>2.0925576509656739E-6</v>
      </c>
    </row>
    <row r="1316" spans="7:28" x14ac:dyDescent="0.2">
      <c r="G1316" s="21"/>
      <c r="H1316" s="21">
        <v>1201</v>
      </c>
      <c r="I1316">
        <f t="shared" si="214"/>
        <v>1.1268825489901031E-2</v>
      </c>
      <c r="J1316">
        <f t="shared" si="215"/>
        <v>0.3949642844691359</v>
      </c>
      <c r="K1316">
        <f t="shared" si="209"/>
        <v>22.636792657608826</v>
      </c>
      <c r="L1316">
        <f>0.5*Z1316*K1316/J1316/$B$7</f>
        <v>28.65675903839573</v>
      </c>
      <c r="M1316">
        <f t="shared" si="212"/>
        <v>0.92895993723454406</v>
      </c>
      <c r="N1316" s="21">
        <f t="shared" si="216"/>
        <v>7.3500086753602228E-2</v>
      </c>
      <c r="O1316" s="21">
        <f t="shared" si="217"/>
        <v>22.991960381409459</v>
      </c>
      <c r="P1316">
        <f t="shared" si="213"/>
        <v>0.89683451001370107</v>
      </c>
      <c r="Q1316">
        <f t="shared" si="210"/>
        <v>0.3949642844691359</v>
      </c>
      <c r="R1316">
        <f t="shared" si="211"/>
        <v>0.41390354753640285</v>
      </c>
      <c r="T1316" s="21">
        <f>(M1316-M1315)/(H1316-H1315)</f>
        <v>8.2807777533921989E-4</v>
      </c>
      <c r="W1316">
        <v>1201</v>
      </c>
      <c r="X1316">
        <v>23.151213000000002</v>
      </c>
      <c r="Y1316">
        <v>1</v>
      </c>
      <c r="Z1316">
        <f t="shared" si="208"/>
        <v>1</v>
      </c>
      <c r="AA1316" s="21">
        <f>IF(X1316&gt;$B$8+$B$9,0,ABS(X1316-O1316)/X1316)</f>
        <v>6.8788023586730737E-3</v>
      </c>
      <c r="AB1316">
        <f>IF(OR(Z1313&lt;&gt;Z1319,X1316&gt;$B$8+$B$9),0,((X1319-X1313)/(W1319-W1313)-(O1319-O1313)/(W1319-W1313))^2)</f>
        <v>2.1038733777973276E-7</v>
      </c>
    </row>
    <row r="1317" spans="7:28" x14ac:dyDescent="0.2">
      <c r="G1317" s="21"/>
      <c r="H1317" s="21">
        <v>1202</v>
      </c>
      <c r="I1317">
        <f t="shared" si="214"/>
        <v>1.1281093017683409E-2</v>
      </c>
      <c r="J1317">
        <f t="shared" si="215"/>
        <v>0.39463685913561253</v>
      </c>
      <c r="K1317">
        <f t="shared" si="209"/>
        <v>22.63549836317527</v>
      </c>
      <c r="L1317">
        <f>0.5*Z1317*K1317/J1317/$B$7</f>
        <v>28.678895342866131</v>
      </c>
      <c r="M1317">
        <f t="shared" si="212"/>
        <v>0.92978928089733515</v>
      </c>
      <c r="N1317" s="21">
        <f t="shared" si="216"/>
        <v>7.3532418051482279E-2</v>
      </c>
      <c r="O1317" s="21">
        <f t="shared" si="217"/>
        <v>23.003241474427142</v>
      </c>
      <c r="P1317">
        <f t="shared" si="213"/>
        <v>0.89731984721118996</v>
      </c>
      <c r="Q1317">
        <f t="shared" si="210"/>
        <v>0.39463685913561253</v>
      </c>
      <c r="R1317">
        <f t="shared" si="211"/>
        <v>0.41337435635879299</v>
      </c>
      <c r="T1317" s="21">
        <f>(M1317-M1316)/(H1317-H1316)</f>
        <v>8.2934366279108218E-4</v>
      </c>
      <c r="W1317">
        <v>1202</v>
      </c>
      <c r="X1317">
        <v>23.154458000000002</v>
      </c>
      <c r="Y1317">
        <v>1</v>
      </c>
      <c r="Z1317">
        <f t="shared" si="208"/>
        <v>1</v>
      </c>
      <c r="AA1317" s="21">
        <f>IF(X1317&gt;$B$8+$B$9,0,ABS(X1317-O1317)/X1317)</f>
        <v>6.5307737098773671E-3</v>
      </c>
      <c r="AB1317">
        <f>IF(OR(Z1314&lt;&gt;Z1320,X1317&gt;$B$8+$B$9),0,((X1320-X1314)/(W1320-W1314)-(O1320-O1314)/(W1320-W1314))^2)</f>
        <v>2.4377575564420947E-5</v>
      </c>
    </row>
    <row r="1318" spans="7:28" x14ac:dyDescent="0.2">
      <c r="G1318" s="21"/>
      <c r="H1318" s="21">
        <v>1203</v>
      </c>
      <c r="I1318">
        <f t="shared" si="214"/>
        <v>1.1293401191638309E-2</v>
      </c>
      <c r="J1318">
        <f t="shared" si="215"/>
        <v>0.39430920434873196</v>
      </c>
      <c r="K1318">
        <f t="shared" si="209"/>
        <v>22.634209466276452</v>
      </c>
      <c r="L1318">
        <f>0.5*Z1318*K1318/J1318/$B$7</f>
        <v>28.701091956071203</v>
      </c>
      <c r="M1318">
        <f t="shared" si="212"/>
        <v>0.93061989485406482</v>
      </c>
      <c r="N1318" s="21">
        <f t="shared" si="216"/>
        <v>7.356480476590084E-2</v>
      </c>
      <c r="O1318" s="21">
        <f t="shared" si="217"/>
        <v>23.014534875618779</v>
      </c>
      <c r="P1318">
        <f t="shared" si="213"/>
        <v>0.89780552452362405</v>
      </c>
      <c r="Q1318">
        <f t="shared" si="210"/>
        <v>0.39430920434873196</v>
      </c>
      <c r="R1318">
        <f t="shared" si="211"/>
        <v>0.41284614720751633</v>
      </c>
      <c r="T1318" s="21">
        <f>(M1318-M1317)/(H1318-H1317)</f>
        <v>8.3061395672967553E-4</v>
      </c>
      <c r="W1318">
        <v>1203</v>
      </c>
      <c r="X1318">
        <v>23.167438000000001</v>
      </c>
      <c r="Y1318">
        <v>1</v>
      </c>
      <c r="Z1318">
        <f t="shared" si="208"/>
        <v>1</v>
      </c>
      <c r="AA1318" s="21">
        <f>IF(X1318&gt;$B$8+$B$9,0,ABS(X1318-O1318)/X1318)</f>
        <v>6.599915121439928E-3</v>
      </c>
      <c r="AB1318">
        <f>IF(OR(Z1315&lt;&gt;Z1321,X1318&gt;$B$8+$B$9),0,((X1321-X1315)/(W1321-W1315)-(O1321-O1315)/(W1321-W1315))^2)</f>
        <v>6.2060927849043701E-6</v>
      </c>
    </row>
    <row r="1319" spans="7:28" x14ac:dyDescent="0.2">
      <c r="G1319" s="21"/>
      <c r="H1319" s="21">
        <v>1204</v>
      </c>
      <c r="I1319">
        <f t="shared" si="214"/>
        <v>1.130575019406955E-2</v>
      </c>
      <c r="J1319">
        <f t="shared" si="215"/>
        <v>0.39398131938627168</v>
      </c>
      <c r="K1319">
        <f t="shared" si="209"/>
        <v>22.632925974524806</v>
      </c>
      <c r="L1319">
        <f>0.5*Z1319*K1319/J1319/$B$7</f>
        <v>28.723349129574814</v>
      </c>
      <c r="M1319">
        <f t="shared" si="212"/>
        <v>0.93145178353342084</v>
      </c>
      <c r="N1319" s="21">
        <f t="shared" si="216"/>
        <v>7.3597247145199593E-2</v>
      </c>
      <c r="O1319" s="21">
        <f t="shared" si="217"/>
        <v>23.025840625812847</v>
      </c>
      <c r="P1319">
        <f t="shared" si="213"/>
        <v>0.89829154302154191</v>
      </c>
      <c r="Q1319">
        <f t="shared" si="210"/>
        <v>0.39398131938627168</v>
      </c>
      <c r="R1319">
        <f t="shared" si="211"/>
        <v>0.41231891657921332</v>
      </c>
      <c r="T1319" s="21">
        <f>(M1319-M1318)/(H1319-H1318)</f>
        <v>8.3188867935601873E-4</v>
      </c>
      <c r="W1319">
        <v>1204</v>
      </c>
      <c r="X1319">
        <v>23.175549999999998</v>
      </c>
      <c r="Y1319">
        <v>1</v>
      </c>
      <c r="Z1319">
        <f t="shared" si="208"/>
        <v>1</v>
      </c>
      <c r="AA1319" s="21">
        <f>IF(X1319&gt;$B$8+$B$9,0,ABS(X1319-O1319)/X1319)</f>
        <v>6.4597981142691437E-3</v>
      </c>
      <c r="AB1319">
        <f>IF(OR(Z1316&lt;&gt;Z1322,X1319&gt;$B$8+$B$9),0,((X1322-X1316)/(W1322-W1316)-(O1322-O1316)/(W1322-W1316))^2)</f>
        <v>2.0551104488851554E-9</v>
      </c>
    </row>
    <row r="1320" spans="7:28" x14ac:dyDescent="0.2">
      <c r="G1320" s="21"/>
      <c r="H1320" s="21">
        <v>1205</v>
      </c>
      <c r="I1320">
        <f t="shared" si="214"/>
        <v>1.1318140208435881E-2</v>
      </c>
      <c r="J1320">
        <f t="shared" si="215"/>
        <v>0.39365320352304312</v>
      </c>
      <c r="K1320">
        <f t="shared" si="209"/>
        <v>22.631647895588852</v>
      </c>
      <c r="L1320">
        <f>0.5*Z1320*K1320/J1320/$B$7</f>
        <v>28.745667116442089</v>
      </c>
      <c r="M1320">
        <f t="shared" si="212"/>
        <v>0.93228495138644285</v>
      </c>
      <c r="N1320" s="21">
        <f t="shared" si="216"/>
        <v>7.3629745439150227E-2</v>
      </c>
      <c r="O1320" s="21">
        <f t="shared" si="217"/>
        <v>23.037158766021282</v>
      </c>
      <c r="P1320">
        <f t="shared" si="213"/>
        <v>0.89877790377987843</v>
      </c>
      <c r="Q1320">
        <f t="shared" si="210"/>
        <v>0.39365320352304312</v>
      </c>
      <c r="R1320">
        <f t="shared" si="211"/>
        <v>0.41179266098431377</v>
      </c>
      <c r="T1320" s="21">
        <f>(M1320-M1319)/(H1320-H1319)</f>
        <v>8.3316785302200991E-4</v>
      </c>
      <c r="W1320">
        <v>1205</v>
      </c>
      <c r="X1320">
        <v>23.208000000000002</v>
      </c>
      <c r="Y1320">
        <v>1</v>
      </c>
      <c r="Z1320">
        <f t="shared" si="208"/>
        <v>1</v>
      </c>
      <c r="AA1320" s="21">
        <f>IF(X1320&gt;$B$8+$B$9,0,ABS(X1320-O1320)/X1320)</f>
        <v>7.3613079101482329E-3</v>
      </c>
      <c r="AB1320">
        <f>IF(OR(Z1317&lt;&gt;Z1323,X1320&gt;$B$8+$B$9),0,((X1323-X1317)/(W1323-W1317)-(O1323-O1317)/(W1323-W1317))^2)</f>
        <v>1.9180102380394605E-6</v>
      </c>
    </row>
    <row r="1321" spans="7:28" x14ac:dyDescent="0.2">
      <c r="G1321" s="21"/>
      <c r="H1321" s="21">
        <v>1206</v>
      </c>
      <c r="I1321">
        <f t="shared" si="214"/>
        <v>1.1330571419360029E-2</v>
      </c>
      <c r="J1321">
        <f t="shared" si="215"/>
        <v>0.3933248560308733</v>
      </c>
      <c r="K1321">
        <f t="shared" si="209"/>
        <v>22.630375237193519</v>
      </c>
      <c r="L1321">
        <f>0.5*Z1321*K1321/J1321/$B$7</f>
        <v>28.768046171250859</v>
      </c>
      <c r="M1321">
        <f t="shared" si="212"/>
        <v>0.93311940288667539</v>
      </c>
      <c r="N1321" s="21">
        <f t="shared" si="216"/>
        <v>7.3662299898965306E-2</v>
      </c>
      <c r="O1321" s="21">
        <f t="shared" si="217"/>
        <v>23.048489337440643</v>
      </c>
      <c r="P1321">
        <f t="shared" si="213"/>
        <v>0.89926460787799267</v>
      </c>
      <c r="Q1321">
        <f t="shared" si="210"/>
        <v>0.3933248560308733</v>
      </c>
      <c r="R1321">
        <f t="shared" si="211"/>
        <v>0.41126737694695337</v>
      </c>
      <c r="T1321" s="21">
        <f>(M1321-M1320)/(H1321-H1320)</f>
        <v>8.3445150023253589E-4</v>
      </c>
      <c r="W1321">
        <v>1206</v>
      </c>
      <c r="X1321">
        <v>23.203132</v>
      </c>
      <c r="Y1321">
        <v>1</v>
      </c>
      <c r="Z1321">
        <f t="shared" si="208"/>
        <v>1</v>
      </c>
      <c r="AA1321" s="21">
        <f>IF(X1321&gt;$B$8+$B$9,0,ABS(X1321-O1321)/X1321)</f>
        <v>6.6647322680126776E-3</v>
      </c>
      <c r="AB1321">
        <f>IF(OR(Z1318&lt;&gt;Z1324,X1321&gt;$B$8+$B$9),0,((X1324-X1318)/(W1324-W1318)-(O1324-O1318)/(W1324-W1318))^2)</f>
        <v>8.4566762358191707E-8</v>
      </c>
    </row>
    <row r="1322" spans="7:28" x14ac:dyDescent="0.2">
      <c r="G1322" s="21"/>
      <c r="H1322" s="21">
        <v>1207</v>
      </c>
      <c r="I1322">
        <f t="shared" si="214"/>
        <v>1.1343044012637943E-2</v>
      </c>
      <c r="J1322">
        <f t="shared" si="215"/>
        <v>0.3929962761785879</v>
      </c>
      <c r="K1322">
        <f t="shared" si="209"/>
        <v>22.62910800712049</v>
      </c>
      <c r="L1322">
        <f>0.5*Z1322*K1322/J1322/$B$7</f>
        <v>28.790486550103118</v>
      </c>
      <c r="M1322">
        <f t="shared" si="212"/>
        <v>0.93395514253031731</v>
      </c>
      <c r="N1322" s="21">
        <f t="shared" si="216"/>
        <v>7.3694910777309011E-2</v>
      </c>
      <c r="O1322" s="21">
        <f t="shared" si="217"/>
        <v>23.05983238145328</v>
      </c>
      <c r="P1322">
        <f t="shared" si="213"/>
        <v>0.89975165639969235</v>
      </c>
      <c r="Q1322">
        <f t="shared" si="210"/>
        <v>0.3929962761785879</v>
      </c>
      <c r="R1322">
        <f t="shared" si="211"/>
        <v>0.41074306100489427</v>
      </c>
      <c r="T1322" s="21">
        <f>(M1322-M1321)/(H1322-H1321)</f>
        <v>8.3573964364191955E-4</v>
      </c>
      <c r="W1322">
        <v>1207</v>
      </c>
      <c r="X1322">
        <v>23.219356999999999</v>
      </c>
      <c r="Y1322">
        <v>1</v>
      </c>
      <c r="Z1322">
        <f t="shared" si="208"/>
        <v>1</v>
      </c>
      <c r="AA1322" s="21">
        <f>IF(X1322&gt;$B$8+$B$9,0,ABS(X1322-O1322)/X1322)</f>
        <v>6.8703288616785967E-3</v>
      </c>
      <c r="AB1322">
        <f>IF(OR(Z1319&lt;&gt;Z1325,X1322&gt;$B$8+$B$9),0,((X1325-X1319)/(W1325-W1319)-(O1325-O1319)/(W1325-W1319))^2)</f>
        <v>2.6584542293595616E-6</v>
      </c>
    </row>
    <row r="1323" spans="7:28" x14ac:dyDescent="0.2">
      <c r="G1323" s="21"/>
      <c r="H1323" s="21">
        <v>1208</v>
      </c>
      <c r="I1323">
        <f t="shared" si="214"/>
        <v>1.135555817524803E-2</v>
      </c>
      <c r="J1323">
        <f t="shared" si="215"/>
        <v>0.39266746323199109</v>
      </c>
      <c r="K1323">
        <f t="shared" si="209"/>
        <v>22.627846213208493</v>
      </c>
      <c r="L1323">
        <f>0.5*Z1323*K1323/J1323/$B$7</f>
        <v>28.812988510636771</v>
      </c>
      <c r="M1323">
        <f t="shared" si="212"/>
        <v>0.93479217483638077</v>
      </c>
      <c r="N1323" s="21">
        <f t="shared" si="216"/>
        <v>7.3727578328308591E-2</v>
      </c>
      <c r="O1323" s="21">
        <f t="shared" si="217"/>
        <v>23.071187939628526</v>
      </c>
      <c r="P1323">
        <f t="shared" si="213"/>
        <v>0.90023905043326369</v>
      </c>
      <c r="Q1323">
        <f t="shared" si="210"/>
        <v>0.39266746323199109</v>
      </c>
      <c r="R1323">
        <f t="shared" si="211"/>
        <v>0.41021970970944038</v>
      </c>
      <c r="T1323" s="21">
        <f>(M1323-M1322)/(H1323-H1322)</f>
        <v>8.3703230606346768E-4</v>
      </c>
      <c r="W1323">
        <v>1208</v>
      </c>
      <c r="X1323">
        <v>23.230714000000003</v>
      </c>
      <c r="Y1323">
        <v>1</v>
      </c>
      <c r="Z1323">
        <f t="shared" si="208"/>
        <v>1</v>
      </c>
      <c r="AA1323" s="21">
        <f>IF(X1323&gt;$B$8+$B$9,0,ABS(X1323-O1323)/X1323)</f>
        <v>6.8670321700605632E-3</v>
      </c>
      <c r="AB1323">
        <f>IF(OR(Z1320&lt;&gt;Z1326,X1323&gt;$B$8+$B$9),0,((X1326-X1320)/(W1326-W1320)-(O1326-O1320)/(W1326-W1320))^2)</f>
        <v>1.0559631129220107E-5</v>
      </c>
    </row>
    <row r="1324" spans="7:28" x14ac:dyDescent="0.2">
      <c r="G1324" s="21"/>
      <c r="H1324" s="21">
        <v>1209</v>
      </c>
      <c r="I1324">
        <f t="shared" si="214"/>
        <v>1.1368114095360628E-2</v>
      </c>
      <c r="J1324">
        <f t="shared" si="215"/>
        <v>0.39233841645384815</v>
      </c>
      <c r="K1324">
        <f t="shared" si="209"/>
        <v>22.626589863353633</v>
      </c>
      <c r="L1324">
        <f>0.5*Z1324*K1324/J1324/$B$7</f>
        <v>28.835552312037308</v>
      </c>
      <c r="M1324">
        <f t="shared" si="212"/>
        <v>0.93563050434684436</v>
      </c>
      <c r="N1324" s="21">
        <f t="shared" si="216"/>
        <v>7.376030280756532E-2</v>
      </c>
      <c r="O1324" s="21">
        <f t="shared" si="217"/>
        <v>23.082556053723888</v>
      </c>
      <c r="P1324">
        <f t="shared" si="213"/>
        <v>0.90072679107149767</v>
      </c>
      <c r="Q1324">
        <f t="shared" si="210"/>
        <v>0.39233841645384815</v>
      </c>
      <c r="R1324">
        <f t="shared" si="211"/>
        <v>0.40969731962535771</v>
      </c>
      <c r="T1324" s="21">
        <f>(M1324-M1323)/(H1324-H1323)</f>
        <v>8.3832951046358684E-4</v>
      </c>
      <c r="W1324">
        <v>1209</v>
      </c>
      <c r="X1324">
        <v>23.237204000000002</v>
      </c>
      <c r="Y1324">
        <v>1</v>
      </c>
      <c r="Z1324">
        <f t="shared" si="208"/>
        <v>1</v>
      </c>
      <c r="AA1324" s="21">
        <f>IF(X1324&gt;$B$8+$B$9,0,ABS(X1324-O1324)/X1324)</f>
        <v>6.6551873571413364E-3</v>
      </c>
      <c r="AB1324">
        <f>IF(OR(Z1321&lt;&gt;Z1327,X1324&gt;$B$8+$B$9),0,((X1327-X1321)/(W1327-W1321)-(O1327-O1321)/(W1327-W1321))^2)</f>
        <v>2.6884053997182418E-6</v>
      </c>
    </row>
    <row r="1325" spans="7:28" x14ac:dyDescent="0.2">
      <c r="G1325" s="21"/>
      <c r="H1325" s="21">
        <v>1210</v>
      </c>
      <c r="I1325">
        <f t="shared" si="214"/>
        <v>1.1380711962347393E-2</v>
      </c>
      <c r="J1325">
        <f t="shared" si="215"/>
        <v>0.39200913510386681</v>
      </c>
      <c r="K1325">
        <f t="shared" si="209"/>
        <v>22.625338965509727</v>
      </c>
      <c r="L1325">
        <f>0.5*Z1325*K1325/J1325/$B$7</f>
        <v>28.858178215049648</v>
      </c>
      <c r="M1325">
        <f t="shared" si="212"/>
        <v>0.93647013562680981</v>
      </c>
      <c r="N1325" s="21">
        <f t="shared" si="216"/>
        <v>7.3793084472165774E-2</v>
      </c>
      <c r="O1325" s="21">
        <f t="shared" si="217"/>
        <v>23.093936765686234</v>
      </c>
      <c r="P1325">
        <f t="shared" si="213"/>
        <v>0.90121487941171752</v>
      </c>
      <c r="Q1325">
        <f t="shared" si="210"/>
        <v>0.39200913510386681</v>
      </c>
      <c r="R1325">
        <f t="shared" si="211"/>
        <v>0.40917588733079363</v>
      </c>
      <c r="T1325" s="21">
        <f>(M1325-M1324)/(H1325-H1324)</f>
        <v>8.3963127996544706E-4</v>
      </c>
      <c r="W1325">
        <v>1210</v>
      </c>
      <c r="X1325">
        <v>23.253429000000001</v>
      </c>
      <c r="Y1325">
        <v>1</v>
      </c>
      <c r="Z1325">
        <f t="shared" si="208"/>
        <v>1</v>
      </c>
      <c r="AA1325" s="21">
        <f>IF(X1325&gt;$B$8+$B$9,0,ABS(X1325-O1325)/X1325)</f>
        <v>6.8588694731330502E-3</v>
      </c>
      <c r="AB1325">
        <f>IF(OR(Z1322&lt;&gt;Z1328,X1325&gt;$B$8+$B$9),0,((X1328-X1322)/(W1328-W1322)-(O1328-O1322)/(W1328-W1322))^2)</f>
        <v>2.6103078959564787E-7</v>
      </c>
    </row>
    <row r="1326" spans="7:28" x14ac:dyDescent="0.2">
      <c r="G1326" s="21"/>
      <c r="H1326" s="21">
        <v>1211</v>
      </c>
      <c r="I1326">
        <f t="shared" si="214"/>
        <v>1.1393351966790935E-2</v>
      </c>
      <c r="J1326">
        <f t="shared" si="215"/>
        <v>0.39167961843867782</v>
      </c>
      <c r="K1326">
        <f t="shared" si="209"/>
        <v>22.624093527688625</v>
      </c>
      <c r="L1326">
        <f>0.5*Z1326*K1326/J1326/$B$7</f>
        <v>28.880866481990179</v>
      </c>
      <c r="M1326">
        <f t="shared" si="212"/>
        <v>0.93731107326466234</v>
      </c>
      <c r="N1326" s="21">
        <f t="shared" si="216"/>
        <v>7.3825923580693287E-2</v>
      </c>
      <c r="O1326" s="21">
        <f t="shared" si="217"/>
        <v>23.105330117653025</v>
      </c>
      <c r="P1326">
        <f t="shared" si="213"/>
        <v>0.90170331655580716</v>
      </c>
      <c r="Q1326">
        <f t="shared" si="210"/>
        <v>0.39167961843867782</v>
      </c>
      <c r="R1326">
        <f t="shared" si="211"/>
        <v>0.40865540941719602</v>
      </c>
      <c r="T1326" s="21">
        <f>(M1326-M1325)/(H1326-H1325)</f>
        <v>8.4093763785253461E-4</v>
      </c>
      <c r="W1326">
        <v>1211</v>
      </c>
      <c r="X1326">
        <v>23.256674</v>
      </c>
      <c r="Y1326">
        <v>1</v>
      </c>
      <c r="Z1326">
        <f t="shared" si="208"/>
        <v>1</v>
      </c>
      <c r="AA1326" s="21">
        <f>IF(X1326&gt;$B$8+$B$9,0,ABS(X1326-O1326)/X1326)</f>
        <v>6.5075462788434331E-3</v>
      </c>
      <c r="AB1326">
        <f>IF(OR(Z1323&lt;&gt;Z1329,X1326&gt;$B$8+$B$9),0,((X1329-X1323)/(W1329-W1323)-(O1329-O1323)/(W1329-W1323))^2)</f>
        <v>3.4018021460011993E-7</v>
      </c>
    </row>
    <row r="1327" spans="7:28" x14ac:dyDescent="0.2">
      <c r="G1327" s="21"/>
      <c r="H1327" s="21">
        <v>1212</v>
      </c>
      <c r="I1327">
        <f t="shared" si="214"/>
        <v>1.1406034300494425E-2</v>
      </c>
      <c r="J1327">
        <f t="shared" si="215"/>
        <v>0.39134986571181651</v>
      </c>
      <c r="K1327">
        <f t="shared" si="209"/>
        <v>22.622853557960546</v>
      </c>
      <c r="L1327">
        <f>0.5*Z1327*K1327/J1327/$B$7</f>
        <v>28.903617376758774</v>
      </c>
      <c r="M1327">
        <f t="shared" si="212"/>
        <v>0.938153321872229</v>
      </c>
      <c r="N1327" s="21">
        <f t="shared" si="216"/>
        <v>7.385882039323953E-2</v>
      </c>
      <c r="O1327" s="21">
        <f t="shared" si="217"/>
        <v>23.116736151953521</v>
      </c>
      <c r="P1327">
        <f t="shared" si="213"/>
        <v>0.90219210361023894</v>
      </c>
      <c r="Q1327">
        <f t="shared" si="210"/>
        <v>0.39134986571181651</v>
      </c>
      <c r="R1327">
        <f t="shared" si="211"/>
        <v>0.4081358824892336</v>
      </c>
      <c r="T1327" s="21">
        <f>(M1327-M1326)/(H1327-H1326)</f>
        <v>8.4224860756665354E-4</v>
      </c>
      <c r="W1327">
        <v>1212</v>
      </c>
      <c r="X1327">
        <v>23.261540999999998</v>
      </c>
      <c r="Y1327">
        <v>1</v>
      </c>
      <c r="Z1327">
        <f t="shared" si="208"/>
        <v>1</v>
      </c>
      <c r="AA1327" s="21">
        <f>IF(X1327&gt;$B$8+$B$9,0,ABS(X1327-O1327)/X1327)</f>
        <v>6.225075460240417E-3</v>
      </c>
      <c r="AB1327">
        <f>IF(OR(Z1324&lt;&gt;Z1330,X1327&gt;$B$8+$B$9),0,((X1330-X1324)/(W1330-W1324)-(O1330-O1324)/(W1330-W1324))^2)</f>
        <v>2.3591722702402697E-7</v>
      </c>
    </row>
    <row r="1328" spans="7:28" x14ac:dyDescent="0.2">
      <c r="G1328" s="21"/>
      <c r="H1328" s="21">
        <v>1213</v>
      </c>
      <c r="I1328">
        <f t="shared" si="214"/>
        <v>1.1418759156491367E-2</v>
      </c>
      <c r="J1328">
        <f t="shared" si="215"/>
        <v>0.39101987617370337</v>
      </c>
      <c r="K1328">
        <f t="shared" si="209"/>
        <v>22.621619064454407</v>
      </c>
      <c r="L1328">
        <f>0.5*Z1328*K1328/J1328/$B$7</f>
        <v>28.926431164851028</v>
      </c>
      <c r="M1328">
        <f t="shared" si="212"/>
        <v>0.9389968860849407</v>
      </c>
      <c r="N1328" s="21">
        <f t="shared" si="216"/>
        <v>7.3891775171415999E-2</v>
      </c>
      <c r="O1328" s="21">
        <f t="shared" si="217"/>
        <v>23.128154911110013</v>
      </c>
      <c r="P1328">
        <f t="shared" si="213"/>
        <v>0.9026812416861022</v>
      </c>
      <c r="Q1328">
        <f t="shared" si="210"/>
        <v>0.39101987617370337</v>
      </c>
      <c r="R1328">
        <f t="shared" si="211"/>
        <v>0.40761730316471673</v>
      </c>
      <c r="T1328" s="21">
        <f>(M1328-M1327)/(H1328-H1327)</f>
        <v>8.4356421271170046E-4</v>
      </c>
      <c r="W1328">
        <v>1213</v>
      </c>
      <c r="X1328">
        <v>23.290744999999998</v>
      </c>
      <c r="Y1328">
        <v>1</v>
      </c>
      <c r="Z1328">
        <f t="shared" si="208"/>
        <v>1</v>
      </c>
      <c r="AA1328" s="21">
        <f>IF(X1328&gt;$B$8+$B$9,0,ABS(X1328-O1328)/X1328)</f>
        <v>6.9808882837360912E-3</v>
      </c>
      <c r="AB1328">
        <f>IF(OR(Z1325&lt;&gt;Z1331,X1328&gt;$B$8+$B$9),0,((X1331-X1325)/(W1331-W1325)-(O1331-O1325)/(W1331-W1325))^2)</f>
        <v>2.2353981261111525E-7</v>
      </c>
    </row>
    <row r="1329" spans="7:28" x14ac:dyDescent="0.2">
      <c r="G1329" s="21"/>
      <c r="H1329" s="21">
        <v>1214</v>
      </c>
      <c r="I1329">
        <f t="shared" si="214"/>
        <v>1.1431526729055464E-2</v>
      </c>
      <c r="J1329">
        <f t="shared" si="215"/>
        <v>0.3906896490716254</v>
      </c>
      <c r="K1329">
        <f t="shared" si="209"/>
        <v>22.620390055358175</v>
      </c>
      <c r="L1329">
        <f>0.5*Z1329*K1329/J1329/$B$7</f>
        <v>28.949308113370524</v>
      </c>
      <c r="M1329">
        <f t="shared" si="212"/>
        <v>0.93984177056199292</v>
      </c>
      <c r="N1329" s="21">
        <f t="shared" si="216"/>
        <v>7.3924788178365675E-2</v>
      </c>
      <c r="O1329" s="21">
        <f t="shared" si="217"/>
        <v>23.139586437839068</v>
      </c>
      <c r="P1329">
        <f t="shared" si="213"/>
        <v>0.90317073189913122</v>
      </c>
      <c r="Q1329">
        <f t="shared" si="210"/>
        <v>0.3906896490716254</v>
      </c>
      <c r="R1329">
        <f t="shared" si="211"/>
        <v>0.40709966807451853</v>
      </c>
      <c r="T1329" s="21">
        <f>(M1329-M1328)/(H1329-H1328)</f>
        <v>8.4488447705222125E-4</v>
      </c>
      <c r="W1329">
        <v>1214</v>
      </c>
      <c r="X1329">
        <v>23.295612999999999</v>
      </c>
      <c r="Y1329">
        <v>1</v>
      </c>
      <c r="Z1329">
        <f t="shared" si="208"/>
        <v>1</v>
      </c>
      <c r="AA1329" s="21">
        <f>IF(X1329&gt;$B$8+$B$9,0,ABS(X1329-O1329)/X1329)</f>
        <v>6.6976800379080735E-3</v>
      </c>
      <c r="AB1329">
        <f>IF(OR(Z1326&lt;&gt;Z1332,X1329&gt;$B$8+$B$9),0,((X1332-X1326)/(W1332-W1326)-(O1332-O1326)/(W1332-W1326))^2)</f>
        <v>2.3767690439508227E-6</v>
      </c>
    </row>
    <row r="1330" spans="7:28" x14ac:dyDescent="0.2">
      <c r="G1330" s="21"/>
      <c r="H1330" s="21">
        <v>1215</v>
      </c>
      <c r="I1330">
        <f t="shared" si="214"/>
        <v>1.1444337213710538E-2</v>
      </c>
      <c r="J1330">
        <f t="shared" si="215"/>
        <v>0.39035918364971545</v>
      </c>
      <c r="K1330">
        <f t="shared" si="209"/>
        <v>22.619166538919181</v>
      </c>
      <c r="L1330">
        <f>0.5*Z1330*K1330/J1330/$B$7</f>
        <v>28.972248491041324</v>
      </c>
      <c r="M1330">
        <f t="shared" si="212"/>
        <v>0.9406879799865131</v>
      </c>
      <c r="N1330" s="21">
        <f t="shared" si="216"/>
        <v>7.3957859678775162E-2</v>
      </c>
      <c r="O1330" s="21">
        <f t="shared" si="217"/>
        <v>23.151030775052778</v>
      </c>
      <c r="P1330">
        <f t="shared" si="213"/>
        <v>0.90366057536973532</v>
      </c>
      <c r="Q1330">
        <f t="shared" si="210"/>
        <v>0.39035918364971545</v>
      </c>
      <c r="R1330">
        <f t="shared" si="211"/>
        <v>0.40658297386249537</v>
      </c>
      <c r="T1330" s="21">
        <f>(M1330-M1329)/(H1330-H1329)</f>
        <v>8.4620942452018344E-4</v>
      </c>
      <c r="W1330">
        <v>1215</v>
      </c>
      <c r="X1330">
        <v>23.308592999999998</v>
      </c>
      <c r="Y1330">
        <v>1</v>
      </c>
      <c r="Z1330">
        <f t="shared" si="208"/>
        <v>1</v>
      </c>
      <c r="AA1330" s="21">
        <f>IF(X1330&gt;$B$8+$B$9,0,ABS(X1330-O1330)/X1330)</f>
        <v>6.7598342356924076E-3</v>
      </c>
      <c r="AB1330">
        <f>IF(OR(Z1327&lt;&gt;Z1333,X1330&gt;$B$8+$B$9),0,((X1333-X1327)/(W1333-W1327)-(O1333-O1327)/(W1333-W1327))^2)</f>
        <v>2.0281617739186787E-5</v>
      </c>
    </row>
    <row r="1331" spans="7:28" x14ac:dyDescent="0.2">
      <c r="G1331" s="21"/>
      <c r="H1331" s="21">
        <v>1216</v>
      </c>
      <c r="I1331">
        <f t="shared" si="214"/>
        <v>1.1457190807240527E-2</v>
      </c>
      <c r="J1331">
        <f t="shared" si="215"/>
        <v>0.39002847914893468</v>
      </c>
      <c r="K1331">
        <f t="shared" si="209"/>
        <v>22.617948523444518</v>
      </c>
      <c r="L1331">
        <f>0.5*Z1331*K1331/J1331/$B$7</f>
        <v>28.995252568220437</v>
      </c>
      <c r="M1331">
        <f t="shared" si="212"/>
        <v>0.94153551906572108</v>
      </c>
      <c r="N1331" s="21">
        <f t="shared" si="216"/>
        <v>7.3990989938886059E-2</v>
      </c>
      <c r="O1331" s="21">
        <f t="shared" si="217"/>
        <v>23.16248796586002</v>
      </c>
      <c r="P1331">
        <f t="shared" si="213"/>
        <v>0.90415077322302528</v>
      </c>
      <c r="Q1331">
        <f t="shared" si="210"/>
        <v>0.39002847914893468</v>
      </c>
      <c r="R1331">
        <f t="shared" si="211"/>
        <v>0.40606721718541111</v>
      </c>
      <c r="T1331" s="21">
        <f>(M1331-M1330)/(H1331-H1330)</f>
        <v>8.4753907920798177E-4</v>
      </c>
      <c r="W1331">
        <v>1216</v>
      </c>
      <c r="X1331">
        <v>23.324816999999999</v>
      </c>
      <c r="Y1331">
        <v>1</v>
      </c>
      <c r="Z1331">
        <f t="shared" si="208"/>
        <v>1</v>
      </c>
      <c r="AA1331" s="21">
        <f>IF(X1331&gt;$B$8+$B$9,0,ABS(X1331-O1331)/X1331)</f>
        <v>6.9594987236118273E-3</v>
      </c>
      <c r="AB1331">
        <f>IF(OR(Z1328&lt;&gt;Z1334,X1331&gt;$B$8+$B$9),0,((X1334-X1328)/(W1334-W1328)-(O1334-O1328)/(W1334-W1328))^2)</f>
        <v>1.1313257956216372E-8</v>
      </c>
    </row>
    <row r="1332" spans="7:28" x14ac:dyDescent="0.2">
      <c r="G1332" s="21"/>
      <c r="H1332" s="21">
        <v>1217</v>
      </c>
      <c r="I1332">
        <f t="shared" si="214"/>
        <v>1.1470087707699779E-2</v>
      </c>
      <c r="J1332">
        <f t="shared" si="215"/>
        <v>0.38969753480705094</v>
      </c>
      <c r="K1332">
        <f t="shared" si="209"/>
        <v>22.616736017301314</v>
      </c>
      <c r="L1332">
        <f>0.5*Z1332*K1332/J1332/$B$7</f>
        <v>29.018320616910536</v>
      </c>
      <c r="M1332">
        <f t="shared" si="212"/>
        <v>0.94238439253110029</v>
      </c>
      <c r="N1332" s="21">
        <f t="shared" si="216"/>
        <v>7.4024179226507697E-2</v>
      </c>
      <c r="O1332" s="21">
        <f t="shared" si="217"/>
        <v>23.17395805356772</v>
      </c>
      <c r="P1332">
        <f t="shared" si="213"/>
        <v>0.90464132658884555</v>
      </c>
      <c r="Q1332">
        <f t="shared" si="210"/>
        <v>0.38969753480705094</v>
      </c>
      <c r="R1332">
        <f t="shared" si="211"/>
        <v>0.40555239471285676</v>
      </c>
      <c r="T1332" s="21">
        <f>(M1332-M1331)/(H1332-H1331)</f>
        <v>8.4887346537920738E-4</v>
      </c>
      <c r="W1332">
        <v>1217</v>
      </c>
      <c r="X1332">
        <v>23.334551999999999</v>
      </c>
      <c r="Y1332">
        <v>1</v>
      </c>
      <c r="Z1332">
        <f t="shared" si="208"/>
        <v>1</v>
      </c>
      <c r="AA1332" s="21">
        <f>IF(X1332&gt;$B$8+$B$9,0,ABS(X1332-O1332)/X1332)</f>
        <v>6.8822382547682409E-3</v>
      </c>
      <c r="AB1332">
        <f>IF(OR(Z1329&lt;&gt;Z1335,X1332&gt;$B$8+$B$9),0,((X1335-X1329)/(W1335-W1329)-(O1335-O1329)/(W1335-W1329))^2)</f>
        <v>1.5195918917625238E-6</v>
      </c>
    </row>
    <row r="1333" spans="7:28" x14ac:dyDescent="0.2">
      <c r="G1333" s="21"/>
      <c r="H1333" s="21">
        <v>1218</v>
      </c>
      <c r="I1333">
        <f t="shared" si="214"/>
        <v>1.1483028114423078E-2</v>
      </c>
      <c r="J1333">
        <f t="shared" si="215"/>
        <v>0.38936634985862006</v>
      </c>
      <c r="K1333">
        <f t="shared" si="209"/>
        <v>22.615529028917145</v>
      </c>
      <c r="L1333">
        <f>0.5*Z1333*K1333/J1333/$B$7</f>
        <v>29.041452910772723</v>
      </c>
      <c r="M1333">
        <f t="shared" si="212"/>
        <v>0.94323460513856328</v>
      </c>
      <c r="N1333" s="21">
        <f t="shared" si="216"/>
        <v>7.4057427811028725E-2</v>
      </c>
      <c r="O1333" s="21">
        <f t="shared" si="217"/>
        <v>23.185441081682143</v>
      </c>
      <c r="P1333">
        <f t="shared" si="213"/>
        <v>0.90513223660180131</v>
      </c>
      <c r="Q1333">
        <f t="shared" si="210"/>
        <v>0.38936634985862006</v>
      </c>
      <c r="R1333">
        <f t="shared" si="211"/>
        <v>0.40503850312717526</v>
      </c>
      <c r="T1333" s="21">
        <f>(M1333-M1332)/(H1333-H1332)</f>
        <v>8.5021260746298566E-4</v>
      </c>
      <c r="W1333">
        <v>1218</v>
      </c>
      <c r="X1333">
        <v>23.357266999999997</v>
      </c>
      <c r="Y1333">
        <v>1</v>
      </c>
      <c r="Z1333">
        <f t="shared" si="208"/>
        <v>1</v>
      </c>
      <c r="AA1333" s="21">
        <f>IF(X1333&gt;$B$8+$B$9,0,ABS(X1333-O1333)/X1333)</f>
        <v>7.3564222354376438E-3</v>
      </c>
      <c r="AB1333">
        <f>IF(OR(Z1330&lt;&gt;Z1336,X1333&gt;$B$8+$B$9),0,((X1336-X1330)/(W1336-W1330)-(O1336-O1330)/(W1336-W1330))^2)</f>
        <v>0</v>
      </c>
    </row>
    <row r="1334" spans="7:28" x14ac:dyDescent="0.2">
      <c r="G1334" s="21"/>
      <c r="H1334" s="21">
        <v>1219</v>
      </c>
      <c r="I1334">
        <f t="shared" si="214"/>
        <v>1.1496012228036125E-2</v>
      </c>
      <c r="J1334">
        <f t="shared" si="215"/>
        <v>0.38903492353496494</v>
      </c>
      <c r="K1334">
        <f t="shared" si="209"/>
        <v>22.614327566780343</v>
      </c>
      <c r="L1334">
        <f>0.5*Z1334*K1334/J1334/$B$7</f>
        <v>29.064649725139464</v>
      </c>
      <c r="M1334">
        <f t="shared" si="212"/>
        <v>0.94408616166862391</v>
      </c>
      <c r="N1334" s="21">
        <f t="shared" si="216"/>
        <v>7.4090735963429813E-2</v>
      </c>
      <c r="O1334" s="21">
        <f t="shared" si="217"/>
        <v>23.196937093910179</v>
      </c>
      <c r="P1334">
        <f t="shared" si="213"/>
        <v>0.90562350440128991</v>
      </c>
      <c r="Q1334">
        <f t="shared" si="210"/>
        <v>0.38903492353496494</v>
      </c>
      <c r="R1334">
        <f t="shared" si="211"/>
        <v>0.40452553912338329</v>
      </c>
      <c r="T1334" s="21">
        <f>(M1334-M1333)/(H1334-H1333)</f>
        <v>8.5155653006063758E-4</v>
      </c>
      <c r="W1334">
        <v>1219</v>
      </c>
      <c r="X1334">
        <v>23.358889000000001</v>
      </c>
      <c r="Y1334">
        <v>1</v>
      </c>
      <c r="Z1334">
        <f t="shared" si="208"/>
        <v>1</v>
      </c>
      <c r="AA1334" s="21">
        <f>IF(X1334&gt;$B$8+$B$9,0,ABS(X1334-O1334)/X1334)</f>
        <v>6.9332024348342089E-3</v>
      </c>
      <c r="AB1334">
        <f>IF(OR(Z1331&lt;&gt;Z1337,X1334&gt;$B$8+$B$9),0,((X1337-X1331)/(W1337-W1331)-(O1337-O1331)/(W1337-W1331))^2)</f>
        <v>0</v>
      </c>
    </row>
    <row r="1335" spans="7:28" x14ac:dyDescent="0.2">
      <c r="G1335" s="21"/>
      <c r="H1335" s="21">
        <v>1220</v>
      </c>
      <c r="I1335">
        <f t="shared" si="214"/>
        <v>1.150904025046594E-2</v>
      </c>
      <c r="J1335">
        <f t="shared" si="215"/>
        <v>0.38870325506415659</v>
      </c>
      <c r="K1335">
        <f t="shared" si="209"/>
        <v>22.61313163944039</v>
      </c>
      <c r="L1335">
        <f>0.5*Z1335*K1335/J1335/$B$7</f>
        <v>29.087911337027556</v>
      </c>
      <c r="M1335">
        <f t="shared" si="212"/>
        <v>0.94493906692656482</v>
      </c>
      <c r="N1335" s="21">
        <f t="shared" si="216"/>
        <v>7.4124103956295692E-2</v>
      </c>
      <c r="O1335" s="21">
        <f t="shared" si="217"/>
        <v>23.208446134160646</v>
      </c>
      <c r="P1335">
        <f t="shared" si="213"/>
        <v>0.90611513113152908</v>
      </c>
      <c r="Q1335">
        <f t="shared" si="210"/>
        <v>0.38870325506415659</v>
      </c>
      <c r="R1335">
        <f t="shared" si="211"/>
        <v>0.4040134994090962</v>
      </c>
      <c r="T1335" s="21">
        <f>(M1335-M1334)/(H1335-H1334)</f>
        <v>8.5290525794090577E-4</v>
      </c>
      <c r="W1335">
        <v>1220</v>
      </c>
      <c r="X1335">
        <v>23.371869</v>
      </c>
      <c r="Y1335">
        <v>1</v>
      </c>
      <c r="Z1335">
        <f t="shared" si="208"/>
        <v>1</v>
      </c>
      <c r="AA1335" s="21">
        <f>IF(X1335&gt;$B$8+$B$9,0,ABS(X1335-O1335)/X1335)</f>
        <v>6.992289142103039E-3</v>
      </c>
      <c r="AB1335">
        <f>IF(OR(Z1332&lt;&gt;Z1338,X1335&gt;$B$8+$B$9),0,((X1338-X1332)/(W1338-W1332)-(O1338-O1332)/(W1338-W1332))^2)</f>
        <v>0</v>
      </c>
    </row>
    <row r="1336" spans="7:28" x14ac:dyDescent="0.2">
      <c r="G1336" s="21"/>
      <c r="H1336" s="21">
        <v>1221</v>
      </c>
      <c r="I1336">
        <f t="shared" si="214"/>
        <v>1.1522112384951426E-2</v>
      </c>
      <c r="J1336">
        <f t="shared" si="215"/>
        <v>0.38837134367099324</v>
      </c>
      <c r="K1336">
        <f t="shared" si="209"/>
        <v>22.61194125550826</v>
      </c>
      <c r="L1336">
        <f>0.5*Z1336*K1336/J1336/$B$7</f>
        <v>43.666857037726984</v>
      </c>
      <c r="M1336">
        <f t="shared" si="212"/>
        <v>0.9457933257426121</v>
      </c>
      <c r="N1336" s="21">
        <f t="shared" si="216"/>
        <v>7.41575320638279E-2</v>
      </c>
      <c r="O1336" s="21">
        <f t="shared" si="217"/>
        <v>23.219968246545598</v>
      </c>
      <c r="P1336">
        <f t="shared" si="213"/>
        <v>0.90660711794158788</v>
      </c>
      <c r="Q1336">
        <f t="shared" si="210"/>
        <v>0.38837134367099324</v>
      </c>
      <c r="R1336">
        <f t="shared" si="211"/>
        <v>0.40350238070445177</v>
      </c>
      <c r="T1336" s="21">
        <f>(M1336-M1335)/(H1336-H1335)</f>
        <v>8.5425881604728193E-4</v>
      </c>
      <c r="W1336">
        <v>1221</v>
      </c>
      <c r="X1336">
        <v>23.418919999999996</v>
      </c>
      <c r="Y1336">
        <v>1.5</v>
      </c>
      <c r="Z1336">
        <f t="shared" si="208"/>
        <v>1.5</v>
      </c>
      <c r="AA1336" s="21">
        <f>IF(X1336&gt;$B$8+$B$9,0,ABS(X1336-O1336)/X1336)</f>
        <v>8.4953428020762087E-3</v>
      </c>
      <c r="AB1336">
        <f>IF(OR(Z1333&lt;&gt;Z1339,X1336&gt;$B$8+$B$9),0,((X1339-X1333)/(W1339-W1333)-(O1339-O1333)/(W1339-W1333))^2)</f>
        <v>0</v>
      </c>
    </row>
    <row r="1337" spans="7:28" x14ac:dyDescent="0.2">
      <c r="G1337" s="21"/>
      <c r="H1337" s="21">
        <v>1222</v>
      </c>
      <c r="I1337">
        <f t="shared" si="214"/>
        <v>2.5762853854087719E-2</v>
      </c>
      <c r="J1337">
        <f t="shared" si="215"/>
        <v>0.38762969128104552</v>
      </c>
      <c r="K1337">
        <f t="shared" si="209"/>
        <v>22.60930454821483</v>
      </c>
      <c r="L1337">
        <f>0.5*Z1337*K1337/J1337/$B$7</f>
        <v>43.74530329480541</v>
      </c>
      <c r="M1337">
        <f t="shared" si="212"/>
        <v>0.94770479900710336</v>
      </c>
      <c r="N1337" s="21">
        <f t="shared" si="216"/>
        <v>7.423235637911553E-2</v>
      </c>
      <c r="O1337" s="21">
        <f t="shared" si="217"/>
        <v>23.245731100399684</v>
      </c>
      <c r="P1337">
        <f t="shared" si="213"/>
        <v>0.90770645710564968</v>
      </c>
      <c r="Q1337">
        <f t="shared" si="210"/>
        <v>0.38762969128104552</v>
      </c>
      <c r="R1337">
        <f t="shared" si="211"/>
        <v>0.40236495174220527</v>
      </c>
      <c r="T1337" s="21">
        <f>(M1337-M1336)/(H1337-H1336)</f>
        <v>1.9114732644912591E-3</v>
      </c>
      <c r="W1337">
        <v>1222</v>
      </c>
      <c r="X1337">
        <v>23.422164999999996</v>
      </c>
      <c r="Y1337">
        <v>1.5</v>
      </c>
      <c r="Z1337">
        <f t="shared" si="208"/>
        <v>1.5</v>
      </c>
      <c r="AA1337" s="21">
        <f>IF(X1337&gt;$B$8+$B$9,0,ABS(X1337-O1337)/X1337)</f>
        <v>7.5327750274285874E-3</v>
      </c>
      <c r="AB1337">
        <f>IF(OR(Z1334&lt;&gt;Z1340,X1337&gt;$B$8+$B$9),0,((X1340-X1334)/(W1340-W1334)-(O1340-O1334)/(W1340-W1334))^2)</f>
        <v>0</v>
      </c>
    </row>
    <row r="1338" spans="7:28" x14ac:dyDescent="0.2">
      <c r="G1338" s="21"/>
      <c r="H1338" s="21">
        <v>1223</v>
      </c>
      <c r="I1338">
        <f t="shared" si="214"/>
        <v>2.5828593423142639E-2</v>
      </c>
      <c r="J1338">
        <f t="shared" si="215"/>
        <v>0.3868868189036101</v>
      </c>
      <c r="K1338">
        <f t="shared" si="209"/>
        <v>22.606695603206891</v>
      </c>
      <c r="L1338">
        <f>0.5*Z1338*K1338/J1338/$B$7</f>
        <v>43.82424232092896</v>
      </c>
      <c r="M1338">
        <f t="shared" si="212"/>
        <v>0.94962308633983361</v>
      </c>
      <c r="N1338" s="21">
        <f t="shared" si="216"/>
        <v>7.4307484337889654E-2</v>
      </c>
      <c r="O1338" s="21">
        <f t="shared" si="217"/>
        <v>23.271559693822827</v>
      </c>
      <c r="P1338">
        <f t="shared" si="213"/>
        <v>0.9088076046371395</v>
      </c>
      <c r="Q1338">
        <f t="shared" si="210"/>
        <v>0.3868868189036101</v>
      </c>
      <c r="R1338">
        <f t="shared" si="211"/>
        <v>0.40123206206304318</v>
      </c>
      <c r="T1338" s="21">
        <f>(M1338-M1337)/(H1338-H1337)</f>
        <v>1.9182873327302508E-3</v>
      </c>
      <c r="W1338">
        <v>1223</v>
      </c>
      <c r="X1338">
        <v>23.456236999999998</v>
      </c>
      <c r="Y1338">
        <v>1.5</v>
      </c>
      <c r="Z1338">
        <f t="shared" si="208"/>
        <v>1.5</v>
      </c>
      <c r="AA1338" s="21">
        <f>IF(X1338&gt;$B$8+$B$9,0,ABS(X1338-O1338)/X1338)</f>
        <v>7.8732708139490314E-3</v>
      </c>
      <c r="AB1338">
        <f>IF(OR(Z1335&lt;&gt;Z1341,X1338&gt;$B$8+$B$9),0,((X1341-X1335)/(W1341-W1335)-(O1341-O1335)/(W1341-W1335))^2)</f>
        <v>0</v>
      </c>
    </row>
    <row r="1339" spans="7:28" x14ac:dyDescent="0.2">
      <c r="G1339" s="21"/>
      <c r="H1339" s="21">
        <v>1224</v>
      </c>
      <c r="I1339">
        <f t="shared" si="214"/>
        <v>2.5894833233099702E-2</v>
      </c>
      <c r="J1339">
        <f t="shared" si="215"/>
        <v>0.38614271777185827</v>
      </c>
      <c r="K1339">
        <f t="shared" si="209"/>
        <v>22.604114519351299</v>
      </c>
      <c r="L1339">
        <f>0.5*Z1339*K1339/J1339/$B$7</f>
        <v>43.903678897111135</v>
      </c>
      <c r="M1339">
        <f t="shared" si="212"/>
        <v>0.95154824269225258</v>
      </c>
      <c r="N1339" s="21">
        <f t="shared" si="216"/>
        <v>7.4382919072592341E-2</v>
      </c>
      <c r="O1339" s="21">
        <f t="shared" si="217"/>
        <v>23.297454527055926</v>
      </c>
      <c r="P1339">
        <f t="shared" si="213"/>
        <v>0.9099105735309837</v>
      </c>
      <c r="Q1339">
        <f t="shared" si="210"/>
        <v>0.38614271777185827</v>
      </c>
      <c r="R1339">
        <f t="shared" si="211"/>
        <v>0.40010367584660289</v>
      </c>
      <c r="T1339" s="21">
        <f>(M1339-M1338)/(H1339-H1338)</f>
        <v>1.9251563524189663E-3</v>
      </c>
      <c r="W1339">
        <v>1224</v>
      </c>
      <c r="X1339">
        <v>23.482197000000003</v>
      </c>
      <c r="Y1339">
        <v>1.5</v>
      </c>
      <c r="Z1339">
        <f t="shared" si="208"/>
        <v>1.5</v>
      </c>
      <c r="AA1339" s="21">
        <f>IF(X1339&gt;$B$8+$B$9,0,ABS(X1339-O1339)/X1339)</f>
        <v>7.8673419247814302E-3</v>
      </c>
      <c r="AB1339">
        <f>IF(OR(Z1336&lt;&gt;Z1342,X1339&gt;$B$8+$B$9),0,((X1342-X1336)/(W1342-W1336)-(O1342-O1336)/(W1342-W1336))^2)</f>
        <v>1.4100401090518438E-5</v>
      </c>
    </row>
    <row r="1340" spans="7:28" x14ac:dyDescent="0.2">
      <c r="G1340" s="21"/>
      <c r="H1340" s="21">
        <v>1225</v>
      </c>
      <c r="I1340">
        <f t="shared" si="214"/>
        <v>2.5961578519131532E-2</v>
      </c>
      <c r="J1340">
        <f t="shared" si="215"/>
        <v>0.385397379034919</v>
      </c>
      <c r="K1340">
        <f t="shared" si="209"/>
        <v>22.601561397096063</v>
      </c>
      <c r="L1340">
        <f>0.5*Z1340*K1340/J1340/$B$7</f>
        <v>43.983617870650292</v>
      </c>
      <c r="M1340">
        <f t="shared" si="212"/>
        <v>0.95348032366090885</v>
      </c>
      <c r="N1340" s="21">
        <f t="shared" si="216"/>
        <v>7.4458663757741544E-2</v>
      </c>
      <c r="O1340" s="21">
        <f t="shared" si="217"/>
        <v>23.323416105575056</v>
      </c>
      <c r="P1340">
        <f t="shared" si="213"/>
        <v>0.91101537690668299</v>
      </c>
      <c r="Q1340">
        <f t="shared" si="210"/>
        <v>0.385397379034919</v>
      </c>
      <c r="R1340">
        <f t="shared" si="211"/>
        <v>0.39897975757193388</v>
      </c>
      <c r="T1340" s="21">
        <f>(M1340-M1339)/(H1340-H1339)</f>
        <v>1.932080968656269E-3</v>
      </c>
      <c r="W1340">
        <v>1225</v>
      </c>
      <c r="X1340">
        <v>23.504910999999996</v>
      </c>
      <c r="Y1340">
        <v>1.5</v>
      </c>
      <c r="Z1340">
        <f t="shared" si="208"/>
        <v>1.5</v>
      </c>
      <c r="AA1340" s="21">
        <f>IF(X1340&gt;$B$8+$B$9,0,ABS(X1340-O1340)/X1340)</f>
        <v>7.7215733522641369E-3</v>
      </c>
      <c r="AB1340">
        <f>IF(OR(Z1337&lt;&gt;Z1343,X1340&gt;$B$8+$B$9),0,((X1343-X1337)/(W1343-W1337)-(O1343-O1337)/(W1343-W1337))^2)</f>
        <v>1.0926007435109794E-6</v>
      </c>
    </row>
    <row r="1341" spans="7:28" x14ac:dyDescent="0.2">
      <c r="G1341" s="21"/>
      <c r="H1341" s="21">
        <v>1226</v>
      </c>
      <c r="I1341">
        <f t="shared" si="214"/>
        <v>2.6028834593474635E-2</v>
      </c>
      <c r="J1341">
        <f t="shared" si="215"/>
        <v>0.38465079375668887</v>
      </c>
      <c r="K1341">
        <f t="shared" si="209"/>
        <v>22.599036338491509</v>
      </c>
      <c r="L1341">
        <f>0.5*Z1341*K1341/J1341/$B$7</f>
        <v>44.064064156305648</v>
      </c>
      <c r="M1341">
        <f t="shared" si="212"/>
        <v>0.95541938549765382</v>
      </c>
      <c r="N1341" s="21">
        <f t="shared" si="216"/>
        <v>7.4534721610676577E-2</v>
      </c>
      <c r="O1341" s="21">
        <f t="shared" si="217"/>
        <v>23.349444940168532</v>
      </c>
      <c r="P1341">
        <f t="shared" si="213"/>
        <v>0.91212202801007702</v>
      </c>
      <c r="Q1341">
        <f t="shared" si="210"/>
        <v>0.38465079375668887</v>
      </c>
      <c r="R1341">
        <f t="shared" si="211"/>
        <v>0.39786027201346685</v>
      </c>
      <c r="T1341" s="21">
        <f>(M1341-M1340)/(H1341-H1340)</f>
        <v>1.9390618367449708E-3</v>
      </c>
      <c r="W1341">
        <v>1226</v>
      </c>
      <c r="X1341">
        <v>23.529247999999999</v>
      </c>
      <c r="Y1341">
        <v>1.5</v>
      </c>
      <c r="Z1341">
        <f t="shared" si="208"/>
        <v>1.5</v>
      </c>
      <c r="AA1341" s="21">
        <f>IF(X1341&gt;$B$8+$B$9,0,ABS(X1341-O1341)/X1341)</f>
        <v>7.6416832289526422E-3</v>
      </c>
      <c r="AB1341">
        <f>IF(OR(Z1338&lt;&gt;Z1344,X1341&gt;$B$8+$B$9),0,((X1344-X1338)/(W1344-W1338)-(O1344-O1338)/(W1344-W1338))^2)</f>
        <v>5.0020826831863995E-7</v>
      </c>
    </row>
    <row r="1342" spans="7:28" x14ac:dyDescent="0.2">
      <c r="G1342" s="21"/>
      <c r="H1342" s="21">
        <v>1227</v>
      </c>
      <c r="I1342">
        <f t="shared" si="214"/>
        <v>2.6096606846850241E-2</v>
      </c>
      <c r="J1342">
        <f t="shared" si="215"/>
        <v>0.38390295291462362</v>
      </c>
      <c r="K1342">
        <f t="shared" si="209"/>
        <v>22.596539447211956</v>
      </c>
      <c r="L1342">
        <f>0.5*Z1342*K1342/J1342/$B$7</f>
        <v>44.145022737498742</v>
      </c>
      <c r="M1342">
        <f t="shared" si="212"/>
        <v>0.95736548512004005</v>
      </c>
      <c r="N1342" s="21">
        <f t="shared" si="216"/>
        <v>7.4611095892319443E-2</v>
      </c>
      <c r="O1342" s="21">
        <f t="shared" si="217"/>
        <v>23.375541547015381</v>
      </c>
      <c r="P1342">
        <f t="shared" si="213"/>
        <v>0.91323054021513472</v>
      </c>
      <c r="Q1342">
        <f t="shared" si="210"/>
        <v>0.38390295291462362</v>
      </c>
      <c r="R1342">
        <f t="shared" si="211"/>
        <v>0.39674518423703714</v>
      </c>
      <c r="T1342" s="21">
        <f>(M1342-M1341)/(H1342-H1341)</f>
        <v>1.9460996223862326E-3</v>
      </c>
      <c r="W1342">
        <v>1227</v>
      </c>
      <c r="X1342">
        <v>23.551962999999997</v>
      </c>
      <c r="Y1342">
        <v>1.5</v>
      </c>
      <c r="Z1342">
        <f t="shared" ref="Z1342:Z1405" si="218">Y1342</f>
        <v>1.5</v>
      </c>
      <c r="AA1342" s="21">
        <f>IF(X1342&gt;$B$8+$B$9,0,ABS(X1342-O1342)/X1342)</f>
        <v>7.4907324278921652E-3</v>
      </c>
      <c r="AB1342">
        <f>IF(OR(Z1339&lt;&gt;Z1345,X1342&gt;$B$8+$B$9),0,((X1345-X1339)/(W1345-W1339)-(O1345-O1339)/(W1345-W1339))^2)</f>
        <v>2.9614289148442295E-6</v>
      </c>
    </row>
    <row r="1343" spans="7:28" x14ac:dyDescent="0.2">
      <c r="G1343" s="21"/>
      <c r="H1343" s="21">
        <v>1228</v>
      </c>
      <c r="I1343">
        <f t="shared" si="214"/>
        <v>2.6164900749917112E-2</v>
      </c>
      <c r="J1343">
        <f t="shared" si="215"/>
        <v>0.38315384739850644</v>
      </c>
      <c r="K1343">
        <f t="shared" si="209"/>
        <v>22.594070828577767</v>
      </c>
      <c r="L1343">
        <f>0.5*Z1343*K1343/J1343/$B$7</f>
        <v>44.226498667541186</v>
      </c>
      <c r="M1343">
        <f t="shared" si="212"/>
        <v>0.95931868012192956</v>
      </c>
      <c r="N1343" s="21">
        <f t="shared" si="216"/>
        <v>7.4687789907952801E-2</v>
      </c>
      <c r="O1343" s="21">
        <f t="shared" si="217"/>
        <v>23.401706447765299</v>
      </c>
      <c r="P1343">
        <f t="shared" si="213"/>
        <v>0.91434092702578118</v>
      </c>
      <c r="Q1343">
        <f t="shared" si="210"/>
        <v>0.38315384739850644</v>
      </c>
      <c r="R1343">
        <f t="shared" si="211"/>
        <v>0.39563445959594945</v>
      </c>
      <c r="T1343" s="21">
        <f>(M1343-M1342)/(H1343-H1342)</f>
        <v>1.9531950018895072E-3</v>
      </c>
      <c r="W1343">
        <v>1228</v>
      </c>
      <c r="X1343">
        <v>23.584411999999997</v>
      </c>
      <c r="Y1343">
        <v>1.5</v>
      </c>
      <c r="Z1343">
        <f t="shared" si="218"/>
        <v>1.5</v>
      </c>
      <c r="AA1343" s="21">
        <f>IF(X1343&gt;$B$8+$B$9,0,ABS(X1343-O1343)/X1343)</f>
        <v>7.7468775661948854E-3</v>
      </c>
      <c r="AB1343">
        <f>IF(OR(Z1340&lt;&gt;Z1346,X1343&gt;$B$8+$B$9),0,((X1346-X1340)/(W1346-W1340)-(O1346-O1340)/(W1346-W1340))^2)</f>
        <v>1.9098741857908721E-6</v>
      </c>
    </row>
    <row r="1344" spans="7:28" x14ac:dyDescent="0.2">
      <c r="G1344" s="21"/>
      <c r="H1344" s="21">
        <v>1229</v>
      </c>
      <c r="I1344">
        <f t="shared" si="214"/>
        <v>2.6233721854757204E-2</v>
      </c>
      <c r="J1344">
        <f t="shared" si="215"/>
        <v>0.38240346800919467</v>
      </c>
      <c r="K1344">
        <f t="shared" si="209"/>
        <v>22.591630589577854</v>
      </c>
      <c r="L1344">
        <f>0.5*Z1344*K1344/J1344/$B$7</f>
        <v>44.308497070889509</v>
      </c>
      <c r="M1344">
        <f t="shared" si="212"/>
        <v>0.96127902878431293</v>
      </c>
      <c r="N1344" s="21">
        <f t="shared" si="216"/>
        <v>7.4764807008014925E-2</v>
      </c>
      <c r="O1344" s="21">
        <f t="shared" si="217"/>
        <v>23.427940169620058</v>
      </c>
      <c r="P1344">
        <f t="shared" si="213"/>
        <v>0.91545320207775449</v>
      </c>
      <c r="Q1344">
        <f t="shared" si="210"/>
        <v>0.38240346800919467</v>
      </c>
      <c r="R1344">
        <f t="shared" si="211"/>
        <v>0.39452806372709187</v>
      </c>
      <c r="T1344" s="21">
        <f>(M1344-M1343)/(H1344-H1343)</f>
        <v>1.960348662383371E-3</v>
      </c>
      <c r="W1344">
        <v>1229</v>
      </c>
      <c r="X1344">
        <v>23.616860999999997</v>
      </c>
      <c r="Y1344">
        <v>1.5</v>
      </c>
      <c r="Z1344">
        <f t="shared" si="218"/>
        <v>1.5</v>
      </c>
      <c r="AA1344" s="21">
        <f>IF(X1344&gt;$B$8+$B$9,0,ABS(X1344-O1344)/X1344)</f>
        <v>7.999404763399276E-3</v>
      </c>
      <c r="AB1344">
        <f>IF(OR(Z1341&lt;&gt;Z1347,X1344&gt;$B$8+$B$9),0,((X1347-X1341)/(W1347-W1341)-(O1347-O1341)/(W1347-W1341))^2)</f>
        <v>3.4356607648814318E-6</v>
      </c>
    </row>
    <row r="1345" spans="7:28" x14ac:dyDescent="0.2">
      <c r="G1345" s="21"/>
      <c r="H1345" s="21">
        <v>1230</v>
      </c>
      <c r="I1345">
        <f t="shared" si="214"/>
        <v>2.6303075796394862E-2</v>
      </c>
      <c r="J1345">
        <f t="shared" si="215"/>
        <v>0.38165180545734478</v>
      </c>
      <c r="K1345">
        <f t="shared" si="209"/>
        <v>22.589218838892659</v>
      </c>
      <c r="L1345">
        <f>0.5*Z1345*K1345/J1345/$B$7</f>
        <v>44.391023144427393</v>
      </c>
      <c r="M1345">
        <f t="shared" si="212"/>
        <v>0.96324659008634284</v>
      </c>
      <c r="N1345" s="21">
        <f t="shared" si="216"/>
        <v>7.4842150588911929E-2</v>
      </c>
      <c r="O1345" s="21">
        <f t="shared" si="217"/>
        <v>23.454243245416453</v>
      </c>
      <c r="P1345">
        <f t="shared" si="213"/>
        <v>0.91656737914049613</v>
      </c>
      <c r="Q1345">
        <f t="shared" si="210"/>
        <v>0.38165180545734478</v>
      </c>
      <c r="R1345">
        <f t="shared" si="211"/>
        <v>0.39342596254709417</v>
      </c>
      <c r="T1345" s="21">
        <f>(M1345-M1344)/(H1345-H1344)</f>
        <v>1.9675613020299076E-3</v>
      </c>
      <c r="W1345">
        <v>1230</v>
      </c>
      <c r="X1345">
        <v>23.649311000000001</v>
      </c>
      <c r="Y1345">
        <v>1.5</v>
      </c>
      <c r="Z1345">
        <f t="shared" si="218"/>
        <v>1.5</v>
      </c>
      <c r="AA1345" s="21">
        <f>IF(X1345&gt;$B$8+$B$9,0,ABS(X1345-O1345)/X1345)</f>
        <v>8.2483483169360633E-3</v>
      </c>
      <c r="AB1345">
        <f>IF(OR(Z1342&lt;&gt;Z1348,X1345&gt;$B$8+$B$9),0,((X1348-X1342)/(W1348-W1342)-(O1348-O1342)/(W1348-W1342))^2)</f>
        <v>9.8340108469222181E-6</v>
      </c>
    </row>
    <row r="1346" spans="7:28" x14ac:dyDescent="0.2">
      <c r="G1346" s="21"/>
      <c r="H1346" s="21">
        <v>1231</v>
      </c>
      <c r="I1346">
        <f t="shared" si="214"/>
        <v>2.6372968294350464E-2</v>
      </c>
      <c r="J1346">
        <f t="shared" si="215"/>
        <v>0.38089885036211191</v>
      </c>
      <c r="K1346">
        <f t="shared" si="209"/>
        <v>22.586835686917507</v>
      </c>
      <c r="L1346">
        <f>0.5*Z1346*K1346/J1346/$B$7</f>
        <v>44.474082158776625</v>
      </c>
      <c r="M1346">
        <f t="shared" si="212"/>
        <v>0.96522142371659425</v>
      </c>
      <c r="N1346" s="21">
        <f t="shared" si="216"/>
        <v>7.4919824093848203E-2</v>
      </c>
      <c r="O1346" s="21">
        <f t="shared" si="217"/>
        <v>23.480616213710803</v>
      </c>
      <c r="P1346">
        <f t="shared" si="213"/>
        <v>0.91768347211907841</v>
      </c>
      <c r="Q1346">
        <f t="shared" si="210"/>
        <v>0.38089885036211191</v>
      </c>
      <c r="R1346">
        <f t="shared" si="211"/>
        <v>0.39232812224852742</v>
      </c>
      <c r="T1346" s="21">
        <f>(M1346-M1345)/(H1346-H1345)</f>
        <v>1.9748336302514158E-3</v>
      </c>
      <c r="W1346">
        <v>1231</v>
      </c>
      <c r="X1346">
        <v>23.670402999999997</v>
      </c>
      <c r="Y1346">
        <v>1.5</v>
      </c>
      <c r="Z1346">
        <f t="shared" si="218"/>
        <v>1.5</v>
      </c>
      <c r="AA1346" s="21">
        <f>IF(X1346&gt;$B$8+$B$9,0,ABS(X1346-O1346)/X1346)</f>
        <v>8.0178941731238618E-3</v>
      </c>
      <c r="AB1346">
        <f>IF(OR(Z1343&lt;&gt;Z1349,X1346&gt;$B$8+$B$9),0,((X1349-X1343)/(W1349-W1343)-(O1349-O1343)/(W1349-W1343))^2)</f>
        <v>5.0831467648791638E-6</v>
      </c>
    </row>
    <row r="1347" spans="7:28" x14ac:dyDescent="0.2">
      <c r="G1347" s="21"/>
      <c r="H1347" s="21">
        <v>1232</v>
      </c>
      <c r="I1347">
        <f t="shared" si="214"/>
        <v>2.644340515422967E-2</v>
      </c>
      <c r="J1347">
        <f t="shared" si="215"/>
        <v>0.38014459324982774</v>
      </c>
      <c r="K1347">
        <f t="shared" ref="K1347:K1410" si="219">IF(O1347&lt;$B$8+$B$9,0.5*(($B$8+$B$9)^2+O1347^2)/O1347-$B$9,$B$8)</f>
        <v>22.584481245786499</v>
      </c>
      <c r="L1347">
        <f>0.5*Z1347*K1347/J1347/$B$7</f>
        <v>44.557679459636908</v>
      </c>
      <c r="M1347">
        <f t="shared" si="212"/>
        <v>0.96720359008454748</v>
      </c>
      <c r="N1347" s="21">
        <f t="shared" si="216"/>
        <v>7.4997831013674895E-2</v>
      </c>
      <c r="O1347" s="21">
        <f t="shared" si="217"/>
        <v>23.507059618865032</v>
      </c>
      <c r="P1347">
        <f t="shared" si="213"/>
        <v>0.91880149505616426</v>
      </c>
      <c r="Q1347">
        <f t="shared" ref="Q1347:Q1410" si="220">1-B$15*P1347</f>
        <v>0.38014459324982774</v>
      </c>
      <c r="R1347">
        <f t="shared" ref="R1347:R1410" si="221">$E$15/(P1347+$E$16)</f>
        <v>0.391234509296149</v>
      </c>
      <c r="T1347" s="21">
        <f>(M1347-M1346)/(H1347-H1346)</f>
        <v>1.9821663679532309E-3</v>
      </c>
      <c r="W1347">
        <v>1232</v>
      </c>
      <c r="X1347">
        <v>23.697984000000002</v>
      </c>
      <c r="Y1347">
        <v>1.5</v>
      </c>
      <c r="Z1347">
        <f t="shared" si="218"/>
        <v>1.5</v>
      </c>
      <c r="AA1347" s="21">
        <f>IF(X1347&gt;$B$8+$B$9,0,ABS(X1347-O1347)/X1347)</f>
        <v>8.0565663785986882E-3</v>
      </c>
      <c r="AB1347">
        <f>IF(OR(Z1344&lt;&gt;Z1350,X1347&gt;$B$8+$B$9),0,((X1350-X1344)/(W1350-W1344)-(O1350-O1344)/(W1350-W1344))^2)</f>
        <v>3.6615980662331363E-6</v>
      </c>
    </row>
    <row r="1348" spans="7:28" x14ac:dyDescent="0.2">
      <c r="G1348" s="21"/>
      <c r="H1348" s="21">
        <v>1233</v>
      </c>
      <c r="I1348">
        <f t="shared" si="214"/>
        <v>2.651439226934885E-2</v>
      </c>
      <c r="J1348">
        <f t="shared" si="215"/>
        <v>0.379389024552655</v>
      </c>
      <c r="K1348">
        <f t="shared" si="219"/>
        <v>22.58215562939689</v>
      </c>
      <c r="L1348">
        <f>0.5*Z1348*K1348/J1348/$B$7</f>
        <v>44.64182046915554</v>
      </c>
      <c r="M1348">
        <f t="shared" ref="M1348:M1411" si="222">-LN(J1348)</f>
        <v>0.96919315033230202</v>
      </c>
      <c r="N1348" s="21">
        <f t="shared" si="216"/>
        <v>7.5076174887757044E-2</v>
      </c>
      <c r="O1348" s="21">
        <f t="shared" si="217"/>
        <v>23.53357401113438</v>
      </c>
      <c r="P1348">
        <f t="shared" ref="P1348:P1411" si="223">MIN(O1348/(K1348+$B$9),1)</f>
        <v>0.91992146213400205</v>
      </c>
      <c r="Q1348">
        <f t="shared" si="220"/>
        <v>0.379389024552655</v>
      </c>
      <c r="R1348">
        <f t="shared" si="221"/>
        <v>0.39014509042319045</v>
      </c>
      <c r="T1348" s="21">
        <f>(M1348-M1347)/(H1348-H1347)</f>
        <v>1.9895602477545404E-3</v>
      </c>
      <c r="W1348">
        <v>1233</v>
      </c>
      <c r="X1348">
        <v>23.728810999999997</v>
      </c>
      <c r="Y1348">
        <v>1.5</v>
      </c>
      <c r="Z1348">
        <f t="shared" si="218"/>
        <v>1.5</v>
      </c>
      <c r="AA1348" s="21">
        <f>IF(X1348&gt;$B$8+$B$9,0,ABS(X1348-O1348)/X1348)</f>
        <v>8.2278454181971654E-3</v>
      </c>
      <c r="AB1348">
        <f>IF(OR(Z1345&lt;&gt;Z1351,X1348&gt;$B$8+$B$9),0,((X1351-X1345)/(W1351-W1345)-(O1351-O1345)/(W1351-W1345))^2)</f>
        <v>2.574853023786829E-9</v>
      </c>
    </row>
    <row r="1349" spans="7:28" x14ac:dyDescent="0.2">
      <c r="G1349" s="21"/>
      <c r="H1349" s="21">
        <v>1234</v>
      </c>
      <c r="I1349">
        <f t="shared" ref="I1349:I1412" si="224">IF(P1348&lt;0.999,MAX(0,MIN(10000000,(L1348/$E$8/M1348^$E$10)^(1/$E$9)/N1348)),0.1)</f>
        <v>2.6585935622397971E-2</v>
      </c>
      <c r="J1349">
        <f t="shared" ref="J1349:J1412" si="225">Q1349</f>
        <v>0.3786321346072149</v>
      </c>
      <c r="K1349">
        <f t="shared" si="219"/>
        <v>22.579858953433902</v>
      </c>
      <c r="L1349">
        <f>0.5*Z1349*K1349/J1349/$B$7</f>
        <v>44.726510687328044</v>
      </c>
      <c r="M1349">
        <f t="shared" si="222"/>
        <v>0.97119016634653399</v>
      </c>
      <c r="N1349" s="21">
        <f t="shared" ref="N1349:N1412" si="226">-$B$15*(O1349-2*(K1349+$B$9))/(K1349+$B$9)^2/J1349</f>
        <v>7.5154859304860502E-2</v>
      </c>
      <c r="O1349" s="21">
        <f t="shared" ref="O1349:O1412" si="227">O1348+I1349*(H1349-H1348)</f>
        <v>23.560159946756777</v>
      </c>
      <c r="P1349">
        <f t="shared" si="223"/>
        <v>0.92104338767645955</v>
      </c>
      <c r="Q1349">
        <f t="shared" si="220"/>
        <v>0.3786321346072149</v>
      </c>
      <c r="R1349">
        <f t="shared" si="221"/>
        <v>0.38905983262768395</v>
      </c>
      <c r="T1349" s="21">
        <f>(M1349-M1348)/(H1349-H1348)</f>
        <v>1.9970160142319671E-3</v>
      </c>
      <c r="W1349">
        <v>1234</v>
      </c>
      <c r="X1349">
        <v>23.756392999999999</v>
      </c>
      <c r="Y1349">
        <v>1.5</v>
      </c>
      <c r="Z1349">
        <f t="shared" si="218"/>
        <v>1.5</v>
      </c>
      <c r="AA1349" s="21">
        <f>IF(X1349&gt;$B$8+$B$9,0,ABS(X1349-O1349)/X1349)</f>
        <v>8.2602208695243678E-3</v>
      </c>
      <c r="AB1349">
        <f>IF(OR(Z1346&lt;&gt;Z1352,X1349&gt;$B$8+$B$9),0,((X1352-X1346)/(W1352-W1346)-(O1352-O1346)/(W1352-W1346))^2)</f>
        <v>6.6646120259585359E-6</v>
      </c>
    </row>
    <row r="1350" spans="7:28" x14ac:dyDescent="0.2">
      <c r="G1350" s="21"/>
      <c r="H1350" s="21">
        <v>1235</v>
      </c>
      <c r="I1350">
        <f t="shared" si="224"/>
        <v>2.6658041287142064E-2</v>
      </c>
      <c r="J1350">
        <f t="shared" si="225"/>
        <v>0.37787391365319056</v>
      </c>
      <c r="K1350">
        <f t="shared" si="219"/>
        <v>22.577591335396058</v>
      </c>
      <c r="L1350">
        <f>0.5*Z1350*K1350/J1350/$B$7</f>
        <v>44.811755693430015</v>
      </c>
      <c r="M1350">
        <f t="shared" si="222"/>
        <v>0.97319470077069492</v>
      </c>
      <c r="N1350" s="21">
        <f t="shared" si="226"/>
        <v>7.5233887904058411E-2</v>
      </c>
      <c r="O1350" s="21">
        <f t="shared" si="227"/>
        <v>23.586817988043919</v>
      </c>
      <c r="P1350">
        <f t="shared" si="223"/>
        <v>0.922167286151094</v>
      </c>
      <c r="Q1350">
        <f t="shared" si="220"/>
        <v>0.37787391365319056</v>
      </c>
      <c r="R1350">
        <f t="shared" si="221"/>
        <v>0.38797870316883026</v>
      </c>
      <c r="T1350" s="21">
        <f>(M1350-M1349)/(H1350-H1349)</f>
        <v>2.0045344241609309E-3</v>
      </c>
      <c r="W1350">
        <v>1235</v>
      </c>
      <c r="X1350">
        <v>23.787220000000001</v>
      </c>
      <c r="Y1350">
        <v>1.5</v>
      </c>
      <c r="Z1350">
        <f t="shared" si="218"/>
        <v>1.5</v>
      </c>
      <c r="AA1350" s="21">
        <f>IF(X1350&gt;$B$8+$B$9,0,ABS(X1350-O1350)/X1350)</f>
        <v>8.4247764957856679E-3</v>
      </c>
      <c r="AB1350">
        <f>IF(OR(Z1347&lt;&gt;Z1353,X1350&gt;$B$8+$B$9),0,((X1353-X1347)/(W1353-W1347)-(O1353-O1347)/(W1353-W1347))^2)</f>
        <v>1.6293855381729845E-6</v>
      </c>
    </row>
    <row r="1351" spans="7:28" x14ac:dyDescent="0.2">
      <c r="G1351" s="21"/>
      <c r="H1351" s="21">
        <v>1236</v>
      </c>
      <c r="I1351">
        <f t="shared" si="224"/>
        <v>2.6730715430161596E-2</v>
      </c>
      <c r="J1351">
        <f t="shared" si="225"/>
        <v>0.37711435183190578</v>
      </c>
      <c r="K1351">
        <f t="shared" si="219"/>
        <v>22.575352894621059</v>
      </c>
      <c r="L1351">
        <f>0.5*Z1351*K1351/J1351/$B$7</f>
        <v>44.897561147481369</v>
      </c>
      <c r="M1351">
        <f t="shared" si="222"/>
        <v>0.97520681701745793</v>
      </c>
      <c r="N1351" s="21">
        <f t="shared" si="226"/>
        <v>7.5313264375657787E-2</v>
      </c>
      <c r="O1351" s="21">
        <f t="shared" si="227"/>
        <v>23.613548703474081</v>
      </c>
      <c r="P1351">
        <f t="shared" si="223"/>
        <v>0.9232931721712595</v>
      </c>
      <c r="Q1351">
        <f t="shared" si="220"/>
        <v>0.37711435183190578</v>
      </c>
      <c r="R1351">
        <f t="shared" si="221"/>
        <v>0.38690166956340682</v>
      </c>
      <c r="T1351" s="21">
        <f>(M1351-M1350)/(H1351-H1350)</f>
        <v>2.0121162467630072E-3</v>
      </c>
      <c r="W1351">
        <v>1236</v>
      </c>
      <c r="X1351">
        <v>23.808311999999997</v>
      </c>
      <c r="Y1351">
        <v>1.5</v>
      </c>
      <c r="Z1351">
        <f t="shared" si="218"/>
        <v>1.5</v>
      </c>
      <c r="AA1351" s="21">
        <f>IF(X1351&gt;$B$8+$B$9,0,ABS(X1351-O1351)/X1351)</f>
        <v>8.1804748075343086E-3</v>
      </c>
      <c r="AB1351">
        <f>IF(OR(Z1348&lt;&gt;Z1354,X1351&gt;$B$8+$B$9),0,((X1354-X1348)/(W1354-W1348)-(O1354-O1348)/(W1354-W1348))^2)</f>
        <v>7.2977985767262187E-6</v>
      </c>
    </row>
    <row r="1352" spans="7:28" x14ac:dyDescent="0.2">
      <c r="G1352" s="21"/>
      <c r="H1352" s="21">
        <v>1237</v>
      </c>
      <c r="I1352">
        <f t="shared" si="224"/>
        <v>2.6803964312633863E-2</v>
      </c>
      <c r="J1352">
        <f t="shared" si="225"/>
        <v>0.37635343918487529</v>
      </c>
      <c r="K1352">
        <f t="shared" si="219"/>
        <v>22.573143752312134</v>
      </c>
      <c r="L1352">
        <f>0.5*Z1352*K1352/J1352/$B$7</f>
        <v>44.983932791743889</v>
      </c>
      <c r="M1352">
        <f t="shared" si="222"/>
        <v>0.9772265792814252</v>
      </c>
      <c r="N1352" s="21">
        <f t="shared" si="226"/>
        <v>7.5392992462147507E-2</v>
      </c>
      <c r="O1352" s="21">
        <f t="shared" si="227"/>
        <v>23.640352667786715</v>
      </c>
      <c r="P1352">
        <f t="shared" si="223"/>
        <v>0.92442106049825534</v>
      </c>
      <c r="Q1352">
        <f t="shared" si="220"/>
        <v>0.37635343918487529</v>
      </c>
      <c r="R1352">
        <f t="shared" si="221"/>
        <v>0.38582869958221278</v>
      </c>
      <c r="T1352" s="21">
        <f>(M1352-M1351)/(H1352-H1351)</f>
        <v>2.019762263967273E-3</v>
      </c>
      <c r="W1352">
        <v>1237</v>
      </c>
      <c r="X1352">
        <v>23.845628999999999</v>
      </c>
      <c r="Y1352">
        <v>1.5</v>
      </c>
      <c r="Z1352">
        <f t="shared" si="218"/>
        <v>1.5</v>
      </c>
      <c r="AA1352" s="21">
        <f>IF(X1352&gt;$B$8+$B$9,0,ABS(X1352-O1352)/X1352)</f>
        <v>8.6085517900695348E-3</v>
      </c>
      <c r="AB1352">
        <f>IF(OR(Z1349&lt;&gt;Z1355,X1352&gt;$B$8+$B$9),0,((X1355-X1349)/(W1355-W1349)-(O1355-O1349)/(W1355-W1349))^2)</f>
        <v>6.2733138783283281E-6</v>
      </c>
    </row>
    <row r="1353" spans="7:28" x14ac:dyDescent="0.2">
      <c r="G1353" s="21"/>
      <c r="H1353" s="21">
        <v>1238</v>
      </c>
      <c r="I1353">
        <f t="shared" si="224"/>
        <v>2.6877794292155654E-2</v>
      </c>
      <c r="J1353">
        <f t="shared" si="225"/>
        <v>0.37559116565232908</v>
      </c>
      <c r="K1353">
        <f t="shared" si="219"/>
        <v>22.570964031564944</v>
      </c>
      <c r="L1353">
        <f>0.5*Z1353*K1353/J1353/$B$7</f>
        <v>45.070876452252719</v>
      </c>
      <c r="M1353">
        <f t="shared" si="222"/>
        <v>0.97925405255209541</v>
      </c>
      <c r="N1353" s="21">
        <f t="shared" si="226"/>
        <v>7.547307595916744E-2</v>
      </c>
      <c r="O1353" s="21">
        <f t="shared" si="227"/>
        <v>23.667230462078869</v>
      </c>
      <c r="P1353">
        <f t="shared" si="223"/>
        <v>0.92555096604351339</v>
      </c>
      <c r="Q1353">
        <f t="shared" si="220"/>
        <v>0.37559116565232908</v>
      </c>
      <c r="R1353">
        <f t="shared" si="221"/>
        <v>0.38475976124655231</v>
      </c>
      <c r="T1353" s="21">
        <f>(M1353-M1352)/(H1353-H1352)</f>
        <v>2.0274732706702103E-3</v>
      </c>
      <c r="W1353">
        <v>1238</v>
      </c>
      <c r="X1353">
        <v>23.850495999999996</v>
      </c>
      <c r="Y1353">
        <v>1.5</v>
      </c>
      <c r="Z1353">
        <f t="shared" si="218"/>
        <v>1.5</v>
      </c>
      <c r="AA1353" s="21">
        <f>IF(X1353&gt;$B$8+$B$9,0,ABS(X1353-O1353)/X1353)</f>
        <v>7.6839298403323262E-3</v>
      </c>
      <c r="AB1353">
        <f>IF(OR(Z1350&lt;&gt;Z1356,X1353&gt;$B$8+$B$9),0,((X1356-X1350)/(W1356-W1350)-(O1356-O1350)/(W1356-W1350))^2)</f>
        <v>6.65016233434571E-6</v>
      </c>
    </row>
    <row r="1354" spans="7:28" x14ac:dyDescent="0.2">
      <c r="G1354" s="21"/>
      <c r="H1354" s="21">
        <v>1239</v>
      </c>
      <c r="I1354">
        <f t="shared" si="224"/>
        <v>2.6952211824608736E-2</v>
      </c>
      <c r="J1354">
        <f t="shared" si="225"/>
        <v>0.37482752107171013</v>
      </c>
      <c r="K1354">
        <f t="shared" si="219"/>
        <v>22.568813857395092</v>
      </c>
      <c r="L1354">
        <f>0.5*Z1354*K1354/J1354/$B$7</f>
        <v>45.158398040382963</v>
      </c>
      <c r="M1354">
        <f t="shared" si="222"/>
        <v>0.98128930262709746</v>
      </c>
      <c r="N1354" s="21">
        <f t="shared" si="226"/>
        <v>7.5553518716499429E-2</v>
      </c>
      <c r="O1354" s="21">
        <f t="shared" si="227"/>
        <v>23.694182673903477</v>
      </c>
      <c r="P1354">
        <f t="shared" si="223"/>
        <v>0.92668290387082508</v>
      </c>
      <c r="Q1354">
        <f t="shared" si="220"/>
        <v>0.37482752107171013</v>
      </c>
      <c r="R1354">
        <f t="shared" si="221"/>
        <v>0.38369482282475609</v>
      </c>
      <c r="T1354" s="21">
        <f>(M1354-M1353)/(H1354-H1353)</f>
        <v>2.0352500750020486E-3</v>
      </c>
      <c r="W1354">
        <v>1239</v>
      </c>
      <c r="X1354">
        <v>23.873211000000001</v>
      </c>
      <c r="Y1354">
        <v>1.5</v>
      </c>
      <c r="Z1354">
        <f t="shared" si="218"/>
        <v>1.5</v>
      </c>
      <c r="AA1354" s="21">
        <f>IF(X1354&gt;$B$8+$B$9,0,ABS(X1354-O1354)/X1354)</f>
        <v>7.4991305566948921E-3</v>
      </c>
      <c r="AB1354">
        <f>IF(OR(Z1351&lt;&gt;Z1357,X1354&gt;$B$8+$B$9),0,((X1357-X1351)/(W1357-W1351)-(O1357-O1351)/(W1357-W1351))^2)</f>
        <v>7.0411379486268826E-6</v>
      </c>
    </row>
    <row r="1355" spans="7:28" x14ac:dyDescent="0.2">
      <c r="G1355" s="21"/>
      <c r="H1355" s="21">
        <v>1240</v>
      </c>
      <c r="I1355">
        <f t="shared" si="224"/>
        <v>2.702722346606946E-2</v>
      </c>
      <c r="J1355">
        <f t="shared" si="225"/>
        <v>0.37406249517614176</v>
      </c>
      <c r="K1355">
        <f t="shared" si="219"/>
        <v>22.566693356766066</v>
      </c>
      <c r="L1355">
        <f>0.5*Z1355*K1355/J1355/$B$7</f>
        <v>45.246503554452183</v>
      </c>
      <c r="M1355">
        <f t="shared" si="222"/>
        <v>0.98333239612570644</v>
      </c>
      <c r="N1355" s="21">
        <f t="shared" si="226"/>
        <v>7.5634324639081374E-2</v>
      </c>
      <c r="O1355" s="21">
        <f t="shared" si="227"/>
        <v>23.721209897369548</v>
      </c>
      <c r="P1355">
        <f t="shared" si="223"/>
        <v>0.92781688919861338</v>
      </c>
      <c r="Q1355">
        <f t="shared" si="220"/>
        <v>0.37406249517614176</v>
      </c>
      <c r="R1355">
        <f t="shared" si="221"/>
        <v>0.3826338528287358</v>
      </c>
      <c r="T1355" s="21">
        <f>(M1355-M1354)/(H1355-H1354)</f>
        <v>2.0430934986089833E-3</v>
      </c>
      <c r="W1355">
        <v>1240</v>
      </c>
      <c r="X1355">
        <v>23.902415000000001</v>
      </c>
      <c r="Y1355">
        <v>1.5</v>
      </c>
      <c r="Z1355">
        <f t="shared" si="218"/>
        <v>1.5</v>
      </c>
      <c r="AA1355" s="21">
        <f>IF(X1355&gt;$B$8+$B$9,0,ABS(X1355-O1355)/X1355)</f>
        <v>7.5810374236433328E-3</v>
      </c>
      <c r="AB1355">
        <f>IF(OR(Z1352&lt;&gt;Z1358,X1355&gt;$B$8+$B$9),0,((X1358-X1352)/(W1358-W1352)-(O1358-O1352)/(W1358-W1352))^2)</f>
        <v>6.0442316088679699E-6</v>
      </c>
    </row>
    <row r="1356" spans="7:28" x14ac:dyDescent="0.2">
      <c r="G1356" s="21"/>
      <c r="H1356" s="21">
        <v>1241</v>
      </c>
      <c r="I1356">
        <f t="shared" si="224"/>
        <v>2.7102835874763122E-2</v>
      </c>
      <c r="J1356">
        <f t="shared" si="225"/>
        <v>0.37329607759286831</v>
      </c>
      <c r="K1356">
        <f t="shared" si="219"/>
        <v>22.564602658617908</v>
      </c>
      <c r="L1356">
        <f>0.5*Z1356*K1356/J1356/$B$7</f>
        <v>45.335199081359832</v>
      </c>
      <c r="M1356">
        <f t="shared" si="222"/>
        <v>0.98538340050263551</v>
      </c>
      <c r="N1356" s="21">
        <f t="shared" si="226"/>
        <v>7.5715497688044073E-2</v>
      </c>
      <c r="O1356" s="21">
        <f t="shared" si="227"/>
        <v>23.748312733244312</v>
      </c>
      <c r="P1356">
        <f t="shared" si="223"/>
        <v>0.92895293740224361</v>
      </c>
      <c r="Q1356">
        <f t="shared" si="220"/>
        <v>0.37329607759286831</v>
      </c>
      <c r="R1356">
        <f t="shared" si="221"/>
        <v>0.3815768200105773</v>
      </c>
      <c r="T1356" s="21">
        <f>(M1356-M1355)/(H1356-H1355)</f>
        <v>2.0510043769290665E-3</v>
      </c>
      <c r="W1356">
        <v>1241</v>
      </c>
      <c r="X1356">
        <v>23.933241999999996</v>
      </c>
      <c r="Y1356">
        <v>1.5</v>
      </c>
      <c r="Z1356">
        <f t="shared" si="218"/>
        <v>1.5</v>
      </c>
      <c r="AA1356" s="21">
        <f>IF(X1356&gt;$B$8+$B$9,0,ABS(X1356-O1356)/X1356)</f>
        <v>7.7268790728679624E-3</v>
      </c>
      <c r="AB1356">
        <f>IF(OR(Z1353&lt;&gt;Z1359,X1356&gt;$B$8+$B$9),0,((X1359-X1353)/(W1359-W1353)-(O1359-O1353)/(W1359-W1353))^2)</f>
        <v>2.9690523522341013E-6</v>
      </c>
    </row>
    <row r="1357" spans="7:28" x14ac:dyDescent="0.2">
      <c r="G1357" s="21"/>
      <c r="H1357" s="21">
        <v>1242</v>
      </c>
      <c r="I1357">
        <f t="shared" si="224"/>
        <v>2.7179055813065019E-2</v>
      </c>
      <c r="J1357">
        <f t="shared" si="225"/>
        <v>0.3725282578416641</v>
      </c>
      <c r="K1357">
        <f t="shared" si="219"/>
        <v>22.562541893896327</v>
      </c>
      <c r="L1357">
        <f>0.5*Z1357*K1357/J1357/$B$7</f>
        <v>45.424490798264685</v>
      </c>
      <c r="M1357">
        <f t="shared" si="222"/>
        <v>0.9874423840621237</v>
      </c>
      <c r="N1357" s="21">
        <f t="shared" si="226"/>
        <v>7.5797041881772276E-2</v>
      </c>
      <c r="O1357" s="21">
        <f t="shared" si="227"/>
        <v>23.775491789057376</v>
      </c>
      <c r="P1357">
        <f t="shared" si="223"/>
        <v>0.93009106401638209</v>
      </c>
      <c r="Q1357">
        <f t="shared" si="220"/>
        <v>0.3725282578416641</v>
      </c>
      <c r="R1357">
        <f t="shared" si="221"/>
        <v>0.38052369335916431</v>
      </c>
      <c r="T1357" s="21">
        <f>(M1357-M1356)/(H1357-H1356)</f>
        <v>2.0589835594881922E-3</v>
      </c>
      <c r="W1357">
        <v>1242</v>
      </c>
      <c r="X1357">
        <v>23.954333999999999</v>
      </c>
      <c r="Y1357">
        <v>1.5</v>
      </c>
      <c r="Z1357">
        <f t="shared" si="218"/>
        <v>1.5</v>
      </c>
      <c r="AA1357" s="21">
        <f>IF(X1357&gt;$B$8+$B$9,0,ABS(X1357-O1357)/X1357)</f>
        <v>7.4659646535204394E-3</v>
      </c>
      <c r="AB1357">
        <f>IF(OR(Z1354&lt;&gt;Z1360,X1357&gt;$B$8+$B$9),0,((X1360-X1354)/(W1360-W1354)-(O1360-O1354)/(W1360-W1354))^2)</f>
        <v>5.1571098403866623E-7</v>
      </c>
    </row>
    <row r="1358" spans="7:28" x14ac:dyDescent="0.2">
      <c r="G1358" s="21"/>
      <c r="H1358" s="21">
        <v>1243</v>
      </c>
      <c r="I1358">
        <f t="shared" si="224"/>
        <v>2.7255890149549072E-2</v>
      </c>
      <c r="J1358">
        <f t="shared" si="225"/>
        <v>0.37175902533321514</v>
      </c>
      <c r="K1358">
        <f t="shared" si="219"/>
        <v>22.560511195582556</v>
      </c>
      <c r="L1358">
        <f>0.5*Z1358*K1358/J1358/$B$7</f>
        <v>45.514384974301116</v>
      </c>
      <c r="M1358">
        <f t="shared" si="222"/>
        <v>0.98950941597231357</v>
      </c>
      <c r="N1358" s="21">
        <f t="shared" si="226"/>
        <v>7.5878961296989886E-2</v>
      </c>
      <c r="O1358" s="21">
        <f t="shared" si="227"/>
        <v>23.802747679206927</v>
      </c>
      <c r="P1358">
        <f t="shared" si="223"/>
        <v>0.93123128473739558</v>
      </c>
      <c r="Q1358">
        <f t="shared" si="220"/>
        <v>0.37175902533321514</v>
      </c>
      <c r="R1358">
        <f t="shared" si="221"/>
        <v>0.3794744420968395</v>
      </c>
      <c r="T1358" s="21">
        <f>(M1358-M1357)/(H1358-H1357)</f>
        <v>2.0670319101898649E-3</v>
      </c>
      <c r="W1358">
        <v>1243</v>
      </c>
      <c r="X1358">
        <v>23.993272999999999</v>
      </c>
      <c r="Y1358">
        <v>1.5</v>
      </c>
      <c r="Z1358">
        <f t="shared" si="218"/>
        <v>1.5</v>
      </c>
      <c r="AA1358" s="21">
        <f>IF(X1358&gt;$B$8+$B$9,0,ABS(X1358-O1358)/X1358)</f>
        <v>7.9407807677206559E-3</v>
      </c>
      <c r="AB1358">
        <f>IF(OR(Z1355&lt;&gt;Z1361,X1358&gt;$B$8+$B$9),0,((X1361-X1355)/(W1361-W1355)-(O1361-O1355)/(W1361-W1355))^2)</f>
        <v>1.1355415815013875E-6</v>
      </c>
    </row>
    <row r="1359" spans="7:28" x14ac:dyDescent="0.2">
      <c r="G1359" s="21"/>
      <c r="H1359" s="21">
        <v>1244</v>
      </c>
      <c r="I1359">
        <f t="shared" si="224"/>
        <v>2.7333345861085562E-2</v>
      </c>
      <c r="J1359">
        <f t="shared" si="225"/>
        <v>0.37098836936746571</v>
      </c>
      <c r="K1359">
        <f t="shared" si="219"/>
        <v>22.558510698723691</v>
      </c>
      <c r="L1359">
        <f>0.5*Z1359*K1359/J1359/$B$7</f>
        <v>45.604887972335689</v>
      </c>
      <c r="M1359">
        <f t="shared" si="222"/>
        <v>0.99158456627994407</v>
      </c>
      <c r="N1359" s="21">
        <f t="shared" si="226"/>
        <v>7.5961260069870945E-2</v>
      </c>
      <c r="O1359" s="21">
        <f t="shared" si="227"/>
        <v>23.830081025068012</v>
      </c>
      <c r="P1359">
        <f t="shared" si="223"/>
        <v>0.93237361542580055</v>
      </c>
      <c r="Q1359">
        <f t="shared" si="220"/>
        <v>0.37098836936746571</v>
      </c>
      <c r="R1359">
        <f t="shared" si="221"/>
        <v>0.37842903567609426</v>
      </c>
      <c r="T1359" s="21">
        <f>(M1359-M1358)/(H1359-H1358)</f>
        <v>2.0751503076305022E-3</v>
      </c>
      <c r="W1359">
        <v>1244</v>
      </c>
      <c r="X1359">
        <v>24.003007999999998</v>
      </c>
      <c r="Y1359">
        <v>1.5</v>
      </c>
      <c r="Z1359">
        <f t="shared" si="218"/>
        <v>1.5</v>
      </c>
      <c r="AA1359" s="21">
        <f>IF(X1359&gt;$B$8+$B$9,0,ABS(X1359-O1359)/X1359)</f>
        <v>7.2043876722445027E-3</v>
      </c>
      <c r="AB1359">
        <f>IF(OR(Z1356&lt;&gt;Z1362,X1359&gt;$B$8+$B$9),0,((X1362-X1356)/(W1362-W1356)-(O1362-O1356)/(W1362-W1356))^2)</f>
        <v>1.0934468158797399E-5</v>
      </c>
    </row>
    <row r="1360" spans="7:28" x14ac:dyDescent="0.2">
      <c r="G1360" s="21"/>
      <c r="H1360" s="21">
        <v>1245</v>
      </c>
      <c r="I1360">
        <f t="shared" si="224"/>
        <v>2.7411430034989252E-2</v>
      </c>
      <c r="J1360">
        <f t="shared" si="225"/>
        <v>0.37021627913193778</v>
      </c>
      <c r="K1360">
        <f t="shared" si="219"/>
        <v>22.556540540463764</v>
      </c>
      <c r="L1360">
        <f>0.5*Z1360*K1360/J1360/$B$7</f>
        <v>45.696006250764547</v>
      </c>
      <c r="M1360">
        <f t="shared" si="222"/>
        <v>0.99366790592534404</v>
      </c>
      <c r="N1360" s="21">
        <f t="shared" si="226"/>
        <v>7.604394239717574E-2</v>
      </c>
      <c r="O1360" s="21">
        <f t="shared" si="227"/>
        <v>23.857492455102999</v>
      </c>
      <c r="P1360">
        <f t="shared" si="223"/>
        <v>0.93351807210875604</v>
      </c>
      <c r="Q1360">
        <f t="shared" si="220"/>
        <v>0.37021627913193778</v>
      </c>
      <c r="R1360">
        <f t="shared" si="221"/>
        <v>0.37738744377629374</v>
      </c>
      <c r="T1360" s="21">
        <f>(M1360-M1359)/(H1360-H1359)</f>
        <v>2.0833396453999731E-3</v>
      </c>
      <c r="W1360">
        <v>1245</v>
      </c>
      <c r="X1360">
        <v>24.032211999999998</v>
      </c>
      <c r="Y1360">
        <v>1.5</v>
      </c>
      <c r="Z1360">
        <f t="shared" si="218"/>
        <v>1.5</v>
      </c>
      <c r="AA1360" s="21">
        <f>IF(X1360&gt;$B$8+$B$9,0,ABS(X1360-O1360)/X1360)</f>
        <v>7.2702231861552433E-3</v>
      </c>
      <c r="AB1360">
        <f>IF(OR(Z1357&lt;&gt;Z1363,X1360&gt;$B$8+$B$9),0,((X1363-X1357)/(W1363-W1357)-(O1363-O1357)/(W1363-W1357))^2)</f>
        <v>5.3060005375680688E-6</v>
      </c>
    </row>
    <row r="1361" spans="7:28" x14ac:dyDescent="0.2">
      <c r="G1361" s="21"/>
      <c r="H1361" s="21">
        <v>1246</v>
      </c>
      <c r="I1361">
        <f t="shared" si="224"/>
        <v>2.7490149871219133E-2</v>
      </c>
      <c r="J1361">
        <f t="shared" si="225"/>
        <v>0.36944274370001473</v>
      </c>
      <c r="K1361">
        <f t="shared" si="219"/>
        <v>22.554600860075414</v>
      </c>
      <c r="L1361">
        <f>0.5*Z1361*K1361/J1361/$B$7</f>
        <v>45.787746365353463</v>
      </c>
      <c r="M1361">
        <f t="shared" si="222"/>
        <v>0.99575950675775526</v>
      </c>
      <c r="N1361" s="21">
        <f t="shared" si="226"/>
        <v>7.6127012537414149E-2</v>
      </c>
      <c r="O1361" s="21">
        <f t="shared" si="227"/>
        <v>23.884982604974219</v>
      </c>
      <c r="P1361">
        <f t="shared" si="223"/>
        <v>0.93466467098260642</v>
      </c>
      <c r="Q1361">
        <f t="shared" si="220"/>
        <v>0.36944274370001473</v>
      </c>
      <c r="R1361">
        <f t="shared" si="221"/>
        <v>0.37634963630043072</v>
      </c>
      <c r="T1361" s="21">
        <f>(M1361-M1360)/(H1361-H1360)</f>
        <v>2.0916008324112223E-3</v>
      </c>
      <c r="W1361">
        <v>1246</v>
      </c>
      <c r="X1361">
        <v>24.059794</v>
      </c>
      <c r="Y1361">
        <v>1.5</v>
      </c>
      <c r="Z1361">
        <f t="shared" si="218"/>
        <v>1.5</v>
      </c>
      <c r="AA1361" s="21">
        <f>IF(X1361&gt;$B$8+$B$9,0,ABS(X1361-O1361)/X1361)</f>
        <v>7.2657062244914075E-3</v>
      </c>
      <c r="AB1361">
        <f>IF(OR(Z1358&lt;&gt;Z1364,X1361&gt;$B$8+$B$9),0,((X1364-X1358)/(W1364-W1358)-(O1364-O1358)/(W1364-W1358))^2)</f>
        <v>1.3946691229111467E-5</v>
      </c>
    </row>
    <row r="1362" spans="7:28" x14ac:dyDescent="0.2">
      <c r="G1362" s="21"/>
      <c r="H1362" s="21">
        <v>1247</v>
      </c>
      <c r="I1362">
        <f t="shared" si="224"/>
        <v>2.7569512684631897E-2</v>
      </c>
      <c r="J1362">
        <f t="shared" si="225"/>
        <v>0.36866775202919333</v>
      </c>
      <c r="K1362">
        <f t="shared" si="219"/>
        <v>22.552691798992221</v>
      </c>
      <c r="L1362">
        <f>0.5*Z1362*K1362/J1362/$B$7</f>
        <v>45.880114971121138</v>
      </c>
      <c r="M1362">
        <f t="shared" si="222"/>
        <v>0.99785944155098016</v>
      </c>
      <c r="N1362" s="21">
        <f t="shared" si="226"/>
        <v>7.6210474812036036E-2</v>
      </c>
      <c r="O1362" s="21">
        <f t="shared" si="227"/>
        <v>23.912552117658851</v>
      </c>
      <c r="P1362">
        <f t="shared" si="223"/>
        <v>0.93581342841547299</v>
      </c>
      <c r="Q1362">
        <f t="shared" si="220"/>
        <v>0.36866775202919333</v>
      </c>
      <c r="R1362">
        <f t="shared" si="221"/>
        <v>0.37531558337191068</v>
      </c>
      <c r="T1362" s="21">
        <f>(M1362-M1361)/(H1362-H1361)</f>
        <v>2.0999347932249002E-3</v>
      </c>
      <c r="W1362">
        <v>1247</v>
      </c>
      <c r="X1362">
        <v>24.077640999999996</v>
      </c>
      <c r="Y1362">
        <v>1.5</v>
      </c>
      <c r="Z1362">
        <f t="shared" si="218"/>
        <v>1.5</v>
      </c>
      <c r="AA1362" s="21">
        <f>IF(X1362&gt;$B$8+$B$9,0,ABS(X1362-O1362)/X1362)</f>
        <v>6.8565222955664536E-3</v>
      </c>
      <c r="AB1362">
        <f>IF(OR(Z1359&lt;&gt;Z1365,X1362&gt;$B$8+$B$9),0,((X1365-X1359)/(W1365-W1359)-(O1365-O1359)/(W1365-W1359))^2)</f>
        <v>9.0183588507096208E-6</v>
      </c>
    </row>
    <row r="1363" spans="7:28" x14ac:dyDescent="0.2">
      <c r="G1363" s="21"/>
      <c r="H1363" s="21">
        <v>1248</v>
      </c>
      <c r="I1363">
        <f t="shared" si="224"/>
        <v>2.7649525907289901E-2</v>
      </c>
      <c r="J1363">
        <f t="shared" si="225"/>
        <v>0.36789129295930179</v>
      </c>
      <c r="K1363">
        <f t="shared" si="219"/>
        <v>22.550813500841745</v>
      </c>
      <c r="L1363">
        <f>0.5*Z1363*K1363/J1363/$B$7</f>
        <v>45.973118824267289</v>
      </c>
      <c r="M1363">
        <f t="shared" si="222"/>
        <v>0.99996778401936715</v>
      </c>
      <c r="N1363" s="21">
        <f t="shared" si="226"/>
        <v>7.6294333606649806E-2</v>
      </c>
      <c r="O1363" s="21">
        <f t="shared" si="227"/>
        <v>23.940201643566141</v>
      </c>
      <c r="P1363">
        <f t="shared" si="223"/>
        <v>0.93696436094989521</v>
      </c>
      <c r="Q1363">
        <f t="shared" si="220"/>
        <v>0.36789129295930179</v>
      </c>
      <c r="R1363">
        <f t="shared" si="221"/>
        <v>0.37428525533136653</v>
      </c>
      <c r="T1363" s="21">
        <f>(M1363-M1362)/(H1363-H1362)</f>
        <v>2.1083424683869811E-3</v>
      </c>
      <c r="W1363">
        <v>1248</v>
      </c>
      <c r="X1363">
        <v>24.105222999999999</v>
      </c>
      <c r="Y1363">
        <v>1.5</v>
      </c>
      <c r="Z1363">
        <f t="shared" si="218"/>
        <v>1.5</v>
      </c>
      <c r="AA1363" s="21">
        <f>IF(X1363&gt;$B$8+$B$9,0,ABS(X1363-O1363)/X1363)</f>
        <v>6.8458755363457061E-3</v>
      </c>
      <c r="AB1363">
        <f>IF(OR(Z1360&lt;&gt;Z1366,X1363&gt;$B$8+$B$9),0,((X1366-X1360)/(W1366-W1360)-(O1366-O1360)/(W1366-W1360))^2)</f>
        <v>4.0063115693356732E-6</v>
      </c>
    </row>
    <row r="1364" spans="7:28" x14ac:dyDescent="0.2">
      <c r="G1364" s="21"/>
      <c r="H1364" s="21">
        <v>1249</v>
      </c>
      <c r="I1364">
        <f t="shared" si="224"/>
        <v>2.7730197090825543E-2</v>
      </c>
      <c r="J1364">
        <f t="shared" si="225"/>
        <v>0.36711335521068256</v>
      </c>
      <c r="K1364">
        <f t="shared" si="219"/>
        <v>22.548966111479242</v>
      </c>
      <c r="L1364">
        <f>0.5*Z1364*K1364/J1364/$B$7</f>
        <v>46.066764784146756</v>
      </c>
      <c r="M1364">
        <f t="shared" si="222"/>
        <v>1.0020846088341424</v>
      </c>
      <c r="N1364" s="21">
        <f t="shared" si="226"/>
        <v>7.6378593372269765E-2</v>
      </c>
      <c r="O1364" s="21">
        <f t="shared" si="227"/>
        <v>23.967931840656966</v>
      </c>
      <c r="P1364">
        <f t="shared" si="223"/>
        <v>0.9381174853055243</v>
      </c>
      <c r="Q1364">
        <f t="shared" si="220"/>
        <v>0.36711335521068256</v>
      </c>
      <c r="R1364">
        <f t="shared" si="221"/>
        <v>0.37325862273350124</v>
      </c>
      <c r="T1364" s="21">
        <f>(M1364-M1363)/(H1364-H1363)</f>
        <v>2.1168248147752644E-3</v>
      </c>
      <c r="W1364">
        <v>1249</v>
      </c>
      <c r="X1364">
        <v>24.136050000000001</v>
      </c>
      <c r="Y1364">
        <v>1.5</v>
      </c>
      <c r="Z1364">
        <f t="shared" si="218"/>
        <v>1.5</v>
      </c>
      <c r="AA1364" s="21">
        <f>IF(X1364&gt;$B$8+$B$9,0,ABS(X1364-O1364)/X1364)</f>
        <v>6.9654379794139689E-3</v>
      </c>
      <c r="AB1364">
        <f>IF(OR(Z1361&lt;&gt;Z1367,X1364&gt;$B$8+$B$9),0,((X1367-X1361)/(W1367-W1361)-(O1367-O1361)/(W1367-W1361))^2)</f>
        <v>1.8027878424838123E-5</v>
      </c>
    </row>
    <row r="1365" spans="7:28" x14ac:dyDescent="0.2">
      <c r="G1365" s="21"/>
      <c r="H1365" s="21">
        <v>1250</v>
      </c>
      <c r="I1365">
        <f t="shared" si="224"/>
        <v>2.7811533908864004E-2</v>
      </c>
      <c r="J1365">
        <f t="shared" si="225"/>
        <v>0.36633392738233939</v>
      </c>
      <c r="K1365">
        <f t="shared" si="219"/>
        <v>22.547149779022082</v>
      </c>
      <c r="L1365">
        <f>0.5*Z1365*K1365/J1365/$B$7</f>
        <v>46.161059815290791</v>
      </c>
      <c r="M1365">
        <f t="shared" si="222"/>
        <v>1.0042099916400984</v>
      </c>
      <c r="N1365" s="21">
        <f t="shared" si="226"/>
        <v>7.6463258626593464E-2</v>
      </c>
      <c r="O1365" s="21">
        <f t="shared" si="227"/>
        <v>23.99574337456583</v>
      </c>
      <c r="P1365">
        <f t="shared" si="223"/>
        <v>0.93927281838186971</v>
      </c>
      <c r="Q1365">
        <f t="shared" si="220"/>
        <v>0.36633392738233939</v>
      </c>
      <c r="R1365">
        <f t="shared" si="221"/>
        <v>0.37223565634395867</v>
      </c>
      <c r="T1365" s="21">
        <f>(M1365-M1364)/(H1365-H1364)</f>
        <v>2.1253828059559776E-3</v>
      </c>
      <c r="W1365">
        <v>1250</v>
      </c>
      <c r="X1365">
        <v>24.150651999999997</v>
      </c>
      <c r="Y1365">
        <v>1.5</v>
      </c>
      <c r="Z1365">
        <f t="shared" si="218"/>
        <v>1.5</v>
      </c>
      <c r="AA1365" s="21">
        <f>IF(X1365&gt;$B$8+$B$9,0,ABS(X1365-O1365)/X1365)</f>
        <v>6.4142626639714494E-3</v>
      </c>
      <c r="AB1365">
        <f>IF(OR(Z1362&lt;&gt;Z1368,X1365&gt;$B$8+$B$9),0,((X1368-X1362)/(W1368-W1362)-(O1368-O1362)/(W1368-W1362))^2)</f>
        <v>7.2571544730508064E-8</v>
      </c>
    </row>
    <row r="1366" spans="7:28" x14ac:dyDescent="0.2">
      <c r="G1366" s="21"/>
      <c r="H1366" s="21">
        <v>1251</v>
      </c>
      <c r="I1366">
        <f t="shared" si="224"/>
        <v>2.7893544159505183E-2</v>
      </c>
      <c r="J1366">
        <f t="shared" si="225"/>
        <v>0.36555299795004947</v>
      </c>
      <c r="K1366">
        <f t="shared" si="219"/>
        <v>22.545364653884938</v>
      </c>
      <c r="L1366">
        <f>0.5*Z1366*K1366/J1366/$B$7</f>
        <v>46.256010989476863</v>
      </c>
      <c r="M1366">
        <f t="shared" si="222"/>
        <v>1.0063440090726408</v>
      </c>
      <c r="N1366" s="21">
        <f t="shared" si="226"/>
        <v>7.6548333955309092E-2</v>
      </c>
      <c r="O1366" s="21">
        <f t="shared" si="227"/>
        <v>24.023636918725334</v>
      </c>
      <c r="P1366">
        <f t="shared" si="223"/>
        <v>0.94043037726109813</v>
      </c>
      <c r="Q1366">
        <f t="shared" si="220"/>
        <v>0.36555299795004947</v>
      </c>
      <c r="R1366">
        <f t="shared" si="221"/>
        <v>0.37121632713622255</v>
      </c>
      <c r="T1366" s="21">
        <f>(M1366-M1365)/(H1366-H1365)</f>
        <v>2.1340174325423789E-3</v>
      </c>
      <c r="W1366">
        <v>1251</v>
      </c>
      <c r="X1366">
        <v>24.186347000000001</v>
      </c>
      <c r="Y1366">
        <v>1.5</v>
      </c>
      <c r="Z1366">
        <f t="shared" si="218"/>
        <v>1.5</v>
      </c>
      <c r="AA1366" s="21">
        <f>IF(X1366&gt;$B$8+$B$9,0,ABS(X1366-O1366)/X1366)</f>
        <v>6.7273524718167469E-3</v>
      </c>
      <c r="AB1366">
        <f>IF(OR(Z1363&lt;&gt;Z1369,X1366&gt;$B$8+$B$9),0,((X1369-X1363)/(W1369-W1363)-(O1369-O1363)/(W1369-W1363))^2)</f>
        <v>1.9447839994303293E-5</v>
      </c>
    </row>
    <row r="1367" spans="7:28" x14ac:dyDescent="0.2">
      <c r="G1367" s="21"/>
      <c r="H1367" s="21">
        <v>1252</v>
      </c>
      <c r="I1367">
        <f t="shared" si="224"/>
        <v>2.7976235767867504E-2</v>
      </c>
      <c r="J1367">
        <f t="shared" si="225"/>
        <v>0.36477055526443547</v>
      </c>
      <c r="K1367">
        <f t="shared" si="219"/>
        <v>22.543610888815685</v>
      </c>
      <c r="L1367">
        <f>0.5*Z1367*K1367/J1367/$B$7</f>
        <v>46.351625487848786</v>
      </c>
      <c r="M1367">
        <f t="shared" si="222"/>
        <v>1.0084867387752188</v>
      </c>
      <c r="N1367" s="21">
        <f t="shared" si="226"/>
        <v>7.6633824013434951E-2</v>
      </c>
      <c r="O1367" s="21">
        <f t="shared" si="227"/>
        <v>24.0516131544932</v>
      </c>
      <c r="P1367">
        <f t="shared" si="223"/>
        <v>0.94159017921088994</v>
      </c>
      <c r="Q1367">
        <f t="shared" si="220"/>
        <v>0.36477055526443547</v>
      </c>
      <c r="R1367">
        <f t="shared" si="221"/>
        <v>0.37020060628854018</v>
      </c>
      <c r="T1367" s="21">
        <f>(M1367-M1366)/(H1367-H1366)</f>
        <v>2.1427297025780057E-3</v>
      </c>
      <c r="W1367">
        <v>1252</v>
      </c>
      <c r="X1367">
        <v>24.200948999999998</v>
      </c>
      <c r="Y1367">
        <v>1.5</v>
      </c>
      <c r="Z1367">
        <f t="shared" si="218"/>
        <v>1.5</v>
      </c>
      <c r="AA1367" s="21">
        <f>IF(X1367&gt;$B$8+$B$9,0,ABS(X1367-O1367)/X1367)</f>
        <v>6.1706607251970861E-3</v>
      </c>
      <c r="AB1367">
        <f>IF(OR(Z1364&lt;&gt;Z1370,X1367&gt;$B$8+$B$9),0,((X1370-X1364)/(W1370-W1364)-(O1370-O1364)/(W1370-W1364))^2)</f>
        <v>1.7831062957732393E-5</v>
      </c>
    </row>
    <row r="1368" spans="7:28" x14ac:dyDescent="0.2">
      <c r="G1368" s="21"/>
      <c r="H1368" s="21">
        <v>1253</v>
      </c>
      <c r="I1368">
        <f t="shared" si="224"/>
        <v>2.8059616788694806E-2</v>
      </c>
      <c r="J1368">
        <f t="shared" si="225"/>
        <v>0.36398658754900248</v>
      </c>
      <c r="K1368">
        <f t="shared" si="219"/>
        <v>22.541888638932086</v>
      </c>
      <c r="L1368">
        <f>0.5*Z1368*K1368/J1368/$B$7</f>
        <v>46.44791060308782</v>
      </c>
      <c r="M1368">
        <f t="shared" si="222"/>
        <v>1.0106382594171286</v>
      </c>
      <c r="N1368" s="21">
        <f t="shared" si="226"/>
        <v>7.6719733526690564E-2</v>
      </c>
      <c r="O1368" s="21">
        <f t="shared" si="227"/>
        <v>24.079672771281896</v>
      </c>
      <c r="P1368">
        <f t="shared" si="223"/>
        <v>0.94275224168735061</v>
      </c>
      <c r="Q1368">
        <f t="shared" si="220"/>
        <v>0.36398658754900248</v>
      </c>
      <c r="R1368">
        <f t="shared" si="221"/>
        <v>0.36918846518087295</v>
      </c>
      <c r="T1368" s="21">
        <f>(M1368-M1367)/(H1368-H1367)</f>
        <v>2.151520641909821E-3</v>
      </c>
      <c r="W1368">
        <v>1253</v>
      </c>
      <c r="X1368">
        <v>24.246377999999996</v>
      </c>
      <c r="Y1368">
        <v>1.5</v>
      </c>
      <c r="Z1368">
        <f t="shared" si="218"/>
        <v>1.5</v>
      </c>
      <c r="AA1368" s="21">
        <f>IF(X1368&gt;$B$8+$B$9,0,ABS(X1368-O1368)/X1368)</f>
        <v>6.8754693471371605E-3</v>
      </c>
      <c r="AB1368">
        <f>IF(OR(Z1365&lt;&gt;Z1371,X1368&gt;$B$8+$B$9),0,((X1371-X1365)/(W1371-W1365)-(O1371-O1365)/(W1371-W1365))^2)</f>
        <v>4.5928425706685313E-6</v>
      </c>
    </row>
    <row r="1369" spans="7:28" x14ac:dyDescent="0.2">
      <c r="G1369" s="21"/>
      <c r="H1369" s="21">
        <v>1254</v>
      </c>
      <c r="I1369">
        <f t="shared" si="224"/>
        <v>2.8143695409028155E-2</v>
      </c>
      <c r="J1369">
        <f t="shared" si="225"/>
        <v>0.3632010828981328</v>
      </c>
      <c r="K1369">
        <f t="shared" si="219"/>
        <v>22.540198061759241</v>
      </c>
      <c r="L1369">
        <f>0.5*Z1369*K1369/J1369/$B$7</f>
        <v>46.544873741637019</v>
      </c>
      <c r="M1369">
        <f t="shared" si="222"/>
        <v>1.0127986507117213</v>
      </c>
      <c r="N1369" s="21">
        <f t="shared" si="226"/>
        <v>7.6806067292901667E-2</v>
      </c>
      <c r="O1369" s="21">
        <f t="shared" si="227"/>
        <v>24.107816466690924</v>
      </c>
      <c r="P1369">
        <f t="shared" si="223"/>
        <v>0.94391658233798159</v>
      </c>
      <c r="Q1369">
        <f t="shared" si="220"/>
        <v>0.3632010828981328</v>
      </c>
      <c r="R1369">
        <f t="shared" si="221"/>
        <v>0.36817987539187097</v>
      </c>
      <c r="T1369" s="21">
        <f>(M1369-M1368)/(H1369-H1368)</f>
        <v>2.1603912945926673E-3</v>
      </c>
      <c r="W1369">
        <v>1254</v>
      </c>
      <c r="X1369">
        <v>24.246377999999996</v>
      </c>
      <c r="Y1369">
        <v>1.5</v>
      </c>
      <c r="Z1369">
        <f t="shared" si="218"/>
        <v>1.5</v>
      </c>
      <c r="AA1369" s="21">
        <f>IF(X1369&gt;$B$8+$B$9,0,ABS(X1369-O1369)/X1369)</f>
        <v>5.7147312191978793E-3</v>
      </c>
      <c r="AB1369">
        <f>IF(OR(Z1366&lt;&gt;Z1372,X1369&gt;$B$8+$B$9),0,((X1372-X1366)/(W1372-W1366)-(O1372-O1366)/(W1372-W1366))^2)</f>
        <v>1.4824049756412099E-5</v>
      </c>
    </row>
    <row r="1370" spans="7:28" x14ac:dyDescent="0.2">
      <c r="G1370" s="21"/>
      <c r="H1370" s="21">
        <v>1255</v>
      </c>
      <c r="I1370">
        <f t="shared" si="224"/>
        <v>2.8228479950944727E-2</v>
      </c>
      <c r="J1370">
        <f t="shared" si="225"/>
        <v>0.36241402927504307</v>
      </c>
      <c r="K1370">
        <f t="shared" si="219"/>
        <v>22.53853931726789</v>
      </c>
      <c r="L1370">
        <f>0.5*Z1370*K1370/J1370/$B$7</f>
        <v>46.642522425979863</v>
      </c>
      <c r="M1370">
        <f t="shared" si="222"/>
        <v>1.0149679934350055</v>
      </c>
      <c r="N1370" s="21">
        <f t="shared" si="226"/>
        <v>7.6892830183438787E-2</v>
      </c>
      <c r="O1370" s="21">
        <f t="shared" si="227"/>
        <v>24.136044946641867</v>
      </c>
      <c r="P1370">
        <f t="shared" si="223"/>
        <v>0.94508321900470926</v>
      </c>
      <c r="Q1370">
        <f t="shared" si="220"/>
        <v>0.36241402927504307</v>
      </c>
      <c r="R1370">
        <f t="shared" si="221"/>
        <v>0.3671748086958726</v>
      </c>
      <c r="T1370" s="21">
        <f>(M1370-M1369)/(H1370-H1369)</f>
        <v>2.1693427232842843E-3</v>
      </c>
      <c r="W1370">
        <v>1255</v>
      </c>
      <c r="X1370">
        <v>24.278826999999996</v>
      </c>
      <c r="Y1370">
        <v>1.5</v>
      </c>
      <c r="Z1370">
        <f t="shared" si="218"/>
        <v>1.5</v>
      </c>
      <c r="AA1370" s="21">
        <f>IF(X1370&gt;$B$8+$B$9,0,ABS(X1370-O1370)/X1370)</f>
        <v>5.8809288174477706E-3</v>
      </c>
      <c r="AB1370">
        <f>IF(OR(Z1367&lt;&gt;Z1373,X1370&gt;$B$8+$B$9),0,((X1373-X1367)/(W1373-W1367)-(O1373-O1367)/(W1373-W1367))^2)</f>
        <v>4.7658915501302039E-7</v>
      </c>
    </row>
    <row r="1371" spans="7:28" x14ac:dyDescent="0.2">
      <c r="G1371" s="21"/>
      <c r="H1371" s="21">
        <v>1256</v>
      </c>
      <c r="I1371">
        <f t="shared" si="224"/>
        <v>2.8313978874365934E-2</v>
      </c>
      <c r="J1371">
        <f t="shared" si="225"/>
        <v>0.36162541450969865</v>
      </c>
      <c r="K1371">
        <f t="shared" si="219"/>
        <v>22.53691256791349</v>
      </c>
      <c r="L1371">
        <f>0.5*Z1371*K1371/J1371/$B$7</f>
        <v>46.740864296974884</v>
      </c>
      <c r="M1371">
        <f t="shared" si="222"/>
        <v>1.0171463694446734</v>
      </c>
      <c r="N1371" s="21">
        <f t="shared" si="226"/>
        <v>7.6980027144691487E-2</v>
      </c>
      <c r="O1371" s="21">
        <f t="shared" si="227"/>
        <v>24.164358925516233</v>
      </c>
      <c r="P1371">
        <f t="shared" si="223"/>
        <v>0.94625216972697646</v>
      </c>
      <c r="Q1371">
        <f t="shared" si="220"/>
        <v>0.36162541450969865</v>
      </c>
      <c r="R1371">
        <f t="shared" si="221"/>
        <v>0.36617323705992594</v>
      </c>
      <c r="T1371" s="21">
        <f>(M1371-M1370)/(H1371-H1370)</f>
        <v>2.1783760096678595E-3</v>
      </c>
      <c r="W1371">
        <v>1256</v>
      </c>
      <c r="X1371">
        <v>24.306408999999999</v>
      </c>
      <c r="Y1371">
        <v>1.5</v>
      </c>
      <c r="Z1371">
        <f t="shared" si="218"/>
        <v>1.5</v>
      </c>
      <c r="AA1371" s="21">
        <f>IF(X1371&gt;$B$8+$B$9,0,ABS(X1371-O1371)/X1371)</f>
        <v>5.8441407154699839E-3</v>
      </c>
      <c r="AB1371">
        <f>IF(OR(Z1368&lt;&gt;Z1374,X1371&gt;$B$8+$B$9),0,((X1374-X1368)/(W1374-W1368)-(O1374-O1368)/(W1374-W1368))^2)</f>
        <v>3.1849765876290108E-5</v>
      </c>
    </row>
    <row r="1372" spans="7:28" x14ac:dyDescent="0.2">
      <c r="G1372" s="21"/>
      <c r="H1372" s="21">
        <v>1257</v>
      </c>
      <c r="I1372">
        <f t="shared" si="224"/>
        <v>2.8400200779936123E-2</v>
      </c>
      <c r="J1372">
        <f t="shared" si="225"/>
        <v>0.36083522629668729</v>
      </c>
      <c r="K1372">
        <f t="shared" si="219"/>
        <v>22.535317978676201</v>
      </c>
      <c r="L1372">
        <f>0.5*Z1372*K1372/J1372/$B$7</f>
        <v>46.839907116247971</v>
      </c>
      <c r="M1372">
        <f t="shared" si="222"/>
        <v>1.0193338616995455</v>
      </c>
      <c r="N1372" s="21">
        <f t="shared" si="226"/>
        <v>7.7067663199578418E-2</v>
      </c>
      <c r="O1372" s="21">
        <f t="shared" si="227"/>
        <v>24.192759126296167</v>
      </c>
      <c r="P1372">
        <f t="shared" si="223"/>
        <v>0.9474234527448937</v>
      </c>
      <c r="Q1372">
        <f t="shared" si="220"/>
        <v>0.36083522629668729</v>
      </c>
      <c r="R1372">
        <f t="shared" si="221"/>
        <v>0.36517513264083562</v>
      </c>
      <c r="T1372" s="21">
        <f>(M1372-M1371)/(H1372-H1371)</f>
        <v>2.1874922548721365E-3</v>
      </c>
      <c r="W1372">
        <v>1257</v>
      </c>
      <c r="X1372">
        <v>24.332367999999999</v>
      </c>
      <c r="Y1372">
        <v>1.5</v>
      </c>
      <c r="Z1372">
        <f t="shared" si="218"/>
        <v>1.5</v>
      </c>
      <c r="AA1372" s="21">
        <f>IF(X1372&gt;$B$8+$B$9,0,ABS(X1372-O1372)/X1372)</f>
        <v>5.737578590946508E-3</v>
      </c>
      <c r="AB1372">
        <f>IF(OR(Z1369&lt;&gt;Z1375,X1372&gt;$B$8+$B$9),0,((X1375-X1369)/(W1375-W1369)-(O1375-O1369)/(W1375-W1369))^2)</f>
        <v>1.6913196500177436E-6</v>
      </c>
    </row>
    <row r="1373" spans="7:28" x14ac:dyDescent="0.2">
      <c r="G1373" s="21"/>
      <c r="H1373" s="21">
        <v>1258</v>
      </c>
      <c r="I1373">
        <f t="shared" si="224"/>
        <v>2.8487154411974722E-2</v>
      </c>
      <c r="J1373">
        <f t="shared" si="225"/>
        <v>0.36004345219304723</v>
      </c>
      <c r="K1373">
        <f t="shared" si="219"/>
        <v>22.533755717101666</v>
      </c>
      <c r="L1373">
        <f>0.5*Z1373*K1373/J1373/$B$7</f>
        <v>46.939658768644065</v>
      </c>
      <c r="M1373">
        <f t="shared" si="222"/>
        <v>1.0215305542794626</v>
      </c>
      <c r="N1373" s="21">
        <f t="shared" si="226"/>
        <v>7.7155743449095218E-2</v>
      </c>
      <c r="O1373" s="21">
        <f t="shared" si="227"/>
        <v>24.22124628070814</v>
      </c>
      <c r="P1373">
        <f t="shared" si="223"/>
        <v>0.94859708650245878</v>
      </c>
      <c r="Q1373">
        <f t="shared" si="220"/>
        <v>0.36004345219304723</v>
      </c>
      <c r="R1373">
        <f t="shared" si="221"/>
        <v>0.36418046778222751</v>
      </c>
      <c r="T1373" s="21">
        <f>(M1373-M1372)/(H1373-H1372)</f>
        <v>2.1966925799170589E-3</v>
      </c>
      <c r="W1373">
        <v>1258</v>
      </c>
      <c r="X1373">
        <v>24.366440000000001</v>
      </c>
      <c r="Y1373">
        <v>1.5</v>
      </c>
      <c r="Z1373">
        <f t="shared" si="218"/>
        <v>1.5</v>
      </c>
      <c r="AA1373" s="21">
        <f>IF(X1373&gt;$B$8+$B$9,0,ABS(X1373-O1373)/X1373)</f>
        <v>5.9587580004243808E-3</v>
      </c>
      <c r="AB1373">
        <f>IF(OR(Z1370&lt;&gt;Z1376,X1373&gt;$B$8+$B$9),0,((X1376-X1370)/(W1376-W1370)-(O1376-O1370)/(W1376-W1370))^2)</f>
        <v>1.9273335126502668E-8</v>
      </c>
    </row>
    <row r="1374" spans="7:28" x14ac:dyDescent="0.2">
      <c r="G1374" s="21"/>
      <c r="H1374" s="21">
        <v>1259</v>
      </c>
      <c r="I1374">
        <f t="shared" si="224"/>
        <v>2.8574848661503633E-2</v>
      </c>
      <c r="J1374">
        <f t="shared" si="225"/>
        <v>0.35925007961605449</v>
      </c>
      <c r="K1374">
        <f t="shared" si="219"/>
        <v>22.53222595334276</v>
      </c>
      <c r="L1374">
        <f>0.5*Z1374*K1374/J1374/$B$7</f>
        <v>47.040127264739695</v>
      </c>
      <c r="M1374">
        <f t="shared" si="222"/>
        <v>1.0237365324056176</v>
      </c>
      <c r="N1374" s="21">
        <f t="shared" si="226"/>
        <v>7.7244273073899958E-2</v>
      </c>
      <c r="O1374" s="21">
        <f t="shared" si="227"/>
        <v>24.249821129369643</v>
      </c>
      <c r="P1374">
        <f t="shared" si="223"/>
        <v>0.94977308965083707</v>
      </c>
      <c r="Q1374">
        <f t="shared" si="220"/>
        <v>0.35925007961605449</v>
      </c>
      <c r="R1374">
        <f t="shared" si="221"/>
        <v>0.36318921501163826</v>
      </c>
      <c r="T1374" s="21">
        <f>(M1374-M1373)/(H1374-H1373)</f>
        <v>2.2059781261549727E-3</v>
      </c>
      <c r="W1374">
        <v>1259</v>
      </c>
      <c r="X1374">
        <v>24.382664999999999</v>
      </c>
      <c r="Y1374">
        <v>1.5</v>
      </c>
      <c r="Z1374">
        <f t="shared" si="218"/>
        <v>1.5</v>
      </c>
      <c r="AA1374" s="21">
        <f>IF(X1374&gt;$B$8+$B$9,0,ABS(X1374-O1374)/X1374)</f>
        <v>5.4482916707569301E-3</v>
      </c>
      <c r="AB1374">
        <f>IF(OR(Z1371&lt;&gt;Z1377,X1374&gt;$B$8+$B$9),0,((X1377-X1371)/(W1377-W1371)-(O1377-O1371)/(W1377-W1371))^2)</f>
        <v>7.0786664642113906E-6</v>
      </c>
    </row>
    <row r="1375" spans="7:28" x14ac:dyDescent="0.2">
      <c r="G1375" s="21"/>
      <c r="H1375" s="21">
        <v>1260</v>
      </c>
      <c r="I1375">
        <f t="shared" si="224"/>
        <v>2.8663292569352003E-2</v>
      </c>
      <c r="J1375">
        <f t="shared" si="225"/>
        <v>0.35845509584096125</v>
      </c>
      <c r="K1375">
        <f t="shared" si="219"/>
        <v>22.530728860202192</v>
      </c>
      <c r="L1375">
        <f>0.5*Z1375*K1375/J1375/$B$7</f>
        <v>47.141320743418703</v>
      </c>
      <c r="M1375">
        <f t="shared" si="222"/>
        <v>1.0259518824613574</v>
      </c>
      <c r="N1375" s="21">
        <f t="shared" si="226"/>
        <v>7.733325733593889E-2</v>
      </c>
      <c r="O1375" s="21">
        <f t="shared" si="227"/>
        <v>24.278484421938995</v>
      </c>
      <c r="P1375">
        <f t="shared" si="223"/>
        <v>0.95095148105171334</v>
      </c>
      <c r="Q1375">
        <f t="shared" si="220"/>
        <v>0.35845509584096125</v>
      </c>
      <c r="R1375">
        <f t="shared" si="221"/>
        <v>0.36220134703762225</v>
      </c>
      <c r="T1375" s="21">
        <f>(M1375-M1374)/(H1375-H1374)</f>
        <v>2.2153500557398065E-3</v>
      </c>
      <c r="W1375">
        <v>1260</v>
      </c>
      <c r="X1375">
        <v>24.424848999999998</v>
      </c>
      <c r="Y1375">
        <v>1.5</v>
      </c>
      <c r="Z1375">
        <f t="shared" si="218"/>
        <v>1.5</v>
      </c>
      <c r="AA1375" s="21">
        <f>IF(X1375&gt;$B$8+$B$9,0,ABS(X1375-O1375)/X1375)</f>
        <v>5.9924455648017998E-3</v>
      </c>
      <c r="AB1375">
        <f>IF(OR(Z1372&lt;&gt;Z1378,X1375&gt;$B$8+$B$9),0,((X1378-X1372)/(W1378-W1372)-(O1378-O1372)/(W1378-W1372))^2)</f>
        <v>1.9527604046002551E-6</v>
      </c>
    </row>
    <row r="1376" spans="7:28" x14ac:dyDescent="0.2">
      <c r="G1376" s="21"/>
      <c r="H1376" s="21">
        <v>1261</v>
      </c>
      <c r="I1376">
        <f t="shared" si="224"/>
        <v>2.875249532934121E-2</v>
      </c>
      <c r="J1376">
        <f t="shared" si="225"/>
        <v>0.35765848799869082</v>
      </c>
      <c r="K1376">
        <f t="shared" si="219"/>
        <v>22.529264613176107</v>
      </c>
      <c r="L1376">
        <f>0.5*Z1376*K1376/J1376/$B$7</f>
        <v>47.243247474512415</v>
      </c>
      <c r="M1376">
        <f t="shared" si="222"/>
        <v>1.0281766920134541</v>
      </c>
      <c r="N1376" s="21">
        <f t="shared" si="226"/>
        <v>7.7422701580112135E-2</v>
      </c>
      <c r="O1376" s="21">
        <f t="shared" si="227"/>
        <v>24.307236917268337</v>
      </c>
      <c r="P1376">
        <f t="shared" si="223"/>
        <v>0.95213227978070869</v>
      </c>
      <c r="Q1376">
        <f t="shared" si="220"/>
        <v>0.35765848799869082</v>
      </c>
      <c r="R1376">
        <f t="shared" si="221"/>
        <v>0.36121683674688082</v>
      </c>
      <c r="T1376" s="21">
        <f>(M1376-M1375)/(H1376-H1375)</f>
        <v>2.224809552096696E-3</v>
      </c>
      <c r="W1376">
        <v>1261</v>
      </c>
      <c r="X1376">
        <v>24.449186000000001</v>
      </c>
      <c r="Y1376">
        <v>1.5</v>
      </c>
      <c r="Z1376">
        <f t="shared" si="218"/>
        <v>1.5</v>
      </c>
      <c r="AA1376" s="21">
        <f>IF(X1376&gt;$B$8+$B$9,0,ABS(X1376-O1376)/X1376)</f>
        <v>5.8058817472149632E-3</v>
      </c>
      <c r="AB1376">
        <f>IF(OR(Z1373&lt;&gt;Z1379,X1376&gt;$B$8+$B$9),0,((X1379-X1373)/(W1379-W1373)-(O1379-O1373)/(W1379-W1373))^2)</f>
        <v>1.5371717079935259E-5</v>
      </c>
    </row>
    <row r="1377" spans="7:28" x14ac:dyDescent="0.2">
      <c r="G1377" s="21"/>
      <c r="H1377" s="21">
        <v>1262</v>
      </c>
      <c r="I1377">
        <f t="shared" si="224"/>
        <v>2.8842466291552141E-2</v>
      </c>
      <c r="J1377">
        <f t="shared" si="225"/>
        <v>0.35686024307348252</v>
      </c>
      <c r="K1377">
        <f t="shared" si="219"/>
        <v>22.527833390498586</v>
      </c>
      <c r="L1377">
        <f>0.5*Z1377*K1377/J1377/$B$7</f>
        <v>47.345915861506718</v>
      </c>
      <c r="M1377">
        <f t="shared" si="222"/>
        <v>1.0304110498338683</v>
      </c>
      <c r="N1377" s="21">
        <f t="shared" si="226"/>
        <v>7.7512611235981813E-2</v>
      </c>
      <c r="O1377" s="21">
        <f t="shared" si="227"/>
        <v>24.336079383559891</v>
      </c>
      <c r="P1377">
        <f t="shared" si="223"/>
        <v>0.9533155051308716</v>
      </c>
      <c r="Q1377">
        <f t="shared" si="220"/>
        <v>0.35686024307348252</v>
      </c>
      <c r="R1377">
        <f t="shared" si="221"/>
        <v>0.36023565720140782</v>
      </c>
      <c r="T1377" s="21">
        <f>(M1377-M1376)/(H1377-H1376)</f>
        <v>2.2343578204142567E-3</v>
      </c>
      <c r="W1377">
        <v>1262</v>
      </c>
      <c r="X1377">
        <v>24.462166</v>
      </c>
      <c r="Y1377">
        <v>1.5</v>
      </c>
      <c r="Z1377">
        <f t="shared" si="218"/>
        <v>1.5</v>
      </c>
      <c r="AA1377" s="21">
        <f>IF(X1377&gt;$B$8+$B$9,0,ABS(X1377-O1377)/X1377)</f>
        <v>5.1543520896763046E-3</v>
      </c>
      <c r="AB1377">
        <f>IF(OR(Z1374&lt;&gt;Z1380,X1377&gt;$B$8+$B$9),0,((X1380-X1374)/(W1380-W1374)-(O1380-O1374)/(W1380-W1374))^2)</f>
        <v>2.4881405398376607E-6</v>
      </c>
    </row>
    <row r="1378" spans="7:28" x14ac:dyDescent="0.2">
      <c r="G1378" s="21"/>
      <c r="H1378" s="21">
        <v>1263</v>
      </c>
      <c r="I1378">
        <f t="shared" si="224"/>
        <v>2.8933214965677159E-2</v>
      </c>
      <c r="J1378">
        <f t="shared" si="225"/>
        <v>0.35606034790048924</v>
      </c>
      <c r="K1378">
        <f t="shared" si="219"/>
        <v>22.526435373187201</v>
      </c>
      <c r="L1378">
        <f>0.5*Z1378*K1378/J1378/$B$7</f>
        <v>47.449334444317628</v>
      </c>
      <c r="M1378">
        <f t="shared" si="222"/>
        <v>1.0326550459220096</v>
      </c>
      <c r="N1378" s="21">
        <f t="shared" si="226"/>
        <v>7.7602991819523001E-2</v>
      </c>
      <c r="O1378" s="21">
        <f t="shared" si="227"/>
        <v>24.365012598525567</v>
      </c>
      <c r="P1378">
        <f t="shared" si="223"/>
        <v>0.95450117661623901</v>
      </c>
      <c r="Q1378">
        <f t="shared" si="220"/>
        <v>0.35606034790048924</v>
      </c>
      <c r="R1378">
        <f t="shared" si="221"/>
        <v>0.35925778163565486</v>
      </c>
      <c r="T1378" s="21">
        <f>(M1378-M1377)/(H1378-H1377)</f>
        <v>2.2439960881412979E-3</v>
      </c>
      <c r="W1378">
        <v>1263</v>
      </c>
      <c r="X1378">
        <v>24.496236999999997</v>
      </c>
      <c r="Y1378">
        <v>1.5</v>
      </c>
      <c r="Z1378">
        <f t="shared" si="218"/>
        <v>1.5</v>
      </c>
      <c r="AA1378" s="21">
        <f>IF(X1378&gt;$B$8+$B$9,0,ABS(X1378-O1378)/X1378)</f>
        <v>5.3569207986692065E-3</v>
      </c>
      <c r="AB1378">
        <f>IF(OR(Z1375&lt;&gt;Z1381,X1378&gt;$B$8+$B$9),0,((X1381-X1375)/(W1381-W1375)-(O1381-O1375)/(W1381-W1375))^2)</f>
        <v>1.9120558843590998E-5</v>
      </c>
    </row>
    <row r="1379" spans="7:28" x14ac:dyDescent="0.2">
      <c r="G1379" s="21"/>
      <c r="H1379" s="21">
        <v>1264</v>
      </c>
      <c r="I1379">
        <f t="shared" si="224"/>
        <v>2.9024751024459592E-2</v>
      </c>
      <c r="J1379">
        <f t="shared" si="225"/>
        <v>0.35525878916332376</v>
      </c>
      <c r="K1379">
        <f t="shared" si="219"/>
        <v>22.525070745089533</v>
      </c>
      <c r="L1379">
        <f>0.5*Z1379*K1379/J1379/$B$7</f>
        <v>47.553511902137714</v>
      </c>
      <c r="M1379">
        <f t="shared" si="222"/>
        <v>1.0349087715275163</v>
      </c>
      <c r="N1379" s="21">
        <f t="shared" si="226"/>
        <v>7.7693848934919083E-2</v>
      </c>
      <c r="O1379" s="21">
        <f t="shared" si="227"/>
        <v>24.394037349550025</v>
      </c>
      <c r="P1379">
        <f t="shared" si="223"/>
        <v>0.95568931397547274</v>
      </c>
      <c r="Q1379">
        <f t="shared" si="220"/>
        <v>0.35525878916332376</v>
      </c>
      <c r="R1379">
        <f t="shared" si="221"/>
        <v>0.35828318345371329</v>
      </c>
      <c r="T1379" s="21">
        <f>(M1379-M1378)/(H1379-H1378)</f>
        <v>2.253725605506629E-3</v>
      </c>
      <c r="W1379">
        <v>1264</v>
      </c>
      <c r="X1379">
        <v>24.515707000000003</v>
      </c>
      <c r="Y1379">
        <v>1.5</v>
      </c>
      <c r="Z1379">
        <f t="shared" si="218"/>
        <v>1.5</v>
      </c>
      <c r="AA1379" s="21">
        <f>IF(X1379&gt;$B$8+$B$9,0,ABS(X1379-O1379)/X1379)</f>
        <v>4.9629264393630263E-3</v>
      </c>
      <c r="AB1379">
        <f>IF(OR(Z1376&lt;&gt;Z1382,X1379&gt;$B$8+$B$9),0,((X1382-X1376)/(W1382-W1376)-(O1382-O1376)/(W1382-W1376))^2)</f>
        <v>9.6875775756390007E-6</v>
      </c>
    </row>
    <row r="1380" spans="7:28" x14ac:dyDescent="0.2">
      <c r="G1380" s="21"/>
      <c r="H1380" s="21">
        <v>1265</v>
      </c>
      <c r="I1380">
        <f t="shared" si="224"/>
        <v>2.9117084307223526E-2</v>
      </c>
      <c r="J1380">
        <f t="shared" si="225"/>
        <v>0.3544555533915551</v>
      </c>
      <c r="K1380">
        <f t="shared" si="219"/>
        <v>22.523739692930775</v>
      </c>
      <c r="L1380">
        <f>0.5*Z1380*K1380/J1380/$B$7</f>
        <v>47.658457056355296</v>
      </c>
      <c r="M1380">
        <f t="shared" si="222"/>
        <v>1.03717231917356</v>
      </c>
      <c r="N1380" s="21">
        <f t="shared" si="226"/>
        <v>7.7785188276402892E-2</v>
      </c>
      <c r="O1380" s="21">
        <f t="shared" si="227"/>
        <v>24.423154433857249</v>
      </c>
      <c r="P1380">
        <f t="shared" si="223"/>
        <v>0.95687993717557185</v>
      </c>
      <c r="Q1380">
        <f t="shared" si="220"/>
        <v>0.3544555533915551</v>
      </c>
      <c r="R1380">
        <f t="shared" si="221"/>
        <v>0.35731183622651314</v>
      </c>
      <c r="T1380" s="21">
        <f>(M1380-M1379)/(H1380-H1379)</f>
        <v>2.2635476460437509E-3</v>
      </c>
      <c r="W1380">
        <v>1265</v>
      </c>
      <c r="X1380">
        <v>24.546533999999998</v>
      </c>
      <c r="Y1380">
        <v>1.5</v>
      </c>
      <c r="Z1380">
        <f t="shared" si="218"/>
        <v>1.5</v>
      </c>
      <c r="AA1380" s="21">
        <f>IF(X1380&gt;$B$8+$B$9,0,ABS(X1380-O1380)/X1380)</f>
        <v>5.0263538690533092E-3</v>
      </c>
      <c r="AB1380">
        <f>IF(OR(Z1377&lt;&gt;Z1383,X1380&gt;$B$8+$B$9),0,((X1383-X1377)/(W1383-W1377)-(O1383-O1377)/(W1383-W1377))^2)</f>
        <v>3.3689775715882304E-7</v>
      </c>
    </row>
    <row r="1381" spans="7:28" x14ac:dyDescent="0.2">
      <c r="G1381" s="21"/>
      <c r="H1381" s="21">
        <v>1266</v>
      </c>
      <c r="I1381">
        <f t="shared" si="224"/>
        <v>2.9210224823496396E-2</v>
      </c>
      <c r="J1381">
        <f t="shared" si="225"/>
        <v>0.3536506269581503</v>
      </c>
      <c r="K1381">
        <f t="shared" si="219"/>
        <v>22.522442406362352</v>
      </c>
      <c r="L1381">
        <f>0.5*Z1381*K1381/J1381/$B$7</f>
        <v>47.764178873548772</v>
      </c>
      <c r="M1381">
        <f t="shared" si="222"/>
        <v>1.0394457826806993</v>
      </c>
      <c r="N1381" s="21">
        <f t="shared" si="226"/>
        <v>7.7877015630145041E-2</v>
      </c>
      <c r="O1381" s="21">
        <f t="shared" si="227"/>
        <v>24.452364658680747</v>
      </c>
      <c r="P1381">
        <f t="shared" si="223"/>
        <v>0.95807306641566359</v>
      </c>
      <c r="Q1381">
        <f t="shared" si="220"/>
        <v>0.3536506269581503</v>
      </c>
      <c r="R1381">
        <f t="shared" si="221"/>
        <v>0.35634371368903722</v>
      </c>
      <c r="T1381" s="21">
        <f>(M1381-M1380)/(H1381-H1380)</f>
        <v>2.2734635071393061E-3</v>
      </c>
      <c r="W1381">
        <v>1266</v>
      </c>
      <c r="X1381">
        <v>24.572492999999998</v>
      </c>
      <c r="Y1381">
        <v>1.5</v>
      </c>
      <c r="Z1381">
        <f t="shared" si="218"/>
        <v>1.5</v>
      </c>
      <c r="AA1381" s="21">
        <f>IF(X1381&gt;$B$8+$B$9,0,ABS(X1381-O1381)/X1381)</f>
        <v>4.8887323447096443E-3</v>
      </c>
      <c r="AB1381">
        <f>IF(OR(Z1378&lt;&gt;Z1384,X1381&gt;$B$8+$B$9),0,((X1384-X1378)/(W1384-W1378)-(O1384-O1378)/(W1384-W1378))^2)</f>
        <v>7.4845680348938061E-7</v>
      </c>
    </row>
    <row r="1382" spans="7:28" x14ac:dyDescent="0.2">
      <c r="G1382" s="21"/>
      <c r="H1382" s="21">
        <v>1267</v>
      </c>
      <c r="I1382">
        <f t="shared" si="224"/>
        <v>2.9304182756727165E-2</v>
      </c>
      <c r="J1382">
        <f t="shared" si="225"/>
        <v>0.35284399607686379</v>
      </c>
      <c r="K1382">
        <f t="shared" si="219"/>
        <v>22.521179078011709</v>
      </c>
      <c r="L1382">
        <f>0.5*Z1382*K1382/J1382/$B$7</f>
        <v>47.870686468558354</v>
      </c>
      <c r="M1382">
        <f t="shared" si="222"/>
        <v>1.0417292571912895</v>
      </c>
      <c r="N1382" s="21">
        <f t="shared" si="226"/>
        <v>7.7969336876190745E-2</v>
      </c>
      <c r="O1382" s="21">
        <f t="shared" si="227"/>
        <v>24.481668841437475</v>
      </c>
      <c r="P1382">
        <f t="shared" si="223"/>
        <v>0.95926872213087344</v>
      </c>
      <c r="Q1382">
        <f t="shared" si="220"/>
        <v>0.35284399607686379</v>
      </c>
      <c r="R1382">
        <f t="shared" si="221"/>
        <v>0.35537878973755116</v>
      </c>
      <c r="T1382" s="21">
        <f>(M1382-M1381)/(H1382-H1381)</f>
        <v>2.2834745105901888E-3</v>
      </c>
      <c r="W1382">
        <v>1267</v>
      </c>
      <c r="X1382">
        <v>24.604943000000002</v>
      </c>
      <c r="Y1382">
        <v>1.5</v>
      </c>
      <c r="Z1382">
        <f t="shared" si="218"/>
        <v>1.5</v>
      </c>
      <c r="AA1382" s="21">
        <f>IF(X1382&gt;$B$8+$B$9,0,ABS(X1382-O1382)/X1382)</f>
        <v>5.0101379451489474E-3</v>
      </c>
      <c r="AB1382">
        <f>IF(OR(Z1379&lt;&gt;Z1385,X1382&gt;$B$8+$B$9),0,((X1385-X1379)/(W1385-W1379)-(O1385-O1379)/(W1385-W1379))^2)</f>
        <v>4.7497790276536727E-7</v>
      </c>
    </row>
    <row r="1383" spans="7:28" x14ac:dyDescent="0.2">
      <c r="G1383" s="21"/>
      <c r="H1383" s="21">
        <v>1268</v>
      </c>
      <c r="I1383">
        <f t="shared" si="224"/>
        <v>2.9398968468103952E-2</v>
      </c>
      <c r="J1383">
        <f t="shared" si="225"/>
        <v>0.35203564679957</v>
      </c>
      <c r="K1383">
        <f t="shared" si="219"/>
        <v>22.519949903533163</v>
      </c>
      <c r="L1383">
        <f>0.5*Z1383*K1383/J1383/$B$7</f>
        <v>47.977989107637448</v>
      </c>
      <c r="M1383">
        <f t="shared" si="222"/>
        <v>1.0440228391944708</v>
      </c>
      <c r="N1383" s="21">
        <f t="shared" si="226"/>
        <v>7.8062157990446718E-2</v>
      </c>
      <c r="O1383" s="21">
        <f t="shared" si="227"/>
        <v>24.51106780990558</v>
      </c>
      <c r="P1383">
        <f t="shared" si="223"/>
        <v>0.96046692499627884</v>
      </c>
      <c r="Q1383">
        <f t="shared" si="220"/>
        <v>0.35203564679957</v>
      </c>
      <c r="R1383">
        <f t="shared" si="221"/>
        <v>0.35441703842684713</v>
      </c>
      <c r="T1383" s="21">
        <f>(M1383-M1382)/(H1383-H1382)</f>
        <v>2.2935820031813048E-3</v>
      </c>
      <c r="W1383">
        <v>1268</v>
      </c>
      <c r="X1383">
        <v>24.640637000000002</v>
      </c>
      <c r="Y1383">
        <v>1.5</v>
      </c>
      <c r="Z1383">
        <f t="shared" si="218"/>
        <v>1.5</v>
      </c>
      <c r="AA1383" s="21">
        <f>IF(X1383&gt;$B$8+$B$9,0,ABS(X1383-O1383)/X1383)</f>
        <v>5.2583539173285988E-3</v>
      </c>
      <c r="AB1383">
        <f>IF(OR(Z1380&lt;&gt;Z1386,X1383&gt;$B$8+$B$9),0,((X1386-X1380)/(W1386-W1380)-(O1386-O1380)/(W1386-W1380))^2)</f>
        <v>4.5642282918552649E-6</v>
      </c>
    </row>
    <row r="1384" spans="7:28" x14ac:dyDescent="0.2">
      <c r="G1384" s="21"/>
      <c r="H1384" s="21">
        <v>1269</v>
      </c>
      <c r="I1384">
        <f t="shared" si="224"/>
        <v>2.9494592500472695E-2</v>
      </c>
      <c r="J1384">
        <f t="shared" si="225"/>
        <v>0.35122556501354019</v>
      </c>
      <c r="K1384">
        <f t="shared" si="219"/>
        <v>22.518755081659958</v>
      </c>
      <c r="L1384">
        <f>0.5*Z1384*K1384/J1384/$B$7</f>
        <v>48.086096211686275</v>
      </c>
      <c r="M1384">
        <f t="shared" si="222"/>
        <v>1.0463266265517441</v>
      </c>
      <c r="N1384" s="21">
        <f t="shared" si="226"/>
        <v>7.8155485046719597E-2</v>
      </c>
      <c r="O1384" s="21">
        <f t="shared" si="227"/>
        <v>24.540562402406053</v>
      </c>
      <c r="P1384">
        <f t="shared" si="223"/>
        <v>0.96166769593094603</v>
      </c>
      <c r="Q1384">
        <f t="shared" si="220"/>
        <v>0.35122556501354019</v>
      </c>
      <c r="R1384">
        <f t="shared" si="221"/>
        <v>0.35345843396750165</v>
      </c>
      <c r="T1384" s="21">
        <f>(M1384-M1383)/(H1384-H1383)</f>
        <v>2.3037873572733236E-3</v>
      </c>
      <c r="W1384">
        <v>1269</v>
      </c>
      <c r="X1384">
        <v>24.666596000000002</v>
      </c>
      <c r="Y1384">
        <v>1.5</v>
      </c>
      <c r="Z1384">
        <f t="shared" si="218"/>
        <v>1.5</v>
      </c>
      <c r="AA1384" s="21">
        <f>IF(X1384&gt;$B$8+$B$9,0,ABS(X1384-O1384)/X1384)</f>
        <v>5.1094848107111753E-3</v>
      </c>
      <c r="AB1384">
        <f>IF(OR(Z1381&lt;&gt;Z1387,X1384&gt;$B$8+$B$9),0,((X1387-X1381)/(W1387-W1381)-(O1387-O1381)/(W1387-W1381))^2)</f>
        <v>3.8493202000459898E-6</v>
      </c>
    </row>
    <row r="1385" spans="7:28" x14ac:dyDescent="0.2">
      <c r="G1385" s="21"/>
      <c r="H1385" s="21">
        <v>1270</v>
      </c>
      <c r="I1385">
        <f t="shared" si="224"/>
        <v>2.9591065582361523E-2</v>
      </c>
      <c r="J1385">
        <f t="shared" si="225"/>
        <v>0.35041373643865958</v>
      </c>
      <c r="K1385">
        <f t="shared" si="219"/>
        <v>22.517594814257478</v>
      </c>
      <c r="L1385">
        <f>0.5*Z1385*K1385/J1385/$B$7</f>
        <v>48.19501735957035</v>
      </c>
      <c r="M1385">
        <f t="shared" si="222"/>
        <v>1.048640718523161</v>
      </c>
      <c r="N1385" s="21">
        <f t="shared" si="226"/>
        <v>7.8249324218807564E-2</v>
      </c>
      <c r="O1385" s="21">
        <f t="shared" si="227"/>
        <v>24.570153467988415</v>
      </c>
      <c r="P1385">
        <f t="shared" si="223"/>
        <v>0.96287105610205481</v>
      </c>
      <c r="Q1385">
        <f t="shared" si="220"/>
        <v>0.35041373643865958</v>
      </c>
      <c r="R1385">
        <f t="shared" si="221"/>
        <v>0.35250295072314508</v>
      </c>
      <c r="T1385" s="21">
        <f>(M1385-M1384)/(H1385-H1384)</f>
        <v>2.314091971416854E-3</v>
      </c>
      <c r="W1385">
        <v>1270</v>
      </c>
      <c r="X1385">
        <v>24.687687999999998</v>
      </c>
      <c r="Y1385">
        <v>1.5</v>
      </c>
      <c r="Z1385">
        <f t="shared" si="218"/>
        <v>1.5</v>
      </c>
      <c r="AA1385" s="21">
        <f>IF(X1385&gt;$B$8+$B$9,0,ABS(X1385-O1385)/X1385)</f>
        <v>4.7608561810884185E-3</v>
      </c>
      <c r="AB1385">
        <f>IF(OR(Z1382&lt;&gt;Z1388,X1385&gt;$B$8+$B$9),0,((X1388-X1382)/(W1388-W1382)-(O1388-O1382)/(W1388-W1382))^2)</f>
        <v>4.2396987272353417E-6</v>
      </c>
    </row>
    <row r="1386" spans="7:28" x14ac:dyDescent="0.2">
      <c r="G1386" s="21"/>
      <c r="H1386" s="21">
        <v>1271</v>
      </c>
      <c r="I1386">
        <f t="shared" si="224"/>
        <v>2.9688398632113488E-2</v>
      </c>
      <c r="J1386">
        <f t="shared" si="225"/>
        <v>0.34960014662458583</v>
      </c>
      <c r="K1386">
        <f t="shared" si="219"/>
        <v>22.516469306377711</v>
      </c>
      <c r="L1386">
        <f>0.5*Z1386*K1386/J1386/$B$7</f>
        <v>48.304762291526082</v>
      </c>
      <c r="M1386">
        <f t="shared" si="222"/>
        <v>1.0509652157941345</v>
      </c>
      <c r="N1386" s="21">
        <f t="shared" si="226"/>
        <v>7.834368178264689E-2</v>
      </c>
      <c r="O1386" s="21">
        <f t="shared" si="227"/>
        <v>24.59984186662053</v>
      </c>
      <c r="P1386">
        <f t="shared" si="223"/>
        <v>0.96407702692911057</v>
      </c>
      <c r="Q1386">
        <f t="shared" si="220"/>
        <v>0.34960014662458583</v>
      </c>
      <c r="R1386">
        <f t="shared" si="221"/>
        <v>0.35155056320774519</v>
      </c>
      <c r="T1386" s="21">
        <f>(M1386-M1385)/(H1386-H1385)</f>
        <v>2.3244972709735023E-3</v>
      </c>
      <c r="W1386">
        <v>1271</v>
      </c>
      <c r="X1386">
        <v>24.710402999999996</v>
      </c>
      <c r="Y1386">
        <v>1.5</v>
      </c>
      <c r="Z1386">
        <f t="shared" si="218"/>
        <v>1.5</v>
      </c>
      <c r="AA1386" s="21">
        <f>IF(X1386&gt;$B$8+$B$9,0,ABS(X1386-O1386)/X1386)</f>
        <v>4.4742747975201492E-3</v>
      </c>
      <c r="AB1386">
        <f>IF(OR(Z1383&lt;&gt;Z1389,X1386&gt;$B$8+$B$9),0,((X1389-X1383)/(W1389-W1383)-(O1389-O1383)/(W1389-W1383))^2)</f>
        <v>3.5582650576398729E-6</v>
      </c>
    </row>
    <row r="1387" spans="7:28" x14ac:dyDescent="0.2">
      <c r="G1387" s="21"/>
      <c r="H1387" s="21">
        <v>1272</v>
      </c>
      <c r="I1387">
        <f t="shared" si="224"/>
        <v>2.9786602762130829E-2</v>
      </c>
      <c r="J1387">
        <f t="shared" si="225"/>
        <v>0.34878478094784438</v>
      </c>
      <c r="K1387">
        <f t="shared" si="219"/>
        <v>22.515378766314946</v>
      </c>
      <c r="L1387">
        <f>0.5*Z1387*K1387/J1387/$B$7</f>
        <v>48.415340912656802</v>
      </c>
      <c r="M1387">
        <f t="shared" si="222"/>
        <v>1.0533002205028994</v>
      </c>
      <c r="N1387" s="21">
        <f t="shared" si="226"/>
        <v>7.8438564118514922E-2</v>
      </c>
      <c r="O1387" s="21">
        <f t="shared" si="227"/>
        <v>24.629628469382659</v>
      </c>
      <c r="P1387">
        <f t="shared" si="223"/>
        <v>0.9652856300882493</v>
      </c>
      <c r="Q1387">
        <f t="shared" si="220"/>
        <v>0.34878478094784438</v>
      </c>
      <c r="R1387">
        <f t="shared" si="221"/>
        <v>0.35060124608289955</v>
      </c>
      <c r="T1387" s="21">
        <f>(M1387-M1386)/(H1387-H1386)</f>
        <v>2.3350047087649095E-3</v>
      </c>
      <c r="W1387">
        <v>1272</v>
      </c>
      <c r="X1387">
        <v>24.737984999999998</v>
      </c>
      <c r="Y1387">
        <v>1.5</v>
      </c>
      <c r="Z1387">
        <f t="shared" si="218"/>
        <v>1.5</v>
      </c>
      <c r="AA1387" s="21">
        <f>IF(X1387&gt;$B$8+$B$9,0,ABS(X1387-O1387)/X1387)</f>
        <v>4.3801680135766548E-3</v>
      </c>
      <c r="AB1387">
        <f>IF(OR(Z1384&lt;&gt;Z1390,X1387&gt;$B$8+$B$9),0,((X1390-X1384)/(W1390-W1384)-(O1390-O1384)/(W1390-W1384))^2)</f>
        <v>1.3014034280414056E-5</v>
      </c>
    </row>
    <row r="1388" spans="7:28" x14ac:dyDescent="0.2">
      <c r="G1388" s="21"/>
      <c r="H1388" s="21">
        <v>1273</v>
      </c>
      <c r="I1388">
        <f t="shared" si="224"/>
        <v>2.9885689283234922E-2</v>
      </c>
      <c r="J1388">
        <f t="shared" si="225"/>
        <v>0.34796762460886288</v>
      </c>
      <c r="K1388">
        <f t="shared" si="219"/>
        <v>22.514323405662779</v>
      </c>
      <c r="L1388">
        <f>0.5*Z1388*K1388/J1388/$B$7</f>
        <v>48.526763296521345</v>
      </c>
      <c r="M1388">
        <f t="shared" si="222"/>
        <v>1.0556458362686285</v>
      </c>
      <c r="N1388" s="21">
        <f t="shared" si="226"/>
        <v>7.8533977713291125E-2</v>
      </c>
      <c r="O1388" s="21">
        <f t="shared" si="227"/>
        <v>24.659514158665893</v>
      </c>
      <c r="P1388">
        <f t="shared" si="223"/>
        <v>0.96649688751663443</v>
      </c>
      <c r="Q1388">
        <f t="shared" si="220"/>
        <v>0.34796762460886288</v>
      </c>
      <c r="R1388">
        <f t="shared" si="221"/>
        <v>0.34965497415514069</v>
      </c>
      <c r="T1388" s="21">
        <f>(M1388-M1387)/(H1388-H1387)</f>
        <v>2.3456157657291143E-3</v>
      </c>
      <c r="W1388">
        <v>1273</v>
      </c>
      <c r="X1388">
        <v>24.770433999999998</v>
      </c>
      <c r="Y1388">
        <v>1.5</v>
      </c>
      <c r="Z1388">
        <f t="shared" si="218"/>
        <v>1.5</v>
      </c>
      <c r="AA1388" s="21">
        <f>IF(X1388&gt;$B$8+$B$9,0,ABS(X1388-O1388)/X1388)</f>
        <v>4.477912713766157E-3</v>
      </c>
      <c r="AB1388">
        <f>IF(OR(Z1385&lt;&gt;Z1391,X1388&gt;$B$8+$B$9),0,((X1391-X1385)/(W1391-W1385)-(O1391-O1385)/(W1391-W1385))^2)</f>
        <v>5.5454562979346999E-6</v>
      </c>
    </row>
    <row r="1389" spans="7:28" x14ac:dyDescent="0.2">
      <c r="G1389" s="21"/>
      <c r="H1389" s="21">
        <v>1274</v>
      </c>
      <c r="I1389">
        <f t="shared" si="224"/>
        <v>2.9985669709145471E-2</v>
      </c>
      <c r="J1389">
        <f t="shared" si="225"/>
        <v>0.34714866262893773</v>
      </c>
      <c r="K1389">
        <f t="shared" si="219"/>
        <v>22.513303439372415</v>
      </c>
      <c r="L1389">
        <f>0.5*Z1389*K1389/J1389/$B$7</f>
        <v>48.639039688818926</v>
      </c>
      <c r="M1389">
        <f t="shared" si="222"/>
        <v>1.0580021682202401</v>
      </c>
      <c r="N1389" s="21">
        <f t="shared" si="226"/>
        <v>7.8629929162778944E-2</v>
      </c>
      <c r="O1389" s="21">
        <f t="shared" si="227"/>
        <v>24.689499828375038</v>
      </c>
      <c r="P1389">
        <f t="shared" si="223"/>
        <v>0.96771082141695242</v>
      </c>
      <c r="Q1389">
        <f t="shared" si="220"/>
        <v>0.34714866262893773</v>
      </c>
      <c r="R1389">
        <f t="shared" si="221"/>
        <v>0.34871172237324849</v>
      </c>
      <c r="T1389" s="21">
        <f>(M1389-M1388)/(H1389-H1388)</f>
        <v>2.3563319516115566E-3</v>
      </c>
      <c r="W1389">
        <v>1274</v>
      </c>
      <c r="X1389">
        <v>24.807751</v>
      </c>
      <c r="Y1389">
        <v>1.5</v>
      </c>
      <c r="Z1389">
        <f t="shared" si="218"/>
        <v>1.5</v>
      </c>
      <c r="AA1389" s="21">
        <f>IF(X1389&gt;$B$8+$B$9,0,ABS(X1389-O1389)/X1389)</f>
        <v>4.7667026174586374E-3</v>
      </c>
      <c r="AB1389">
        <f>IF(OR(Z1386&lt;&gt;Z1392,X1389&gt;$B$8+$B$9),0,((X1392-X1386)/(W1392-W1386)-(O1392-O1386)/(W1392-W1386))^2)</f>
        <v>8.5358398761611054E-8</v>
      </c>
    </row>
    <row r="1390" spans="7:28" x14ac:dyDescent="0.2">
      <c r="G1390" s="21"/>
      <c r="H1390" s="21">
        <v>1275</v>
      </c>
      <c r="I1390">
        <f t="shared" si="224"/>
        <v>3.0086555761082205E-2</v>
      </c>
      <c r="J1390">
        <f t="shared" si="225"/>
        <v>0.34632787984713709</v>
      </c>
      <c r="K1390">
        <f t="shared" si="219"/>
        <v>22.512319085812386</v>
      </c>
      <c r="L1390">
        <f>0.5*Z1390*K1390/J1390/$B$7</f>
        <v>48.752180511172512</v>
      </c>
      <c r="M1390">
        <f t="shared" si="222"/>
        <v>1.0603693230258979</v>
      </c>
      <c r="N1390" s="21">
        <f t="shared" si="226"/>
        <v>7.8726425174088774E-2</v>
      </c>
      <c r="O1390" s="21">
        <f t="shared" si="227"/>
        <v>24.719586384136118</v>
      </c>
      <c r="P1390">
        <f t="shared" si="223"/>
        <v>0.96892745426200344</v>
      </c>
      <c r="Q1390">
        <f t="shared" si="220"/>
        <v>0.34632787984713709</v>
      </c>
      <c r="R1390">
        <f t="shared" si="221"/>
        <v>0.3477714658255745</v>
      </c>
      <c r="T1390" s="21">
        <f>(M1390-M1389)/(H1390-H1389)</f>
        <v>2.3671548056578562E-3</v>
      </c>
      <c r="W1390">
        <v>1275</v>
      </c>
      <c r="X1390">
        <v>24.823975000000001</v>
      </c>
      <c r="Y1390">
        <v>1.5</v>
      </c>
      <c r="Z1390">
        <f t="shared" si="218"/>
        <v>1.5</v>
      </c>
      <c r="AA1390" s="21">
        <f>IF(X1390&gt;$B$8+$B$9,0,ABS(X1390-O1390)/X1390)</f>
        <v>4.2051531176567295E-3</v>
      </c>
      <c r="AB1390">
        <f>IF(OR(Z1387&lt;&gt;Z1393,X1390&gt;$B$8+$B$9),0,((X1393-X1387)/(W1393-W1387)-(O1393-O1387)/(W1393-W1387))^2)</f>
        <v>2.1700485651129915E-8</v>
      </c>
    </row>
    <row r="1391" spans="7:28" x14ac:dyDescent="0.2">
      <c r="G1391" s="21"/>
      <c r="H1391" s="21">
        <v>1276</v>
      </c>
      <c r="I1391">
        <f t="shared" si="224"/>
        <v>3.0188359372494138E-2</v>
      </c>
      <c r="J1391">
        <f t="shared" si="225"/>
        <v>0.34550526091713352</v>
      </c>
      <c r="K1391">
        <f t="shared" si="219"/>
        <v>22.511370566829608</v>
      </c>
      <c r="L1391">
        <f>0.5*Z1391*K1391/J1391/$B$7</f>
        <v>48.866196365014467</v>
      </c>
      <c r="M1391">
        <f t="shared" si="222"/>
        <v>1.0627474089232403</v>
      </c>
      <c r="N1391" s="21">
        <f t="shared" si="226"/>
        <v>7.8823472568085598E-2</v>
      </c>
      <c r="O1391" s="21">
        <f t="shared" si="227"/>
        <v>24.749774743508613</v>
      </c>
      <c r="P1391">
        <f t="shared" si="223"/>
        <v>0.97014680879939719</v>
      </c>
      <c r="Q1391">
        <f t="shared" si="220"/>
        <v>0.34550526091713352</v>
      </c>
      <c r="R1391">
        <f t="shared" si="221"/>
        <v>0.34683417973737146</v>
      </c>
      <c r="T1391" s="21">
        <f>(M1391-M1390)/(H1391-H1390)</f>
        <v>2.3780858973423413E-3</v>
      </c>
      <c r="W1391">
        <v>1276</v>
      </c>
      <c r="X1391">
        <v>24.853179999999998</v>
      </c>
      <c r="Y1391">
        <v>1.5</v>
      </c>
      <c r="Z1391">
        <f t="shared" si="218"/>
        <v>1.5</v>
      </c>
      <c r="AA1391" s="21">
        <f>IF(X1391&gt;$B$8+$B$9,0,ABS(X1391-O1391)/X1391)</f>
        <v>4.1606448949947248E-3</v>
      </c>
      <c r="AB1391">
        <f>IF(OR(Z1388&lt;&gt;Z1394,X1391&gt;$B$8+$B$9),0,((X1394-X1388)/(W1394-W1388)-(O1394-O1388)/(W1394-W1388))^2)</f>
        <v>4.4872258307468144E-6</v>
      </c>
    </row>
    <row r="1392" spans="7:28" x14ac:dyDescent="0.2">
      <c r="G1392" s="21"/>
      <c r="H1392" s="21">
        <v>1277</v>
      </c>
      <c r="I1392">
        <f t="shared" si="224"/>
        <v>3.0291092693919414E-2</v>
      </c>
      <c r="J1392">
        <f t="shared" si="225"/>
        <v>0.34468079030396637</v>
      </c>
      <c r="K1392">
        <f t="shared" si="219"/>
        <v>22.510458107811914</v>
      </c>
      <c r="L1392">
        <f>0.5*Z1392*K1392/J1392/$B$7</f>
        <v>48.981098035577581</v>
      </c>
      <c r="M1392">
        <f t="shared" si="222"/>
        <v>1.0651365357503517</v>
      </c>
      <c r="N1392" s="21">
        <f t="shared" si="226"/>
        <v>7.8921078281902618E-2</v>
      </c>
      <c r="O1392" s="21">
        <f t="shared" si="227"/>
        <v>24.780065836202532</v>
      </c>
      <c r="P1392">
        <f t="shared" si="223"/>
        <v>0.97136890805635046</v>
      </c>
      <c r="Q1392">
        <f t="shared" si="220"/>
        <v>0.34468079030396637</v>
      </c>
      <c r="R1392">
        <f t="shared" si="221"/>
        <v>0.34589983946813158</v>
      </c>
      <c r="T1392" s="21">
        <f>(M1392-M1391)/(H1392-H1391)</f>
        <v>2.3891268271114541E-3</v>
      </c>
      <c r="W1392">
        <v>1277</v>
      </c>
      <c r="X1392">
        <v>24.888873999999998</v>
      </c>
      <c r="Y1392">
        <v>1.5</v>
      </c>
      <c r="Z1392">
        <f t="shared" si="218"/>
        <v>1.5</v>
      </c>
      <c r="AA1392" s="21">
        <f>IF(X1392&gt;$B$8+$B$9,0,ABS(X1392-O1392)/X1392)</f>
        <v>4.3717591963969953E-3</v>
      </c>
      <c r="AB1392">
        <f>IF(OR(Z1389&lt;&gt;Z1395,X1392&gt;$B$8+$B$9),0,((X1395-X1389)/(W1395-W1389)-(O1395-O1389)/(W1395-W1389))^2)</f>
        <v>6.210205127641408E-6</v>
      </c>
    </row>
    <row r="1393" spans="7:28" x14ac:dyDescent="0.2">
      <c r="G1393" s="21"/>
      <c r="H1393" s="21">
        <v>1278</v>
      </c>
      <c r="I1393">
        <f t="shared" si="224"/>
        <v>3.0394768097980671E-2</v>
      </c>
      <c r="J1393">
        <f t="shared" si="225"/>
        <v>0.34385445228073352</v>
      </c>
      <c r="K1393">
        <f t="shared" si="219"/>
        <v>22.509581937752081</v>
      </c>
      <c r="L1393">
        <f>0.5*Z1393*K1393/J1393/$B$7</f>
        <v>49.096896495994528</v>
      </c>
      <c r="M1393">
        <f t="shared" si="222"/>
        <v>1.0675368149774989</v>
      </c>
      <c r="N1393" s="21">
        <f t="shared" si="226"/>
        <v>7.9019249371522562E-2</v>
      </c>
      <c r="O1393" s="21">
        <f t="shared" si="227"/>
        <v>24.810460604300513</v>
      </c>
      <c r="P1393">
        <f t="shared" si="223"/>
        <v>0.97259377534459213</v>
      </c>
      <c r="Q1393">
        <f t="shared" si="220"/>
        <v>0.34385445228073352</v>
      </c>
      <c r="R1393">
        <f t="shared" si="221"/>
        <v>0.34496842050893167</v>
      </c>
      <c r="T1393" s="21">
        <f>(M1393-M1392)/(H1393-H1392)</f>
        <v>2.4002792271471396E-3</v>
      </c>
      <c r="W1393">
        <v>1278</v>
      </c>
      <c r="X1393">
        <v>24.919701</v>
      </c>
      <c r="Y1393">
        <v>1.5</v>
      </c>
      <c r="Z1393">
        <f t="shared" si="218"/>
        <v>1.5</v>
      </c>
      <c r="AA1393" s="21">
        <f>IF(X1393&gt;$B$8+$B$9,0,ABS(X1393-O1393)/X1393)</f>
        <v>4.383696084454913E-3</v>
      </c>
      <c r="AB1393">
        <f>IF(OR(Z1390&lt;&gt;Z1396,X1393&gt;$B$8+$B$9),0,((X1396-X1390)/(W1396-W1390)-(O1396-O1390)/(W1396-W1390))^2)</f>
        <v>1.8722757465518433E-7</v>
      </c>
    </row>
    <row r="1394" spans="7:28" x14ac:dyDescent="0.2">
      <c r="G1394" s="21"/>
      <c r="H1394" s="21">
        <v>1279</v>
      </c>
      <c r="I1394">
        <f t="shared" si="224"/>
        <v>3.0499398184520365E-2</v>
      </c>
      <c r="J1394">
        <f t="shared" si="225"/>
        <v>0.34302623092520723</v>
      </c>
      <c r="K1394">
        <f t="shared" si="219"/>
        <v>22.508742289313318</v>
      </c>
      <c r="L1394">
        <f>0.5*Z1394*K1394/J1394/$B$7</f>
        <v>49.213602911509732</v>
      </c>
      <c r="M1394">
        <f t="shared" si="222"/>
        <v>1.0699483597396569</v>
      </c>
      <c r="N1394" s="21">
        <f t="shared" si="226"/>
        <v>7.9117993014429858E-2</v>
      </c>
      <c r="O1394" s="21">
        <f t="shared" si="227"/>
        <v>24.840960002485033</v>
      </c>
      <c r="P1394">
        <f t="shared" si="223"/>
        <v>0.97382143426537937</v>
      </c>
      <c r="Q1394">
        <f t="shared" si="220"/>
        <v>0.34302623092520723</v>
      </c>
      <c r="R1394">
        <f t="shared" si="221"/>
        <v>0.34403989847978234</v>
      </c>
      <c r="T1394" s="21">
        <f>(M1394-M1393)/(H1394-H1393)</f>
        <v>2.4115447621579911E-3</v>
      </c>
      <c r="W1394">
        <v>1279</v>
      </c>
      <c r="X1394">
        <v>24.939170000000001</v>
      </c>
      <c r="Y1394">
        <v>1.5</v>
      </c>
      <c r="Z1394">
        <f t="shared" si="218"/>
        <v>1.5</v>
      </c>
      <c r="AA1394" s="21">
        <f>IF(X1394&gt;$B$8+$B$9,0,ABS(X1394-O1394)/X1394)</f>
        <v>3.9379817979093646E-3</v>
      </c>
      <c r="AB1394">
        <f>IF(OR(Z1391&lt;&gt;Z1397,X1394&gt;$B$8+$B$9),0,((X1397-X1391)/(W1397-W1391)-(O1397-O1391)/(W1397-W1391))^2)</f>
        <v>4.6677420962583845E-6</v>
      </c>
    </row>
    <row r="1395" spans="7:28" x14ac:dyDescent="0.2">
      <c r="G1395" s="21"/>
      <c r="H1395" s="21">
        <v>1280</v>
      </c>
      <c r="I1395">
        <f t="shared" si="224"/>
        <v>3.0604995785880225E-2</v>
      </c>
      <c r="J1395">
        <f t="shared" si="225"/>
        <v>0.34219611011637463</v>
      </c>
      <c r="K1395">
        <f t="shared" si="219"/>
        <v>22.507939398896401</v>
      </c>
      <c r="L1395">
        <f>0.5*Z1395*K1395/J1395/$B$7</f>
        <v>49.331228643807194</v>
      </c>
      <c r="M1395">
        <f t="shared" si="222"/>
        <v>1.0723712848698483</v>
      </c>
      <c r="N1395" s="21">
        <f t="shared" si="226"/>
        <v>7.9217316512335295E-2</v>
      </c>
      <c r="O1395" s="21">
        <f t="shared" si="227"/>
        <v>24.871564998270912</v>
      </c>
      <c r="P1395">
        <f t="shared" si="223"/>
        <v>0.97505190871462466</v>
      </c>
      <c r="Q1395">
        <f t="shared" si="220"/>
        <v>0.34219611011637463</v>
      </c>
      <c r="R1395">
        <f t="shared" si="221"/>
        <v>0.34311424912698391</v>
      </c>
      <c r="T1395" s="21">
        <f>(M1395-M1394)/(H1395-H1394)</f>
        <v>2.4229251301914889E-3</v>
      </c>
      <c r="W1395">
        <v>1280</v>
      </c>
      <c r="X1395">
        <v>24.974864</v>
      </c>
      <c r="Y1395">
        <v>1.5</v>
      </c>
      <c r="Z1395">
        <f t="shared" si="218"/>
        <v>1.5</v>
      </c>
      <c r="AA1395" s="21">
        <f>IF(X1395&gt;$B$8+$B$9,0,ABS(X1395-O1395)/X1395)</f>
        <v>4.136118688337514E-3</v>
      </c>
      <c r="AB1395">
        <f>IF(OR(Z1392&lt;&gt;Z1398,X1395&gt;$B$8+$B$9),0,((X1398-X1392)/(W1398-W1392)-(O1398-O1392)/(W1398-W1392))^2)</f>
        <v>5.136725874070507E-6</v>
      </c>
    </row>
    <row r="1396" spans="7:28" x14ac:dyDescent="0.2">
      <c r="G1396" s="21"/>
      <c r="H1396" s="21">
        <v>1281</v>
      </c>
      <c r="I1396">
        <f t="shared" si="224"/>
        <v>3.0711573972330174E-2</v>
      </c>
      <c r="J1396">
        <f t="shared" si="225"/>
        <v>0.34136407353090026</v>
      </c>
      <c r="K1396">
        <f t="shared" si="219"/>
        <v>22.507173506708366</v>
      </c>
      <c r="L1396">
        <f>0.5*Z1396*K1396/J1396/$B$7</f>
        <v>49.449785255457655</v>
      </c>
      <c r="M1396">
        <f t="shared" si="222"/>
        <v>1.0748057069333181</v>
      </c>
      <c r="N1396" s="21">
        <f t="shared" si="226"/>
        <v>7.9317227293975529E-2</v>
      </c>
      <c r="O1396" s="21">
        <f t="shared" si="227"/>
        <v>24.902276572243242</v>
      </c>
      <c r="P1396">
        <f t="shared" si="223"/>
        <v>0.97628522288814024</v>
      </c>
      <c r="Q1396">
        <f t="shared" si="220"/>
        <v>0.34136407353090026</v>
      </c>
      <c r="R1396">
        <f t="shared" si="221"/>
        <v>0.34219144832048498</v>
      </c>
      <c r="T1396" s="21">
        <f>(M1396-M1395)/(H1396-H1395)</f>
        <v>2.4344220634697766E-3</v>
      </c>
      <c r="W1396">
        <v>1281</v>
      </c>
      <c r="X1396">
        <v>25.004068999999998</v>
      </c>
      <c r="Y1396">
        <v>1.5</v>
      </c>
      <c r="Z1396">
        <f t="shared" si="218"/>
        <v>1.5</v>
      </c>
      <c r="AA1396" s="21">
        <f>IF(X1396&gt;$B$8+$B$9,0,ABS(X1396-O1396)/X1396)</f>
        <v>4.0710345086936014E-3</v>
      </c>
      <c r="AB1396">
        <f>IF(OR(Z1393&lt;&gt;Z1399,X1396&gt;$B$8+$B$9),0,((X1399-X1393)/(W1399-W1393)-(O1399-O1393)/(W1399-W1393))^2)</f>
        <v>1.1938367924251656E-5</v>
      </c>
    </row>
    <row r="1397" spans="7:28" x14ac:dyDescent="0.2">
      <c r="G1397" s="21"/>
      <c r="H1397" s="21">
        <v>1282</v>
      </c>
      <c r="I1397">
        <f t="shared" si="224"/>
        <v>3.0819146057651254E-2</v>
      </c>
      <c r="J1397">
        <f t="shared" si="225"/>
        <v>0.3405301046395075</v>
      </c>
      <c r="K1397">
        <f t="shared" si="219"/>
        <v>22.506444856832861</v>
      </c>
      <c r="L1397">
        <f>0.5*Z1397*K1397/J1397/$B$7</f>
        <v>49.569284514489553</v>
      </c>
      <c r="M1397">
        <f t="shared" si="222"/>
        <v>1.0772517442625711</v>
      </c>
      <c r="N1397" s="21">
        <f t="shared" si="226"/>
        <v>7.941773291798998E-2</v>
      </c>
      <c r="O1397" s="21">
        <f t="shared" si="227"/>
        <v>24.933095718300894</v>
      </c>
      <c r="P1397">
        <f t="shared" si="223"/>
        <v>0.9775214012870016</v>
      </c>
      <c r="Q1397">
        <f t="shared" si="220"/>
        <v>0.3405301046395075</v>
      </c>
      <c r="R1397">
        <f t="shared" si="221"/>
        <v>0.34127147205124481</v>
      </c>
      <c r="T1397" s="21">
        <f>(M1397-M1396)/(H1397-H1396)</f>
        <v>2.4460373292529702E-3</v>
      </c>
      <c r="W1397">
        <v>1282</v>
      </c>
      <c r="X1397">
        <v>25.023537999999999</v>
      </c>
      <c r="Y1397">
        <v>1.5</v>
      </c>
      <c r="Z1397">
        <f t="shared" si="218"/>
        <v>1.5</v>
      </c>
      <c r="AA1397" s="21">
        <f>IF(X1397&gt;$B$8+$B$9,0,ABS(X1397-O1397)/X1397)</f>
        <v>3.6142883432032833E-3</v>
      </c>
      <c r="AB1397">
        <f>IF(OR(Z1394&lt;&gt;Z1400,X1397&gt;$B$8+$B$9),0,((X1400-X1394)/(W1400-W1394)-(O1400-O1394)/(W1400-W1394))^2)</f>
        <v>1.9598742222912514E-6</v>
      </c>
    </row>
    <row r="1398" spans="7:28" x14ac:dyDescent="0.2">
      <c r="G1398" s="21"/>
      <c r="H1398" s="21">
        <v>1283</v>
      </c>
      <c r="I1398">
        <f t="shared" si="224"/>
        <v>3.0927725604878189E-2</v>
      </c>
      <c r="J1398">
        <f t="shared" si="225"/>
        <v>0.33969418670327667</v>
      </c>
      <c r="K1398">
        <f t="shared" si="219"/>
        <v>22.5057536973022</v>
      </c>
      <c r="L1398">
        <f>0.5*Z1398*K1398/J1398/$B$7</f>
        <v>49.689738399087638</v>
      </c>
      <c r="M1398">
        <f t="shared" si="222"/>
        <v>1.0797095169933011</v>
      </c>
      <c r="N1398" s="21">
        <f t="shared" si="226"/>
        <v>7.9518841075878463E-2</v>
      </c>
      <c r="O1398" s="21">
        <f t="shared" si="227"/>
        <v>24.964023443905774</v>
      </c>
      <c r="P1398">
        <f t="shared" si="223"/>
        <v>0.97876046872303457</v>
      </c>
      <c r="Q1398">
        <f t="shared" si="220"/>
        <v>0.33969418670327667</v>
      </c>
      <c r="R1398">
        <f t="shared" si="221"/>
        <v>0.34035429642859649</v>
      </c>
      <c r="T1398" s="21">
        <f>(M1398-M1397)/(H1398-H1397)</f>
        <v>2.4577727307300012E-3</v>
      </c>
      <c r="W1398">
        <v>1283</v>
      </c>
      <c r="X1398">
        <v>25.059233000000003</v>
      </c>
      <c r="Y1398">
        <v>1.5</v>
      </c>
      <c r="Z1398">
        <f t="shared" si="218"/>
        <v>1.5</v>
      </c>
      <c r="AA1398" s="21">
        <f>IF(X1398&gt;$B$8+$B$9,0,ABS(X1398-O1398)/X1398)</f>
        <v>3.799380296046131E-3</v>
      </c>
      <c r="AB1398">
        <f>IF(OR(Z1395&lt;&gt;Z1401,X1398&gt;$B$8+$B$9),0,((X1401-X1395)/(W1401-W1395)-(O1401-O1395)/(W1401-W1395))^2)</f>
        <v>8.1856864477354634E-6</v>
      </c>
    </row>
    <row r="1399" spans="7:28" x14ac:dyDescent="0.2">
      <c r="G1399" s="21"/>
      <c r="H1399" s="21">
        <v>1284</v>
      </c>
      <c r="I1399">
        <f t="shared" si="224"/>
        <v>3.1037326432205966E-2</v>
      </c>
      <c r="J1399">
        <f t="shared" si="225"/>
        <v>0.33885630276986123</v>
      </c>
      <c r="K1399">
        <f t="shared" si="219"/>
        <v>22.505100280171241</v>
      </c>
      <c r="L1399">
        <f>0.5*Z1399*K1399/J1399/$B$7</f>
        <v>49.811159102423161</v>
      </c>
      <c r="M1399">
        <f t="shared" si="222"/>
        <v>1.0821791471012259</v>
      </c>
      <c r="N1399" s="21">
        <f t="shared" si="226"/>
        <v>7.9620559595039955E-2</v>
      </c>
      <c r="O1399" s="21">
        <f t="shared" si="227"/>
        <v>24.995060770337979</v>
      </c>
      <c r="P1399">
        <f t="shared" si="223"/>
        <v>0.98000245032442435</v>
      </c>
      <c r="Q1399">
        <f t="shared" si="220"/>
        <v>0.33885630276986123</v>
      </c>
      <c r="R1399">
        <f t="shared" si="221"/>
        <v>0.33943989767761512</v>
      </c>
      <c r="T1399" s="21">
        <f>(M1399-M1398)/(H1399-H1398)</f>
        <v>2.4696301079247807E-3</v>
      </c>
      <c r="W1399">
        <v>1284</v>
      </c>
      <c r="X1399">
        <v>25.083569999999998</v>
      </c>
      <c r="Y1399">
        <v>1.5</v>
      </c>
      <c r="Z1399">
        <f t="shared" si="218"/>
        <v>1.5</v>
      </c>
      <c r="AA1399" s="21">
        <f>IF(X1399&gt;$B$8+$B$9,0,ABS(X1399-O1399)/X1399)</f>
        <v>3.5285738697489774E-3</v>
      </c>
      <c r="AB1399">
        <f>IF(OR(Z1396&lt;&gt;Z1402,X1399&gt;$B$8+$B$9),0,((X1402-X1396)/(W1402-W1396)-(O1402-O1396)/(W1402-W1396))^2)</f>
        <v>3.5709711035054412E-6</v>
      </c>
    </row>
    <row r="1400" spans="7:28" x14ac:dyDescent="0.2">
      <c r="G1400" s="21"/>
      <c r="H1400" s="21">
        <v>1285</v>
      </c>
      <c r="I1400">
        <f t="shared" si="224"/>
        <v>3.1147962619067607E-2</v>
      </c>
      <c r="J1400">
        <f t="shared" si="225"/>
        <v>0.33801643566961126</v>
      </c>
      <c r="K1400">
        <f t="shared" si="219"/>
        <v>22.504484861592928</v>
      </c>
      <c r="L1400">
        <f>0.5*Z1400*K1400/J1400/$B$7</f>
        <v>49.933559037620824</v>
      </c>
      <c r="M1400">
        <f t="shared" si="222"/>
        <v>1.0846607584398822</v>
      </c>
      <c r="N1400" s="21">
        <f t="shared" si="226"/>
        <v>7.9722896441898616E-2</v>
      </c>
      <c r="O1400" s="21">
        <f t="shared" si="227"/>
        <v>25.026208732957045</v>
      </c>
      <c r="P1400">
        <f t="shared" si="223"/>
        <v>0.98124737154146102</v>
      </c>
      <c r="Q1400">
        <f t="shared" si="220"/>
        <v>0.33801643566961126</v>
      </c>
      <c r="R1400">
        <f t="shared" si="221"/>
        <v>0.33852825213648119</v>
      </c>
      <c r="T1400" s="21">
        <f>(M1400-M1399)/(H1400-H1399)</f>
        <v>2.4816113386563199E-3</v>
      </c>
      <c r="W1400">
        <v>1285</v>
      </c>
      <c r="X1400">
        <v>25.116018999999998</v>
      </c>
      <c r="Y1400">
        <v>1.5</v>
      </c>
      <c r="Z1400">
        <f t="shared" si="218"/>
        <v>1.5</v>
      </c>
      <c r="AA1400" s="21">
        <f>IF(X1400&gt;$B$8+$B$9,0,ABS(X1400-O1400)/X1400)</f>
        <v>3.5758161770363781E-3</v>
      </c>
      <c r="AB1400">
        <f>IF(OR(Z1397&lt;&gt;Z1403,X1400&gt;$B$8+$B$9),0,((X1403-X1397)/(W1403-W1397)-(O1403-O1397)/(W1403-W1397))^2)</f>
        <v>2.994220760733157E-6</v>
      </c>
    </row>
    <row r="1401" spans="7:28" x14ac:dyDescent="0.2">
      <c r="G1401" s="21"/>
      <c r="H1401" s="21">
        <v>1286</v>
      </c>
      <c r="I1401">
        <f t="shared" si="224"/>
        <v>3.1259648512387397E-2</v>
      </c>
      <c r="J1401">
        <f t="shared" si="225"/>
        <v>0.33717456801161272</v>
      </c>
      <c r="K1401">
        <f t="shared" si="219"/>
        <v>22.503907701895859</v>
      </c>
      <c r="L1401">
        <f>0.5*Z1401*K1401/J1401/$B$7</f>
        <v>50.056950842866051</v>
      </c>
      <c r="M1401">
        <f t="shared" si="222"/>
        <v>1.0871544767793759</v>
      </c>
      <c r="N1401" s="21">
        <f t="shared" si="226"/>
        <v>7.9825859725116327E-2</v>
      </c>
      <c r="O1401" s="21">
        <f t="shared" si="227"/>
        <v>25.057468381469434</v>
      </c>
      <c r="P1401">
        <f t="shared" si="223"/>
        <v>0.98249525815241101</v>
      </c>
      <c r="Q1401">
        <f t="shared" si="220"/>
        <v>0.33717456801161272</v>
      </c>
      <c r="R1401">
        <f t="shared" si="221"/>
        <v>0.33761933625384855</v>
      </c>
      <c r="T1401" s="21">
        <f>(M1401-M1400)/(H1401-H1400)</f>
        <v>2.4937183394937446E-3</v>
      </c>
      <c r="W1401">
        <v>1286</v>
      </c>
      <c r="X1401">
        <v>25.143601</v>
      </c>
      <c r="Y1401">
        <v>1.5</v>
      </c>
      <c r="Z1401">
        <f t="shared" si="218"/>
        <v>1.5</v>
      </c>
      <c r="AA1401" s="21">
        <f>IF(X1401&gt;$B$8+$B$9,0,ABS(X1401-O1401)/X1401)</f>
        <v>3.4256277981251143E-3</v>
      </c>
      <c r="AB1401">
        <f>IF(OR(Z1398&lt;&gt;Z1404,X1401&gt;$B$8+$B$9),0,((X1404-X1398)/(W1404-W1398)-(O1404-O1398)/(W1404-W1398))^2)</f>
        <v>4.4652736889667353E-6</v>
      </c>
    </row>
    <row r="1402" spans="7:28" x14ac:dyDescent="0.2">
      <c r="G1402" s="21"/>
      <c r="H1402" s="21">
        <v>1287</v>
      </c>
      <c r="I1402">
        <f t="shared" si="224"/>
        <v>3.1372398733016497E-2</v>
      </c>
      <c r="J1402">
        <f t="shared" si="225"/>
        <v>0.33633068217963002</v>
      </c>
      <c r="K1402">
        <f t="shared" si="219"/>
        <v>22.503369065663602</v>
      </c>
      <c r="L1402">
        <f>0.5*Z1402*K1402/J1402/$B$7</f>
        <v>50.181347386658061</v>
      </c>
      <c r="M1402">
        <f t="shared" si="222"/>
        <v>1.089660429846149</v>
      </c>
      <c r="N1402" s="21">
        <f t="shared" si="226"/>
        <v>7.9929457698897671E-2</v>
      </c>
      <c r="O1402" s="21">
        <f t="shared" si="227"/>
        <v>25.08884078020245</v>
      </c>
      <c r="P1402">
        <f t="shared" si="223"/>
        <v>0.98374613626953111</v>
      </c>
      <c r="Q1402">
        <f t="shared" si="220"/>
        <v>0.33633068217963002</v>
      </c>
      <c r="R1402">
        <f t="shared" si="221"/>
        <v>0.33671312658620778</v>
      </c>
      <c r="T1402" s="21">
        <f>(M1402-M1401)/(H1402-H1401)</f>
        <v>2.5059530667730368E-3</v>
      </c>
      <c r="W1402">
        <v>1287</v>
      </c>
      <c r="X1402">
        <v>25.179295</v>
      </c>
      <c r="Y1402">
        <v>1.5</v>
      </c>
      <c r="Z1402">
        <f t="shared" si="218"/>
        <v>1.5</v>
      </c>
      <c r="AA1402" s="21">
        <f>IF(X1402&gt;$B$8+$B$9,0,ABS(X1402-O1402)/X1402)</f>
        <v>3.5924047832772998E-3</v>
      </c>
      <c r="AB1402">
        <f>IF(OR(Z1399&lt;&gt;Z1405,X1402&gt;$B$8+$B$9),0,((X1405-X1399)/(W1405-W1399)-(O1405-O1399)/(W1405-W1399))^2)</f>
        <v>7.6462663353242892E-7</v>
      </c>
    </row>
    <row r="1403" spans="7:28" x14ac:dyDescent="0.2">
      <c r="G1403" s="21"/>
      <c r="H1403" s="21">
        <v>1288</v>
      </c>
      <c r="I1403">
        <f t="shared" si="224"/>
        <v>3.1486228182356385E-2</v>
      </c>
      <c r="J1403">
        <f t="shared" si="225"/>
        <v>0.33548476032795638</v>
      </c>
      <c r="K1403">
        <f t="shared" si="219"/>
        <v>22.502869221816137</v>
      </c>
      <c r="L1403">
        <f>0.5*Z1403*K1403/J1403/$B$7</f>
        <v>50.306761773213424</v>
      </c>
      <c r="M1403">
        <f t="shared" si="222"/>
        <v>1.0921787473637707</v>
      </c>
      <c r="N1403" s="21">
        <f t="shared" si="226"/>
        <v>8.0033698766388245E-2</v>
      </c>
      <c r="O1403" s="21">
        <f t="shared" si="227"/>
        <v>25.120327008384805</v>
      </c>
      <c r="P1403">
        <f t="shared" si="223"/>
        <v>0.98500003234521982</v>
      </c>
      <c r="Q1403">
        <f t="shared" si="220"/>
        <v>0.33548476032795638</v>
      </c>
      <c r="R1403">
        <f t="shared" si="221"/>
        <v>0.33580959979524888</v>
      </c>
      <c r="T1403" s="21">
        <f>(M1403-M1402)/(H1403-H1402)</f>
        <v>2.5183175176217709E-3</v>
      </c>
      <c r="W1403">
        <v>1288</v>
      </c>
      <c r="X1403">
        <v>25.200387000000003</v>
      </c>
      <c r="Y1403">
        <v>1.5</v>
      </c>
      <c r="Z1403">
        <f t="shared" si="218"/>
        <v>1.5</v>
      </c>
      <c r="AA1403" s="21">
        <f>IF(X1403&gt;$B$8+$B$9,0,ABS(X1403-O1403)/X1403)</f>
        <v>3.1769350056091352E-3</v>
      </c>
      <c r="AB1403">
        <f>IF(OR(Z1400&lt;&gt;Z1406,X1403&gt;$B$8+$B$9),0,((X1406-X1400)/(W1406-W1400)-(O1406-O1400)/(W1406-W1400))^2)</f>
        <v>8.6193100670700479E-9</v>
      </c>
    </row>
    <row r="1404" spans="7:28" x14ac:dyDescent="0.2">
      <c r="G1404" s="21"/>
      <c r="H1404" s="21">
        <v>1289</v>
      </c>
      <c r="I1404">
        <f t="shared" si="224"/>
        <v>3.1601152049178086E-2</v>
      </c>
      <c r="J1404">
        <f t="shared" si="225"/>
        <v>0.3346367843771636</v>
      </c>
      <c r="K1404">
        <f t="shared" si="219"/>
        <v>22.502408443693184</v>
      </c>
      <c r="L1404">
        <f>0.5*Z1404*K1404/J1404/$B$7</f>
        <v>50.433207348025192</v>
      </c>
      <c r="M1404">
        <f t="shared" si="222"/>
        <v>1.0947095610948061</v>
      </c>
      <c r="N1404" s="21">
        <f t="shared" si="226"/>
        <v>8.0138591483171304E-2</v>
      </c>
      <c r="O1404" s="21">
        <f t="shared" si="227"/>
        <v>25.151928160433982</v>
      </c>
      <c r="P1404">
        <f t="shared" si="223"/>
        <v>0.98625697317831651</v>
      </c>
      <c r="Q1404">
        <f t="shared" si="220"/>
        <v>0.3346367843771636</v>
      </c>
      <c r="R1404">
        <f t="shared" si="221"/>
        <v>0.33490873264521975</v>
      </c>
      <c r="T1404" s="21">
        <f>(M1404-M1403)/(H1404-H1403)</f>
        <v>2.530813731035364E-3</v>
      </c>
      <c r="W1404">
        <v>1289</v>
      </c>
      <c r="X1404">
        <v>25.234458999999998</v>
      </c>
      <c r="Y1404">
        <v>1.5</v>
      </c>
      <c r="Z1404">
        <f t="shared" si="218"/>
        <v>1.5</v>
      </c>
      <c r="AA1404" s="21">
        <f>IF(X1404&gt;$B$8+$B$9,0,ABS(X1404-O1404)/X1404)</f>
        <v>3.2705610833985051E-3</v>
      </c>
      <c r="AB1404">
        <f>IF(OR(Z1401&lt;&gt;Z1407,X1404&gt;$B$8+$B$9),0,((X1407-X1401)/(W1407-W1401)-(O1407-O1401)/(W1407-W1401))^2)</f>
        <v>3.6691125087544436E-6</v>
      </c>
    </row>
    <row r="1405" spans="7:28" x14ac:dyDescent="0.2">
      <c r="G1405" s="21"/>
      <c r="H1405" s="21">
        <v>1290</v>
      </c>
      <c r="I1405">
        <f t="shared" si="224"/>
        <v>3.1717185816641923E-2</v>
      </c>
      <c r="J1405">
        <f t="shared" si="225"/>
        <v>0.33378673600975384</v>
      </c>
      <c r="K1405">
        <f t="shared" si="219"/>
        <v>22.501987009139722</v>
      </c>
      <c r="L1405">
        <f>0.5*Z1405*K1405/J1405/$B$7</f>
        <v>50.560697703582896</v>
      </c>
      <c r="M1405">
        <f t="shared" si="222"/>
        <v>1.0972530048837743</v>
      </c>
      <c r="N1405" s="21">
        <f t="shared" si="226"/>
        <v>8.02441445608644E-2</v>
      </c>
      <c r="O1405" s="21">
        <f t="shared" si="227"/>
        <v>25.183645346250625</v>
      </c>
      <c r="P1405">
        <f t="shared" si="223"/>
        <v>0.98751698592054782</v>
      </c>
      <c r="Q1405">
        <f t="shared" si="220"/>
        <v>0.33378673600975384</v>
      </c>
      <c r="R1405">
        <f t="shared" si="221"/>
        <v>0.33401050200028104</v>
      </c>
      <c r="T1405" s="21">
        <f>(M1405-M1404)/(H1405-H1404)</f>
        <v>2.5434437889682027E-3</v>
      </c>
      <c r="W1405">
        <v>1290</v>
      </c>
      <c r="X1405">
        <v>25.266907999999997</v>
      </c>
      <c r="Y1405">
        <v>1.5</v>
      </c>
      <c r="Z1405">
        <f t="shared" si="218"/>
        <v>1.5</v>
      </c>
      <c r="AA1405" s="21">
        <f>IF(X1405&gt;$B$8+$B$9,0,ABS(X1405-O1405)/X1405)</f>
        <v>3.295324214160766E-3</v>
      </c>
      <c r="AB1405">
        <f>IF(OR(Z1402&lt;&gt;Z1408,X1405&gt;$B$8+$B$9),0,((X1408-X1402)/(W1408-W1402)-(O1408-O1402)/(W1408-W1402))^2)</f>
        <v>2.2239079571792076E-6</v>
      </c>
    </row>
    <row r="1406" spans="7:28" x14ac:dyDescent="0.2">
      <c r="G1406" s="21"/>
      <c r="H1406" s="21">
        <v>1291</v>
      </c>
      <c r="I1406">
        <f t="shared" si="224"/>
        <v>3.1834345269526748E-2</v>
      </c>
      <c r="J1406">
        <f t="shared" si="225"/>
        <v>0.33293459666570591</v>
      </c>
      <c r="K1406">
        <f t="shared" si="219"/>
        <v>22.501605200593602</v>
      </c>
      <c r="L1406">
        <f>0.5*Z1406*K1406/J1406/$B$7</f>
        <v>50.689246685259079</v>
      </c>
      <c r="M1406">
        <f t="shared" si="222"/>
        <v>1.0998092147012495</v>
      </c>
      <c r="N1406" s="21">
        <f t="shared" si="226"/>
        <v>8.0350366870820894E-2</v>
      </c>
      <c r="O1406" s="21">
        <f t="shared" si="227"/>
        <v>25.215479691520152</v>
      </c>
      <c r="P1406">
        <f t="shared" si="223"/>
        <v>0.98878009808312817</v>
      </c>
      <c r="Q1406">
        <f t="shared" si="220"/>
        <v>0.33293459666570591</v>
      </c>
      <c r="R1406">
        <f t="shared" si="221"/>
        <v>0.33311488482185586</v>
      </c>
      <c r="T1406" s="21">
        <f>(M1406-M1405)/(H1406-H1405)</f>
        <v>2.5562098174751746E-3</v>
      </c>
      <c r="W1406">
        <v>1291</v>
      </c>
      <c r="X1406">
        <v>25.305846999999996</v>
      </c>
      <c r="Y1406">
        <v>1.5</v>
      </c>
      <c r="Z1406">
        <f t="shared" ref="Z1406:Z1469" si="228">Y1406</f>
        <v>1.5</v>
      </c>
      <c r="AA1406" s="21">
        <f>IF(X1406&gt;$B$8+$B$9,0,ABS(X1406-O1406)/X1406)</f>
        <v>3.5710050914259015E-3</v>
      </c>
      <c r="AB1406">
        <f>IF(OR(Z1403&lt;&gt;Z1409,X1406&gt;$B$8+$B$9),0,((X1409-X1403)/(W1409-W1403)-(O1409-O1403)/(W1409-W1403))^2)</f>
        <v>6.8002677787943915E-7</v>
      </c>
    </row>
    <row r="1407" spans="7:28" x14ac:dyDescent="0.2">
      <c r="G1407" s="21"/>
      <c r="H1407" s="21">
        <v>1292</v>
      </c>
      <c r="I1407">
        <f t="shared" si="224"/>
        <v>3.195264650167471E-2</v>
      </c>
      <c r="J1407">
        <f t="shared" si="225"/>
        <v>0.33208034753791682</v>
      </c>
      <c r="K1407">
        <f t="shared" si="219"/>
        <v>22.501263305175414</v>
      </c>
      <c r="L1407">
        <f>0.5*Z1407*K1407/J1407/$B$7</f>
        <v>50.818868397367808</v>
      </c>
      <c r="M1407">
        <f t="shared" si="222"/>
        <v>1.1023783286891276</v>
      </c>
      <c r="N1407" s="21">
        <f t="shared" si="226"/>
        <v>8.0457267447938546E-2</v>
      </c>
      <c r="O1407" s="21">
        <f t="shared" si="227"/>
        <v>25.247432338021827</v>
      </c>
      <c r="P1407">
        <f t="shared" si="223"/>
        <v>0.99004633754351801</v>
      </c>
      <c r="Q1407">
        <f t="shared" si="220"/>
        <v>0.33208034753791682</v>
      </c>
      <c r="R1407">
        <f t="shared" si="221"/>
        <v>0.33222185816597322</v>
      </c>
      <c r="T1407" s="21">
        <f>(M1407-M1406)/(H1407-H1406)</f>
        <v>2.5691139878780689E-3</v>
      </c>
      <c r="W1407">
        <v>1292</v>
      </c>
      <c r="X1407">
        <v>25.322072000000002</v>
      </c>
      <c r="Y1407">
        <v>1.5</v>
      </c>
      <c r="Z1407">
        <f t="shared" si="228"/>
        <v>1.5</v>
      </c>
      <c r="AA1407" s="21">
        <f>IF(X1407&gt;$B$8+$B$9,0,ABS(X1407-O1407)/X1407)</f>
        <v>2.9476127379376711E-3</v>
      </c>
      <c r="AB1407">
        <f>IF(OR(Z1404&lt;&gt;Z1410,X1407&gt;$B$8+$B$9),0,((X1410-X1404)/(W1410-W1404)-(O1410-O1404)/(W1410-W1404))^2)</f>
        <v>1.8942944822040367E-7</v>
      </c>
    </row>
    <row r="1408" spans="7:28" x14ac:dyDescent="0.2">
      <c r="G1408" s="21"/>
      <c r="H1408" s="21">
        <v>1293</v>
      </c>
      <c r="I1408">
        <f t="shared" si="224"/>
        <v>3.2072105923659562E-2</v>
      </c>
      <c r="J1408">
        <f t="shared" si="225"/>
        <v>0.33122396956753131</v>
      </c>
      <c r="K1408">
        <f t="shared" si="219"/>
        <v>22.500961614780614</v>
      </c>
      <c r="L1408">
        <f>0.5*Z1408*K1408/J1408/$B$7</f>
        <v>50.949577209401724</v>
      </c>
      <c r="M1408">
        <f t="shared" si="222"/>
        <v>1.1049604872071079</v>
      </c>
      <c r="N1408" s="21">
        <f t="shared" si="226"/>
        <v>8.0564855494580603E-2</v>
      </c>
      <c r="O1408" s="21">
        <f t="shared" si="227"/>
        <v>25.279504443945488</v>
      </c>
      <c r="P1408">
        <f t="shared" si="223"/>
        <v>0.99131573255234551</v>
      </c>
      <c r="Q1408">
        <f t="shared" si="220"/>
        <v>0.33122396956753131</v>
      </c>
      <c r="R1408">
        <f t="shared" si="221"/>
        <v>0.33133139918060384</v>
      </c>
      <c r="T1408" s="21">
        <f>(M1408-M1407)/(H1408-H1407)</f>
        <v>2.5821585179803819E-3</v>
      </c>
      <c r="W1408">
        <v>1293</v>
      </c>
      <c r="X1408">
        <v>25.361011000000001</v>
      </c>
      <c r="Y1408">
        <v>1.5</v>
      </c>
      <c r="Z1408">
        <f t="shared" si="228"/>
        <v>1.5</v>
      </c>
      <c r="AA1408" s="21">
        <f>IF(X1408&gt;$B$8+$B$9,0,ABS(X1408-O1408)/X1408)</f>
        <v>3.2138527937436573E-3</v>
      </c>
      <c r="AB1408">
        <f>IF(OR(Z1405&lt;&gt;Z1411,X1408&gt;$B$8+$B$9),0,((X1411-X1405)/(W1411-W1405)-(O1411-O1405)/(W1411-W1405))^2)</f>
        <v>3.4300409170998588E-7</v>
      </c>
    </row>
    <row r="1409" spans="7:28" x14ac:dyDescent="0.2">
      <c r="G1409" s="21"/>
      <c r="H1409" s="21">
        <v>1294</v>
      </c>
      <c r="I1409">
        <f t="shared" si="224"/>
        <v>3.2192740270686644E-2</v>
      </c>
      <c r="J1409">
        <f t="shared" si="225"/>
        <v>0.33036544343915986</v>
      </c>
      <c r="K1409">
        <f t="shared" si="219"/>
        <v>22.500700426173992</v>
      </c>
      <c r="L1409">
        <f>0.5*Z1409*K1409/J1409/$B$7</f>
        <v>51.081387762453105</v>
      </c>
      <c r="M1409">
        <f t="shared" si="222"/>
        <v>1.1075558328804194</v>
      </c>
      <c r="N1409" s="21">
        <f t="shared" si="226"/>
        <v>8.0673140384611583E-2</v>
      </c>
      <c r="O1409" s="21">
        <f t="shared" si="227"/>
        <v>25.311697184216175</v>
      </c>
      <c r="P1409">
        <f t="shared" si="223"/>
        <v>0.99258831174049544</v>
      </c>
      <c r="Q1409">
        <f t="shared" si="220"/>
        <v>0.33036544343915986</v>
      </c>
      <c r="R1409">
        <f t="shared" si="221"/>
        <v>0.33044348510298782</v>
      </c>
      <c r="T1409" s="21">
        <f>(M1409-M1408)/(H1409-H1408)</f>
        <v>2.5953456733114333E-3</v>
      </c>
      <c r="W1409">
        <v>1294</v>
      </c>
      <c r="X1409">
        <v>25.396705000000001</v>
      </c>
      <c r="Y1409">
        <v>1.5</v>
      </c>
      <c r="Z1409">
        <f t="shared" si="228"/>
        <v>1.5</v>
      </c>
      <c r="AA1409" s="21">
        <f>IF(X1409&gt;$B$8+$B$9,0,ABS(X1409-O1409)/X1409)</f>
        <v>3.3471986143015576E-3</v>
      </c>
      <c r="AB1409">
        <f>IF(OR(Z1406&lt;&gt;Z1412,X1409&gt;$B$8+$B$9),0,((X1412-X1406)/(W1412-W1406)-(O1412-O1406)/(W1412-W1406))^2)</f>
        <v>1.2900700287597045E-5</v>
      </c>
    </row>
    <row r="1410" spans="7:28" x14ac:dyDescent="0.2">
      <c r="G1410" s="21"/>
      <c r="H1410" s="21">
        <v>1295</v>
      </c>
      <c r="I1410">
        <f t="shared" si="224"/>
        <v>3.2314566610732558E-2</v>
      </c>
      <c r="J1410">
        <f t="shared" si="225"/>
        <v>0.32950474957598064</v>
      </c>
      <c r="K1410">
        <f t="shared" si="219"/>
        <v>22.500480041086611</v>
      </c>
      <c r="L1410">
        <f>0.5*Z1410*K1410/J1410/$B$7</f>
        <v>51.214314975826056</v>
      </c>
      <c r="M1410">
        <f t="shared" si="222"/>
        <v>1.1101645106488327</v>
      </c>
      <c r="N1410" s="21">
        <f t="shared" si="226"/>
        <v>8.0782131667552756E-2</v>
      </c>
      <c r="O1410" s="21">
        <f t="shared" si="227"/>
        <v>25.344011750826908</v>
      </c>
      <c r="P1410">
        <f t="shared" si="223"/>
        <v>0.99386410412636939</v>
      </c>
      <c r="Q1410">
        <f t="shared" si="220"/>
        <v>0.32950474957598064</v>
      </c>
      <c r="R1410">
        <f t="shared" si="221"/>
        <v>0.32955809325695345</v>
      </c>
      <c r="T1410" s="21">
        <f>(M1410-M1409)/(H1410-H1409)</f>
        <v>2.6086777684133367E-3</v>
      </c>
      <c r="W1410">
        <v>1295</v>
      </c>
      <c r="X1410">
        <v>25.429154</v>
      </c>
      <c r="Y1410">
        <v>1.5</v>
      </c>
      <c r="Z1410">
        <f t="shared" si="228"/>
        <v>1.5</v>
      </c>
      <c r="AA1410" s="21">
        <f>IF(X1410&gt;$B$8+$B$9,0,ABS(X1410-O1410)/X1410)</f>
        <v>3.3482139898595212E-3</v>
      </c>
      <c r="AB1410">
        <f>IF(OR(Z1407&lt;&gt;Z1413,X1410&gt;$B$8+$B$9),0,((X1413-X1407)/(W1413-W1407)-(O1413-O1407)/(W1413-W1407))^2)</f>
        <v>2.4052152572162518E-6</v>
      </c>
    </row>
    <row r="1411" spans="7:28" x14ac:dyDescent="0.2">
      <c r="G1411" s="21"/>
      <c r="H1411" s="21">
        <v>1296</v>
      </c>
      <c r="I1411">
        <f t="shared" si="224"/>
        <v>3.2437602352932915E-2</v>
      </c>
      <c r="J1411">
        <f t="shared" si="225"/>
        <v>0.32864186813472096</v>
      </c>
      <c r="K1411">
        <f t="shared" ref="K1411:K1474" si="229">IF(O1411&lt;$B$8+$B$9,0.5*(($B$8+$B$9)^2+O1411^2)/O1411-$B$9,$B$8)</f>
        <v>22.500300766315199</v>
      </c>
      <c r="L1411">
        <f>0.5*Z1411*K1411/J1411/$B$7</f>
        <v>51.348374053846037</v>
      </c>
      <c r="M1411">
        <f t="shared" si="222"/>
        <v>1.1127866678170066</v>
      </c>
      <c r="N1411" s="21">
        <f t="shared" si="226"/>
        <v>8.0891839072861405E-2</v>
      </c>
      <c r="O1411" s="21">
        <f t="shared" si="227"/>
        <v>25.37644935317984</v>
      </c>
      <c r="P1411">
        <f t="shared" si="223"/>
        <v>0.99514313912332508</v>
      </c>
      <c r="Q1411">
        <f t="shared" ref="Q1411:Q1474" si="230">1-B$15*P1411</f>
        <v>0.32864186813472096</v>
      </c>
      <c r="R1411">
        <f t="shared" ref="R1411:R1474" si="231">$E$15/(P1411+$E$16)</f>
        <v>0.32867520105022485</v>
      </c>
      <c r="T1411" s="21">
        <f>(M1411-M1410)/(H1411-H1410)</f>
        <v>2.6221571681739331E-3</v>
      </c>
      <c r="W1411">
        <v>1296</v>
      </c>
      <c r="X1411">
        <v>25.463226000000002</v>
      </c>
      <c r="Y1411">
        <v>1.5</v>
      </c>
      <c r="Z1411">
        <f t="shared" si="228"/>
        <v>1.5</v>
      </c>
      <c r="AA1411" s="21">
        <f>IF(X1411&gt;$B$8+$B$9,0,ABS(X1411-O1411)/X1411)</f>
        <v>3.4079203797728642E-3</v>
      </c>
      <c r="AB1411">
        <f>IF(OR(Z1408&lt;&gt;Z1414,X1411&gt;$B$8+$B$9),0,((X1414-X1408)/(W1414-W1408)-(O1414-O1408)/(W1414-W1408))^2)</f>
        <v>3.7832151672952826E-6</v>
      </c>
    </row>
    <row r="1412" spans="7:28" x14ac:dyDescent="0.2">
      <c r="G1412" s="21"/>
      <c r="H1412" s="21">
        <v>1297</v>
      </c>
      <c r="I1412">
        <f t="shared" si="224"/>
        <v>3.2561865256227597E-2</v>
      </c>
      <c r="J1412">
        <f t="shared" si="225"/>
        <v>0.32777677900051472</v>
      </c>
      <c r="K1412">
        <f t="shared" si="229"/>
        <v>22.500162913824141</v>
      </c>
      <c r="L1412">
        <f>0.5*Z1412*K1412/J1412/$B$7</f>
        <v>51.48358049287441</v>
      </c>
      <c r="M1412">
        <f t="shared" ref="M1412:M1475" si="232">-LN(J1412)</f>
        <v>1.1154224541062072</v>
      </c>
      <c r="N1412" s="21">
        <f t="shared" si="226"/>
        <v>8.1002272514338156E-2</v>
      </c>
      <c r="O1412" s="21">
        <f t="shared" si="227"/>
        <v>25.409011218436067</v>
      </c>
      <c r="P1412">
        <f t="shared" ref="P1412:P1475" si="233">MIN(O1412/(K1412+$B$9),1)</f>
        <v>0.99642544654729792</v>
      </c>
      <c r="Q1412">
        <f t="shared" si="230"/>
        <v>0.32777677900051472</v>
      </c>
      <c r="R1412">
        <f t="shared" si="231"/>
        <v>0.32779478597171835</v>
      </c>
      <c r="T1412" s="21">
        <f>(M1412-M1411)/(H1412-H1411)</f>
        <v>2.6357862892005812E-3</v>
      </c>
      <c r="W1412">
        <v>1297</v>
      </c>
      <c r="X1412">
        <v>25.477827999999999</v>
      </c>
      <c r="Y1412">
        <v>1.5</v>
      </c>
      <c r="Z1412">
        <f t="shared" si="228"/>
        <v>1.5</v>
      </c>
      <c r="AA1412" s="21">
        <f>IF(X1412&gt;$B$8+$B$9,0,ABS(X1412-O1412)/X1412)</f>
        <v>2.7010458491175853E-3</v>
      </c>
      <c r="AB1412">
        <f>IF(OR(Z1409&lt;&gt;Z1415,X1412&gt;$B$8+$B$9),0,((X1415-X1409)/(W1415-W1409)-(O1415-O1409)/(W1415-W1409))^2)</f>
        <v>1.7919351500195475E-5</v>
      </c>
    </row>
    <row r="1413" spans="7:28" x14ac:dyDescent="0.2">
      <c r="G1413" s="21"/>
      <c r="H1413" s="21">
        <v>1298</v>
      </c>
      <c r="I1413">
        <f t="shared" ref="I1413:I1476" si="234">IF(P1412&lt;0.999,MAX(0,MIN(10000000,(L1412/$E$8/M1412^$E$10)^(1/$E$9)/N1412)),0.1)</f>
        <v>3.2687373438272577E-2</v>
      </c>
      <c r="J1413">
        <f t="shared" ref="J1413:J1476" si="235">Q1413</f>
        <v>0.32690946178163494</v>
      </c>
      <c r="K1413">
        <f t="shared" si="229"/>
        <v>22.500066800850131</v>
      </c>
      <c r="L1413">
        <f>0.5*Z1413*K1413/J1413/$B$7</f>
        <v>51.619950088534274</v>
      </c>
      <c r="M1413">
        <f t="shared" si="232"/>
        <v>1.1180720217074422</v>
      </c>
      <c r="N1413" s="21">
        <f t="shared" ref="N1413:N1476" si="236">-$B$15*(O1413-2*(K1413+$B$9))/(K1413+$B$9)^2/J1413</f>
        <v>8.1113442094666657E-2</v>
      </c>
      <c r="O1413" s="21">
        <f t="shared" ref="O1413:O1476" si="237">O1412+I1413*(H1413-H1412)</f>
        <v>25.441698591874339</v>
      </c>
      <c r="P1413">
        <f t="shared" si="233"/>
        <v>0.99771105662461057</v>
      </c>
      <c r="Q1413">
        <f t="shared" si="230"/>
        <v>0.32690946178163494</v>
      </c>
      <c r="R1413">
        <f t="shared" si="231"/>
        <v>0.32691682558882601</v>
      </c>
      <c r="T1413" s="21">
        <f>(M1413-M1412)/(H1413-H1412)</f>
        <v>2.6495676012350255E-3</v>
      </c>
      <c r="W1413">
        <v>1298</v>
      </c>
      <c r="X1413">
        <v>25.507032999999996</v>
      </c>
      <c r="Y1413">
        <v>1.5</v>
      </c>
      <c r="Z1413">
        <f t="shared" si="228"/>
        <v>1.5</v>
      </c>
      <c r="AA1413" s="21">
        <f>IF(X1413&gt;$B$8+$B$9,0,ABS(X1413-O1413)/X1413)</f>
        <v>0</v>
      </c>
      <c r="AB1413">
        <f>IF(OR(Z1410&lt;&gt;Z1416,X1413&gt;$B$8+$B$9),0,((X1416-X1410)/(W1416-W1410)-(O1416-O1410)/(W1416-W1410))^2)</f>
        <v>0</v>
      </c>
    </row>
    <row r="1414" spans="7:28" x14ac:dyDescent="0.2">
      <c r="G1414" s="21"/>
      <c r="H1414" s="21">
        <v>1299</v>
      </c>
      <c r="I1414">
        <f t="shared" si="234"/>
        <v>3.2814145384627652E-2</v>
      </c>
      <c r="J1414">
        <f t="shared" si="235"/>
        <v>0.32603989580409287</v>
      </c>
      <c r="K1414">
        <f t="shared" si="229"/>
        <v>22.500012750009564</v>
      </c>
      <c r="L1414">
        <f>0.5*Z1414*K1414/J1414/$B$7</f>
        <v>51.757498943156442</v>
      </c>
      <c r="M1414">
        <f t="shared" si="232"/>
        <v>1.1207355253360662</v>
      </c>
      <c r="N1414" s="21">
        <f t="shared" si="236"/>
        <v>8.1225358110090962E-2</v>
      </c>
      <c r="O1414" s="21">
        <f t="shared" si="237"/>
        <v>25.474512737258966</v>
      </c>
      <c r="P1414">
        <f t="shared" si="233"/>
        <v>0.99899999999997691</v>
      </c>
      <c r="Q1414">
        <f t="shared" si="230"/>
        <v>0.32603989580409287</v>
      </c>
      <c r="R1414">
        <f t="shared" si="231"/>
        <v>0.32604129754468558</v>
      </c>
      <c r="T1414" s="21">
        <f>(M1414-M1413)/(H1414-H1413)</f>
        <v>2.6635036286239977E-3</v>
      </c>
      <c r="W1414">
        <v>1299</v>
      </c>
      <c r="X1414">
        <v>25.544349</v>
      </c>
      <c r="Y1414">
        <v>1.5</v>
      </c>
      <c r="Z1414">
        <f t="shared" si="228"/>
        <v>1.5</v>
      </c>
      <c r="AA1414" s="21">
        <f>IF(X1414&gt;$B$8+$B$9,0,ABS(X1414-O1414)/X1414)</f>
        <v>0</v>
      </c>
      <c r="AB1414">
        <f>IF(OR(Z1411&lt;&gt;Z1417,X1414&gt;$B$8+$B$9),0,((X1417-X1411)/(W1417-W1411)-(O1417-O1411)/(W1417-W1411))^2)</f>
        <v>0</v>
      </c>
    </row>
    <row r="1415" spans="7:28" x14ac:dyDescent="0.2">
      <c r="G1415" s="21"/>
      <c r="H1415" s="21">
        <v>1300</v>
      </c>
      <c r="I1415">
        <f t="shared" si="234"/>
        <v>3.2942199958231048E-2</v>
      </c>
      <c r="J1415">
        <f t="shared" si="235"/>
        <v>0.32536526106514241</v>
      </c>
      <c r="K1415">
        <f t="shared" si="229"/>
        <v>22.5</v>
      </c>
      <c r="L1415">
        <f>0.5*Z1415*K1415/J1415/$B$7</f>
        <v>51.864787115737606</v>
      </c>
      <c r="M1415">
        <f t="shared" si="232"/>
        <v>1.1228068475325188</v>
      </c>
      <c r="N1415" s="21">
        <f t="shared" si="236"/>
        <v>8.1288732803975042E-2</v>
      </c>
      <c r="O1415" s="21">
        <f t="shared" si="237"/>
        <v>25.507454937217197</v>
      </c>
      <c r="P1415">
        <f t="shared" si="233"/>
        <v>1</v>
      </c>
      <c r="Q1415">
        <f t="shared" si="230"/>
        <v>0.32536526106514241</v>
      </c>
      <c r="R1415">
        <f t="shared" si="231"/>
        <v>0.32536526106514241</v>
      </c>
      <c r="T1415" s="21">
        <f>(M1415-M1414)/(H1415-H1414)</f>
        <v>2.071322196452563E-3</v>
      </c>
      <c r="W1415">
        <v>1300</v>
      </c>
      <c r="X1415">
        <v>25.567063999999998</v>
      </c>
      <c r="Y1415">
        <v>1.5</v>
      </c>
      <c r="Z1415">
        <f t="shared" si="228"/>
        <v>1.5</v>
      </c>
      <c r="AA1415" s="21">
        <f>IF(X1415&gt;$B$8+$B$9,0,ABS(X1415-O1415)/X1415)</f>
        <v>0</v>
      </c>
      <c r="AB1415">
        <f>IF(OR(Z1412&lt;&gt;Z1418,X1415&gt;$B$8+$B$9),0,((X1418-X1412)/(W1418-W1412)-(O1418-O1412)/(W1418-W1412))^2)</f>
        <v>0</v>
      </c>
    </row>
    <row r="1416" spans="7:28" x14ac:dyDescent="0.2">
      <c r="G1416" s="21"/>
      <c r="H1416" s="21">
        <v>1301</v>
      </c>
      <c r="I1416">
        <f t="shared" si="234"/>
        <v>0.1</v>
      </c>
      <c r="J1416">
        <f t="shared" si="235"/>
        <v>0.32536526106514241</v>
      </c>
      <c r="K1416">
        <f t="shared" si="229"/>
        <v>22.5</v>
      </c>
      <c r="L1416">
        <f>0.5*Z1416*K1416/J1416/$B$7</f>
        <v>51.864787115737606</v>
      </c>
      <c r="M1416">
        <f t="shared" si="232"/>
        <v>1.1228068475325188</v>
      </c>
      <c r="N1416" s="21">
        <f t="shared" si="236"/>
        <v>8.0969860237098026E-2</v>
      </c>
      <c r="O1416" s="21">
        <f t="shared" si="237"/>
        <v>25.607454937217199</v>
      </c>
      <c r="P1416">
        <f t="shared" si="233"/>
        <v>1</v>
      </c>
      <c r="Q1416">
        <f t="shared" si="230"/>
        <v>0.32536526106514241</v>
      </c>
      <c r="R1416">
        <f t="shared" si="231"/>
        <v>0.32536526106514241</v>
      </c>
      <c r="T1416" s="21">
        <f>(M1416-M1415)/(H1416-H1415)</f>
        <v>0</v>
      </c>
      <c r="W1416">
        <v>1301</v>
      </c>
      <c r="X1416">
        <v>25.602757999999998</v>
      </c>
      <c r="Y1416">
        <v>1.5</v>
      </c>
      <c r="Z1416">
        <f t="shared" si="228"/>
        <v>1.5</v>
      </c>
      <c r="AA1416" s="21">
        <f>IF(X1416&gt;$B$8+$B$9,0,ABS(X1416-O1416)/X1416)</f>
        <v>0</v>
      </c>
      <c r="AB1416">
        <f>IF(OR(Z1413&lt;&gt;Z1419,X1416&gt;$B$8+$B$9),0,((X1419-X1413)/(W1419-W1413)-(O1419-O1413)/(W1419-W1413))^2)</f>
        <v>0</v>
      </c>
    </row>
    <row r="1417" spans="7:28" x14ac:dyDescent="0.2">
      <c r="G1417" s="21"/>
      <c r="H1417" s="21">
        <v>1302</v>
      </c>
      <c r="I1417">
        <f t="shared" si="234"/>
        <v>0.1</v>
      </c>
      <c r="J1417">
        <f t="shared" si="235"/>
        <v>0.32536526106514241</v>
      </c>
      <c r="K1417">
        <f t="shared" si="229"/>
        <v>22.5</v>
      </c>
      <c r="L1417">
        <f>0.5*Z1417*K1417/J1417/$B$7</f>
        <v>51.864787115737606</v>
      </c>
      <c r="M1417">
        <f t="shared" si="232"/>
        <v>1.1228068475325188</v>
      </c>
      <c r="N1417" s="21">
        <f t="shared" si="236"/>
        <v>8.0650987670221011E-2</v>
      </c>
      <c r="O1417" s="21">
        <f t="shared" si="237"/>
        <v>25.7074549372172</v>
      </c>
      <c r="P1417">
        <f t="shared" si="233"/>
        <v>1</v>
      </c>
      <c r="Q1417">
        <f t="shared" si="230"/>
        <v>0.32536526106514241</v>
      </c>
      <c r="R1417">
        <f t="shared" si="231"/>
        <v>0.32536526106514241</v>
      </c>
      <c r="T1417" s="21">
        <f>(M1417-M1416)/(H1417-H1416)</f>
        <v>0</v>
      </c>
      <c r="W1417">
        <v>1302</v>
      </c>
      <c r="X1417">
        <v>25.631961999999998</v>
      </c>
      <c r="Y1417">
        <v>1.5</v>
      </c>
      <c r="Z1417">
        <f t="shared" si="228"/>
        <v>1.5</v>
      </c>
      <c r="AA1417" s="21">
        <f>IF(X1417&gt;$B$8+$B$9,0,ABS(X1417-O1417)/X1417)</f>
        <v>0</v>
      </c>
      <c r="AB1417">
        <f>IF(OR(Z1414&lt;&gt;Z1420,X1417&gt;$B$8+$B$9),0,((X1420-X1414)/(W1420-W1414)-(O1420-O1414)/(W1420-W1414))^2)</f>
        <v>0</v>
      </c>
    </row>
    <row r="1418" spans="7:28" x14ac:dyDescent="0.2">
      <c r="G1418" s="21"/>
      <c r="H1418" s="21">
        <v>1303</v>
      </c>
      <c r="I1418">
        <f t="shared" si="234"/>
        <v>0.1</v>
      </c>
      <c r="J1418">
        <f t="shared" si="235"/>
        <v>0.32536526106514241</v>
      </c>
      <c r="K1418">
        <f t="shared" si="229"/>
        <v>22.5</v>
      </c>
      <c r="L1418">
        <f>0.5*Z1418*K1418/J1418/$B$7</f>
        <v>51.864787115737606</v>
      </c>
      <c r="M1418">
        <f t="shared" si="232"/>
        <v>1.1228068475325188</v>
      </c>
      <c r="N1418" s="21">
        <f t="shared" si="236"/>
        <v>8.0332115103343982E-2</v>
      </c>
      <c r="O1418" s="21">
        <f t="shared" si="237"/>
        <v>25.807454937217202</v>
      </c>
      <c r="P1418">
        <f t="shared" si="233"/>
        <v>1</v>
      </c>
      <c r="Q1418">
        <f t="shared" si="230"/>
        <v>0.32536526106514241</v>
      </c>
      <c r="R1418">
        <f t="shared" si="231"/>
        <v>0.32536526106514241</v>
      </c>
      <c r="T1418" s="21">
        <f>(M1418-M1417)/(H1418-H1417)</f>
        <v>0</v>
      </c>
      <c r="W1418">
        <v>1303</v>
      </c>
      <c r="X1418">
        <v>25.662789</v>
      </c>
      <c r="Y1418">
        <v>1.5</v>
      </c>
      <c r="Z1418">
        <f t="shared" si="228"/>
        <v>1.5</v>
      </c>
      <c r="AA1418" s="21">
        <f>IF(X1418&gt;$B$8+$B$9,0,ABS(X1418-O1418)/X1418)</f>
        <v>0</v>
      </c>
      <c r="AB1418">
        <f>IF(OR(Z1415&lt;&gt;Z1421,X1418&gt;$B$8+$B$9),0,((X1421-X1415)/(W1421-W1415)-(O1421-O1415)/(W1421-W1415))^2)</f>
        <v>0</v>
      </c>
    </row>
    <row r="1419" spans="7:28" x14ac:dyDescent="0.2">
      <c r="G1419" s="21"/>
      <c r="H1419" s="21">
        <v>1304</v>
      </c>
      <c r="I1419">
        <f t="shared" si="234"/>
        <v>0.1</v>
      </c>
      <c r="J1419">
        <f t="shared" si="235"/>
        <v>0.32536526106514241</v>
      </c>
      <c r="K1419">
        <f t="shared" si="229"/>
        <v>22.5</v>
      </c>
      <c r="L1419">
        <f>0.5*Z1419*K1419/J1419/$B$7</f>
        <v>51.864787115737606</v>
      </c>
      <c r="M1419">
        <f t="shared" si="232"/>
        <v>1.1228068475325188</v>
      </c>
      <c r="N1419" s="21">
        <f t="shared" si="236"/>
        <v>8.0013242536466966E-2</v>
      </c>
      <c r="O1419" s="21">
        <f t="shared" si="237"/>
        <v>25.907454937217203</v>
      </c>
      <c r="P1419">
        <f t="shared" si="233"/>
        <v>1</v>
      </c>
      <c r="Q1419">
        <f t="shared" si="230"/>
        <v>0.32536526106514241</v>
      </c>
      <c r="R1419">
        <f t="shared" si="231"/>
        <v>0.32536526106514241</v>
      </c>
      <c r="T1419" s="21">
        <f>(M1419-M1418)/(H1419-H1418)</f>
        <v>0</v>
      </c>
      <c r="W1419">
        <v>1304</v>
      </c>
      <c r="X1419">
        <v>25.704972999999999</v>
      </c>
      <c r="Y1419">
        <v>1.5</v>
      </c>
      <c r="Z1419">
        <f t="shared" si="228"/>
        <v>1.5</v>
      </c>
      <c r="AA1419" s="21">
        <f>IF(X1419&gt;$B$8+$B$9,0,ABS(X1419-O1419)/X1419)</f>
        <v>0</v>
      </c>
      <c r="AB1419">
        <f>IF(OR(Z1416&lt;&gt;Z1422,X1419&gt;$B$8+$B$9),0,((X1422-X1416)/(W1422-W1416)-(O1422-O1416)/(W1422-W1416))^2)</f>
        <v>0</v>
      </c>
    </row>
    <row r="1420" spans="7:28" x14ac:dyDescent="0.2">
      <c r="G1420" s="21"/>
      <c r="H1420" s="21">
        <v>1305</v>
      </c>
      <c r="I1420">
        <f t="shared" si="234"/>
        <v>0.1</v>
      </c>
      <c r="J1420">
        <f t="shared" si="235"/>
        <v>0.32536526106514241</v>
      </c>
      <c r="K1420">
        <f t="shared" si="229"/>
        <v>22.5</v>
      </c>
      <c r="L1420">
        <f>0.5*Z1420*K1420/J1420/$B$7</f>
        <v>51.864787115737606</v>
      </c>
      <c r="M1420">
        <f t="shared" si="232"/>
        <v>1.1228068475325188</v>
      </c>
      <c r="N1420" s="21">
        <f t="shared" si="236"/>
        <v>7.9694369969589951E-2</v>
      </c>
      <c r="O1420" s="21">
        <f t="shared" si="237"/>
        <v>26.007454937217204</v>
      </c>
      <c r="P1420">
        <f t="shared" si="233"/>
        <v>1</v>
      </c>
      <c r="Q1420">
        <f t="shared" si="230"/>
        <v>0.32536526106514241</v>
      </c>
      <c r="R1420">
        <f t="shared" si="231"/>
        <v>0.32536526106514241</v>
      </c>
      <c r="T1420" s="21">
        <f>(M1420-M1419)/(H1420-H1419)</f>
        <v>0</v>
      </c>
      <c r="W1420">
        <v>1305</v>
      </c>
      <c r="X1420">
        <v>25.727687999999997</v>
      </c>
      <c r="Y1420">
        <v>1.5</v>
      </c>
      <c r="Z1420">
        <f t="shared" si="228"/>
        <v>1.5</v>
      </c>
      <c r="AA1420" s="21">
        <f>IF(X1420&gt;$B$8+$B$9,0,ABS(X1420-O1420)/X1420)</f>
        <v>0</v>
      </c>
      <c r="AB1420">
        <f>IF(OR(Z1417&lt;&gt;Z1423,X1420&gt;$B$8+$B$9),0,((X1423-X1417)/(W1423-W1417)-(O1423-O1417)/(W1423-W1417))^2)</f>
        <v>0</v>
      </c>
    </row>
    <row r="1421" spans="7:28" x14ac:dyDescent="0.2">
      <c r="G1421" s="21"/>
      <c r="H1421" s="21">
        <v>1306</v>
      </c>
      <c r="I1421">
        <f t="shared" si="234"/>
        <v>0.1</v>
      </c>
      <c r="J1421">
        <f t="shared" si="235"/>
        <v>0.32536526106514241</v>
      </c>
      <c r="K1421">
        <f t="shared" si="229"/>
        <v>22.5</v>
      </c>
      <c r="L1421">
        <f>0.5*Z1421*K1421/J1421/$B$7</f>
        <v>51.864787115737606</v>
      </c>
      <c r="M1421">
        <f t="shared" si="232"/>
        <v>1.1228068475325188</v>
      </c>
      <c r="N1421" s="21">
        <f t="shared" si="236"/>
        <v>7.9375497402712922E-2</v>
      </c>
      <c r="O1421" s="21">
        <f t="shared" si="237"/>
        <v>26.107454937217206</v>
      </c>
      <c r="P1421">
        <f t="shared" si="233"/>
        <v>1</v>
      </c>
      <c r="Q1421">
        <f t="shared" si="230"/>
        <v>0.32536526106514241</v>
      </c>
      <c r="R1421">
        <f t="shared" si="231"/>
        <v>0.32536526106514241</v>
      </c>
      <c r="T1421" s="21">
        <f>(M1421-M1420)/(H1421-H1420)</f>
        <v>0</v>
      </c>
      <c r="W1421">
        <v>1306</v>
      </c>
      <c r="X1421">
        <v>25.761759000000001</v>
      </c>
      <c r="Y1421">
        <v>1.5</v>
      </c>
      <c r="Z1421">
        <f t="shared" si="228"/>
        <v>1.5</v>
      </c>
      <c r="AA1421" s="21">
        <f>IF(X1421&gt;$B$8+$B$9,0,ABS(X1421-O1421)/X1421)</f>
        <v>0</v>
      </c>
      <c r="AB1421">
        <f>IF(OR(Z1418&lt;&gt;Z1424,X1421&gt;$B$8+$B$9),0,((X1424-X1418)/(W1424-W1418)-(O1424-O1418)/(W1424-W1418))^2)</f>
        <v>0</v>
      </c>
    </row>
    <row r="1422" spans="7:28" x14ac:dyDescent="0.2">
      <c r="G1422" s="21"/>
      <c r="H1422" s="21">
        <v>1307</v>
      </c>
      <c r="I1422">
        <f t="shared" si="234"/>
        <v>0.1</v>
      </c>
      <c r="J1422">
        <f t="shared" si="235"/>
        <v>0.32536526106514241</v>
      </c>
      <c r="K1422">
        <f t="shared" si="229"/>
        <v>22.5</v>
      </c>
      <c r="L1422">
        <f>0.5*Z1422*K1422/J1422/$B$7</f>
        <v>51.864787115737606</v>
      </c>
      <c r="M1422">
        <f t="shared" si="232"/>
        <v>1.1228068475325188</v>
      </c>
      <c r="N1422" s="21">
        <f t="shared" si="236"/>
        <v>7.9056624835835906E-2</v>
      </c>
      <c r="O1422" s="21">
        <f t="shared" si="237"/>
        <v>26.207454937217207</v>
      </c>
      <c r="P1422">
        <f t="shared" si="233"/>
        <v>1</v>
      </c>
      <c r="Q1422">
        <f t="shared" si="230"/>
        <v>0.32536526106514241</v>
      </c>
      <c r="R1422">
        <f t="shared" si="231"/>
        <v>0.32536526106514241</v>
      </c>
      <c r="T1422" s="21">
        <f>(M1422-M1421)/(H1422-H1421)</f>
        <v>0</v>
      </c>
      <c r="W1422">
        <v>1307</v>
      </c>
      <c r="X1422">
        <v>25.802321000000003</v>
      </c>
      <c r="Y1422">
        <v>1.5</v>
      </c>
      <c r="Z1422">
        <f t="shared" si="228"/>
        <v>1.5</v>
      </c>
      <c r="AA1422" s="21">
        <f>IF(X1422&gt;$B$8+$B$9,0,ABS(X1422-O1422)/X1422)</f>
        <v>0</v>
      </c>
      <c r="AB1422">
        <f>IF(OR(Z1419&lt;&gt;Z1425,X1422&gt;$B$8+$B$9),0,((X1425-X1419)/(W1425-W1419)-(O1425-O1419)/(W1425-W1419))^2)</f>
        <v>0</v>
      </c>
    </row>
    <row r="1423" spans="7:28" x14ac:dyDescent="0.2">
      <c r="G1423" s="21"/>
      <c r="H1423" s="21">
        <v>1308</v>
      </c>
      <c r="I1423">
        <f t="shared" si="234"/>
        <v>0.1</v>
      </c>
      <c r="J1423">
        <f t="shared" si="235"/>
        <v>0.32536526106514241</v>
      </c>
      <c r="K1423">
        <f t="shared" si="229"/>
        <v>22.5</v>
      </c>
      <c r="L1423">
        <f>0.5*Z1423*K1423/J1423/$B$7</f>
        <v>51.864787115737606</v>
      </c>
      <c r="M1423">
        <f t="shared" si="232"/>
        <v>1.1228068475325188</v>
      </c>
      <c r="N1423" s="21">
        <f t="shared" si="236"/>
        <v>7.8737752268958891E-2</v>
      </c>
      <c r="O1423" s="21">
        <f t="shared" si="237"/>
        <v>26.307454937217209</v>
      </c>
      <c r="P1423">
        <f t="shared" si="233"/>
        <v>1</v>
      </c>
      <c r="Q1423">
        <f t="shared" si="230"/>
        <v>0.32536526106514241</v>
      </c>
      <c r="R1423">
        <f t="shared" si="231"/>
        <v>0.32536526106514241</v>
      </c>
      <c r="T1423" s="21">
        <f>(M1423-M1422)/(H1423-H1422)</f>
        <v>0</v>
      </c>
      <c r="W1423">
        <v>1308</v>
      </c>
      <c r="X1423">
        <v>25.826657999999998</v>
      </c>
      <c r="Y1423">
        <v>1.5</v>
      </c>
      <c r="Z1423">
        <f t="shared" si="228"/>
        <v>1.5</v>
      </c>
      <c r="AA1423" s="21">
        <f>IF(X1423&gt;$B$8+$B$9,0,ABS(X1423-O1423)/X1423)</f>
        <v>0</v>
      </c>
      <c r="AB1423">
        <f>IF(OR(Z1420&lt;&gt;Z1426,X1423&gt;$B$8+$B$9),0,((X1426-X1420)/(W1426-W1420)-(O1426-O1420)/(W1426-W1420))^2)</f>
        <v>0</v>
      </c>
    </row>
    <row r="1424" spans="7:28" x14ac:dyDescent="0.2">
      <c r="G1424" s="21"/>
      <c r="H1424" s="21">
        <v>1309</v>
      </c>
      <c r="I1424">
        <f t="shared" si="234"/>
        <v>0.1</v>
      </c>
      <c r="J1424">
        <f t="shared" si="235"/>
        <v>0.32536526106514241</v>
      </c>
      <c r="K1424">
        <f t="shared" si="229"/>
        <v>22.5</v>
      </c>
      <c r="L1424">
        <f>0.5*Z1424*K1424/J1424/$B$7</f>
        <v>51.864787115737606</v>
      </c>
      <c r="M1424">
        <f t="shared" si="232"/>
        <v>1.1228068475325188</v>
      </c>
      <c r="N1424" s="21">
        <f t="shared" si="236"/>
        <v>7.841887970208189E-2</v>
      </c>
      <c r="O1424" s="21">
        <f t="shared" si="237"/>
        <v>26.40745493721721</v>
      </c>
      <c r="P1424">
        <f t="shared" si="233"/>
        <v>1</v>
      </c>
      <c r="Q1424">
        <f t="shared" si="230"/>
        <v>0.32536526106514241</v>
      </c>
      <c r="R1424">
        <f t="shared" si="231"/>
        <v>0.32536526106514241</v>
      </c>
      <c r="T1424" s="21">
        <f>(M1424-M1423)/(H1424-H1423)</f>
        <v>0</v>
      </c>
      <c r="W1424">
        <v>1309</v>
      </c>
      <c r="X1424">
        <v>25.898045999999997</v>
      </c>
      <c r="Y1424">
        <v>1.5</v>
      </c>
      <c r="Z1424">
        <f t="shared" si="228"/>
        <v>1.5</v>
      </c>
      <c r="AA1424" s="21">
        <f>IF(X1424&gt;$B$8+$B$9,0,ABS(X1424-O1424)/X1424)</f>
        <v>0</v>
      </c>
      <c r="AB1424">
        <f>IF(OR(Z1421&lt;&gt;Z1427,X1424&gt;$B$8+$B$9),0,((X1427-X1421)/(W1427-W1421)-(O1427-O1421)/(W1427-W1421))^2)</f>
        <v>0</v>
      </c>
    </row>
    <row r="1425" spans="7:28" x14ac:dyDescent="0.2">
      <c r="G1425" s="21"/>
      <c r="H1425" s="21">
        <v>1310</v>
      </c>
      <c r="I1425">
        <f t="shared" si="234"/>
        <v>0.1</v>
      </c>
      <c r="J1425">
        <f t="shared" si="235"/>
        <v>0.32536526106514241</v>
      </c>
      <c r="K1425">
        <f t="shared" si="229"/>
        <v>22.5</v>
      </c>
      <c r="L1425">
        <f>0.5*Z1425*K1425/J1425/$B$7</f>
        <v>51.864787115737606</v>
      </c>
      <c r="M1425">
        <f t="shared" si="232"/>
        <v>1.1228068475325188</v>
      </c>
      <c r="N1425" s="21">
        <f t="shared" si="236"/>
        <v>7.810000713520486E-2</v>
      </c>
      <c r="O1425" s="21">
        <f t="shared" si="237"/>
        <v>26.507454937217211</v>
      </c>
      <c r="P1425">
        <f t="shared" si="233"/>
        <v>1</v>
      </c>
      <c r="Q1425">
        <f t="shared" si="230"/>
        <v>0.32536526106514241</v>
      </c>
      <c r="R1425">
        <f t="shared" si="231"/>
        <v>0.32536526106514241</v>
      </c>
      <c r="T1425" s="21">
        <f>(M1425-M1424)/(H1425-H1424)</f>
        <v>0</v>
      </c>
      <c r="W1425">
        <v>1310</v>
      </c>
      <c r="X1425">
        <v>25.901290999999997</v>
      </c>
      <c r="Y1425">
        <v>1.5</v>
      </c>
      <c r="Z1425">
        <f t="shared" si="228"/>
        <v>1.5</v>
      </c>
      <c r="AA1425" s="21">
        <f>IF(X1425&gt;$B$8+$B$9,0,ABS(X1425-O1425)/X1425)</f>
        <v>0</v>
      </c>
      <c r="AB1425">
        <f>IF(OR(Z1422&lt;&gt;Z1428,X1425&gt;$B$8+$B$9),0,((X1428-X1422)/(W1428-W1422)-(O1428-O1422)/(W1428-W1422))^2)</f>
        <v>0</v>
      </c>
    </row>
    <row r="1426" spans="7:28" x14ac:dyDescent="0.2">
      <c r="G1426" s="21"/>
      <c r="H1426" s="21">
        <v>1311</v>
      </c>
      <c r="I1426">
        <f t="shared" si="234"/>
        <v>0.1</v>
      </c>
      <c r="J1426">
        <f t="shared" si="235"/>
        <v>0.32536526106514241</v>
      </c>
      <c r="K1426">
        <f t="shared" si="229"/>
        <v>22.5</v>
      </c>
      <c r="L1426">
        <f>0.5*Z1426*K1426/J1426/$B$7</f>
        <v>51.864787115737606</v>
      </c>
      <c r="M1426">
        <f t="shared" si="232"/>
        <v>1.1228068475325188</v>
      </c>
      <c r="N1426" s="21">
        <f t="shared" si="236"/>
        <v>7.7781134568327831E-2</v>
      </c>
      <c r="O1426" s="21">
        <f t="shared" si="237"/>
        <v>26.607454937217213</v>
      </c>
      <c r="P1426">
        <f t="shared" si="233"/>
        <v>1</v>
      </c>
      <c r="Q1426">
        <f t="shared" si="230"/>
        <v>0.32536526106514241</v>
      </c>
      <c r="R1426">
        <f t="shared" si="231"/>
        <v>0.32536526106514241</v>
      </c>
      <c r="T1426" s="21">
        <f>(M1426-M1425)/(H1426-H1425)</f>
        <v>0</v>
      </c>
      <c r="W1426">
        <v>1311</v>
      </c>
      <c r="X1426">
        <v>25.930496000000002</v>
      </c>
      <c r="Y1426">
        <v>1.5</v>
      </c>
      <c r="Z1426">
        <f t="shared" si="228"/>
        <v>1.5</v>
      </c>
      <c r="AA1426" s="21">
        <f>IF(X1426&gt;$B$8+$B$9,0,ABS(X1426-O1426)/X1426)</f>
        <v>0</v>
      </c>
      <c r="AB1426">
        <f>IF(OR(Z1423&lt;&gt;Z1429,X1426&gt;$B$8+$B$9),0,((X1429-X1423)/(W1429-W1423)-(O1429-O1423)/(W1429-W1423))^2)</f>
        <v>0</v>
      </c>
    </row>
    <row r="1427" spans="7:28" x14ac:dyDescent="0.2">
      <c r="G1427" s="21"/>
      <c r="H1427" s="21">
        <v>1312</v>
      </c>
      <c r="I1427">
        <f t="shared" si="234"/>
        <v>0.1</v>
      </c>
      <c r="J1427">
        <f t="shared" si="235"/>
        <v>0.32536526106514241</v>
      </c>
      <c r="K1427">
        <f t="shared" si="229"/>
        <v>22.5</v>
      </c>
      <c r="L1427">
        <f>0.5*Z1427*K1427/J1427/$B$7</f>
        <v>51.864787115737606</v>
      </c>
      <c r="M1427">
        <f t="shared" si="232"/>
        <v>1.1228068475325188</v>
      </c>
      <c r="N1427" s="21">
        <f t="shared" si="236"/>
        <v>7.7462262001450802E-2</v>
      </c>
      <c r="O1427" s="21">
        <f t="shared" si="237"/>
        <v>26.707454937217214</v>
      </c>
      <c r="P1427">
        <f t="shared" si="233"/>
        <v>1</v>
      </c>
      <c r="Q1427">
        <f t="shared" si="230"/>
        <v>0.32536526106514241</v>
      </c>
      <c r="R1427">
        <f t="shared" si="231"/>
        <v>0.32536526106514241</v>
      </c>
      <c r="T1427" s="21">
        <f>(M1427-M1426)/(H1427-H1426)</f>
        <v>0</v>
      </c>
      <c r="W1427">
        <v>1312</v>
      </c>
      <c r="X1427">
        <v>25.962945000000001</v>
      </c>
      <c r="Y1427">
        <v>1.5</v>
      </c>
      <c r="Z1427">
        <f t="shared" si="228"/>
        <v>1.5</v>
      </c>
      <c r="AA1427" s="21">
        <f>IF(X1427&gt;$B$8+$B$9,0,ABS(X1427-O1427)/X1427)</f>
        <v>0</v>
      </c>
      <c r="AB1427">
        <f>IF(OR(Z1424&lt;&gt;Z1430,X1427&gt;$B$8+$B$9),0,((X1430-X1424)/(W1430-W1424)-(O1430-O1424)/(W1430-W1424))^2)</f>
        <v>0</v>
      </c>
    </row>
    <row r="1428" spans="7:28" x14ac:dyDescent="0.2">
      <c r="G1428" s="21"/>
      <c r="H1428" s="21">
        <v>1313</v>
      </c>
      <c r="I1428">
        <f t="shared" si="234"/>
        <v>0.1</v>
      </c>
      <c r="J1428">
        <f t="shared" si="235"/>
        <v>0.32536526106514241</v>
      </c>
      <c r="K1428">
        <f t="shared" si="229"/>
        <v>22.5</v>
      </c>
      <c r="L1428">
        <f>0.5*Z1428*K1428/J1428/$B$7</f>
        <v>51.864787115737606</v>
      </c>
      <c r="M1428">
        <f t="shared" si="232"/>
        <v>1.1228068475325188</v>
      </c>
      <c r="N1428" s="21">
        <f t="shared" si="236"/>
        <v>7.71433894345738E-2</v>
      </c>
      <c r="O1428" s="21">
        <f t="shared" si="237"/>
        <v>26.807454937217216</v>
      </c>
      <c r="P1428">
        <f t="shared" si="233"/>
        <v>1</v>
      </c>
      <c r="Q1428">
        <f t="shared" si="230"/>
        <v>0.32536526106514241</v>
      </c>
      <c r="R1428">
        <f t="shared" si="231"/>
        <v>0.32536526106514241</v>
      </c>
      <c r="T1428" s="21">
        <f>(M1428-M1427)/(H1428-H1427)</f>
        <v>0</v>
      </c>
      <c r="W1428">
        <v>1313</v>
      </c>
      <c r="X1428">
        <v>26.005129</v>
      </c>
      <c r="Y1428">
        <v>1.5</v>
      </c>
      <c r="Z1428">
        <f t="shared" si="228"/>
        <v>1.5</v>
      </c>
      <c r="AA1428" s="21">
        <f>IF(X1428&gt;$B$8+$B$9,0,ABS(X1428-O1428)/X1428)</f>
        <v>0</v>
      </c>
      <c r="AB1428">
        <f>IF(OR(Z1425&lt;&gt;Z1431,X1428&gt;$B$8+$B$9),0,((X1431-X1425)/(W1431-W1425)-(O1431-O1425)/(W1431-W1425))^2)</f>
        <v>0</v>
      </c>
    </row>
    <row r="1429" spans="7:28" x14ac:dyDescent="0.2">
      <c r="G1429" s="21"/>
      <c r="H1429" s="21">
        <v>1314</v>
      </c>
      <c r="I1429">
        <f t="shared" si="234"/>
        <v>0.1</v>
      </c>
      <c r="J1429">
        <f t="shared" si="235"/>
        <v>0.32536526106514241</v>
      </c>
      <c r="K1429">
        <f t="shared" si="229"/>
        <v>22.5</v>
      </c>
      <c r="L1429">
        <f>0.5*Z1429*K1429/J1429/$B$7</f>
        <v>51.864787115737606</v>
      </c>
      <c r="M1429">
        <f t="shared" si="232"/>
        <v>1.1228068475325188</v>
      </c>
      <c r="N1429" s="21">
        <f t="shared" si="236"/>
        <v>7.6824516867696785E-2</v>
      </c>
      <c r="O1429" s="21">
        <f t="shared" si="237"/>
        <v>26.907454937217217</v>
      </c>
      <c r="P1429">
        <f t="shared" si="233"/>
        <v>1</v>
      </c>
      <c r="Q1429">
        <f t="shared" si="230"/>
        <v>0.32536526106514241</v>
      </c>
      <c r="R1429">
        <f t="shared" si="231"/>
        <v>0.32536526106514241</v>
      </c>
      <c r="T1429" s="21">
        <f>(M1429-M1428)/(H1429-H1428)</f>
        <v>0</v>
      </c>
      <c r="W1429">
        <v>1314</v>
      </c>
      <c r="X1429">
        <v>26.044067999999999</v>
      </c>
      <c r="Y1429">
        <v>1.5</v>
      </c>
      <c r="Z1429">
        <f t="shared" si="228"/>
        <v>1.5</v>
      </c>
      <c r="AA1429" s="21">
        <f>IF(X1429&gt;$B$8+$B$9,0,ABS(X1429-O1429)/X1429)</f>
        <v>0</v>
      </c>
      <c r="AB1429">
        <f>IF(OR(Z1426&lt;&gt;Z1432,X1429&gt;$B$8+$B$9),0,((X1432-X1426)/(W1432-W1426)-(O1432-O1426)/(W1432-W1426))^2)</f>
        <v>0</v>
      </c>
    </row>
    <row r="1430" spans="7:28" x14ac:dyDescent="0.2">
      <c r="G1430" s="21"/>
      <c r="H1430" s="21">
        <v>1315</v>
      </c>
      <c r="I1430">
        <f t="shared" si="234"/>
        <v>0.1</v>
      </c>
      <c r="J1430">
        <f t="shared" si="235"/>
        <v>0.32536526106514241</v>
      </c>
      <c r="K1430">
        <f t="shared" si="229"/>
        <v>22.5</v>
      </c>
      <c r="L1430">
        <f>0.5*Z1430*K1430/J1430/$B$7</f>
        <v>51.864787115737606</v>
      </c>
      <c r="M1430">
        <f t="shared" si="232"/>
        <v>1.1228068475325188</v>
      </c>
      <c r="N1430" s="21">
        <f t="shared" si="236"/>
        <v>7.650564430081977E-2</v>
      </c>
      <c r="O1430" s="21">
        <f t="shared" si="237"/>
        <v>27.007454937217219</v>
      </c>
      <c r="P1430">
        <f t="shared" si="233"/>
        <v>1</v>
      </c>
      <c r="Q1430">
        <f t="shared" si="230"/>
        <v>0.32536526106514241</v>
      </c>
      <c r="R1430">
        <f t="shared" si="231"/>
        <v>0.32536526106514241</v>
      </c>
      <c r="T1430" s="21">
        <f>(M1430-M1429)/(H1430-H1429)</f>
        <v>0</v>
      </c>
      <c r="W1430">
        <v>1315</v>
      </c>
      <c r="X1430">
        <v>26.065160000000002</v>
      </c>
      <c r="Y1430">
        <v>1.5</v>
      </c>
      <c r="Z1430">
        <f t="shared" si="228"/>
        <v>1.5</v>
      </c>
      <c r="AA1430" s="21">
        <f>IF(X1430&gt;$B$8+$B$9,0,ABS(X1430-O1430)/X1430)</f>
        <v>0</v>
      </c>
      <c r="AB1430">
        <f>IF(OR(Z1427&lt;&gt;Z1433,X1430&gt;$B$8+$B$9),0,((X1433-X1427)/(W1433-W1427)-(O1433-O1427)/(W1433-W1427))^2)</f>
        <v>0</v>
      </c>
    </row>
    <row r="1431" spans="7:28" x14ac:dyDescent="0.2">
      <c r="G1431" s="21"/>
      <c r="H1431" s="21">
        <v>1316</v>
      </c>
      <c r="I1431">
        <f t="shared" si="234"/>
        <v>0.1</v>
      </c>
      <c r="J1431">
        <f t="shared" si="235"/>
        <v>0.32536526106514241</v>
      </c>
      <c r="K1431">
        <f t="shared" si="229"/>
        <v>22.5</v>
      </c>
      <c r="L1431">
        <f>0.5*Z1431*K1431/J1431/$B$7</f>
        <v>51.864787115737606</v>
      </c>
      <c r="M1431">
        <f t="shared" si="232"/>
        <v>1.1228068475325188</v>
      </c>
      <c r="N1431" s="21">
        <f t="shared" si="236"/>
        <v>7.618677173394274E-2</v>
      </c>
      <c r="O1431" s="21">
        <f t="shared" si="237"/>
        <v>27.10745493721722</v>
      </c>
      <c r="P1431">
        <f t="shared" si="233"/>
        <v>1</v>
      </c>
      <c r="Q1431">
        <f t="shared" si="230"/>
        <v>0.32536526106514241</v>
      </c>
      <c r="R1431">
        <f t="shared" si="231"/>
        <v>0.32536526106514241</v>
      </c>
      <c r="T1431" s="21">
        <f>(M1431-M1430)/(H1431-H1430)</f>
        <v>0</v>
      </c>
      <c r="W1431">
        <v>1316</v>
      </c>
      <c r="X1431">
        <v>26.097609000000002</v>
      </c>
      <c r="Y1431">
        <v>1.5</v>
      </c>
      <c r="Z1431">
        <f t="shared" si="228"/>
        <v>1.5</v>
      </c>
      <c r="AA1431" s="21">
        <f>IF(X1431&gt;$B$8+$B$9,0,ABS(X1431-O1431)/X1431)</f>
        <v>0</v>
      </c>
      <c r="AB1431">
        <f>IF(OR(Z1428&lt;&gt;Z1434,X1431&gt;$B$8+$B$9),0,((X1434-X1428)/(W1434-W1428)-(O1434-O1428)/(W1434-W1428))^2)</f>
        <v>0</v>
      </c>
    </row>
    <row r="1432" spans="7:28" x14ac:dyDescent="0.2">
      <c r="G1432" s="21"/>
      <c r="H1432" s="21">
        <v>1317</v>
      </c>
      <c r="I1432">
        <f t="shared" si="234"/>
        <v>0.1</v>
      </c>
      <c r="J1432">
        <f t="shared" si="235"/>
        <v>0.32536526106514241</v>
      </c>
      <c r="K1432">
        <f t="shared" si="229"/>
        <v>22.5</v>
      </c>
      <c r="L1432">
        <f>0.5*Z1432*K1432/J1432/$B$7</f>
        <v>51.864787115737606</v>
      </c>
      <c r="M1432">
        <f t="shared" si="232"/>
        <v>1.1228068475325188</v>
      </c>
      <c r="N1432" s="21">
        <f t="shared" si="236"/>
        <v>7.5867899167065725E-2</v>
      </c>
      <c r="O1432" s="21">
        <f t="shared" si="237"/>
        <v>27.207454937217221</v>
      </c>
      <c r="P1432">
        <f t="shared" si="233"/>
        <v>1</v>
      </c>
      <c r="Q1432">
        <f t="shared" si="230"/>
        <v>0.32536526106514241</v>
      </c>
      <c r="R1432">
        <f t="shared" si="231"/>
        <v>0.32536526106514241</v>
      </c>
      <c r="T1432" s="21">
        <f>(M1432-M1431)/(H1432-H1431)</f>
        <v>0</v>
      </c>
      <c r="W1432">
        <v>1317</v>
      </c>
      <c r="X1432">
        <v>26.143038000000001</v>
      </c>
      <c r="Y1432">
        <v>1.5</v>
      </c>
      <c r="Z1432">
        <f t="shared" si="228"/>
        <v>1.5</v>
      </c>
      <c r="AA1432" s="21">
        <f>IF(X1432&gt;$B$8+$B$9,0,ABS(X1432-O1432)/X1432)</f>
        <v>0</v>
      </c>
      <c r="AB1432">
        <f>IF(OR(Z1429&lt;&gt;Z1435,X1432&gt;$B$8+$B$9),0,((X1435-X1429)/(W1435-W1429)-(O1435-O1429)/(W1435-W1429))^2)</f>
        <v>0</v>
      </c>
    </row>
    <row r="1433" spans="7:28" x14ac:dyDescent="0.2">
      <c r="G1433" s="21"/>
      <c r="H1433" s="21">
        <v>1318</v>
      </c>
      <c r="I1433">
        <f t="shared" si="234"/>
        <v>0.1</v>
      </c>
      <c r="J1433">
        <f t="shared" si="235"/>
        <v>0.32536526106514241</v>
      </c>
      <c r="K1433">
        <f t="shared" si="229"/>
        <v>22.5</v>
      </c>
      <c r="L1433">
        <f>0.5*Z1433*K1433/J1433/$B$7</f>
        <v>51.864787115737606</v>
      </c>
      <c r="M1433">
        <f t="shared" si="232"/>
        <v>1.1228068475325188</v>
      </c>
      <c r="N1433" s="21">
        <f t="shared" si="236"/>
        <v>7.5549026600188696E-2</v>
      </c>
      <c r="O1433" s="21">
        <f t="shared" si="237"/>
        <v>27.307454937217223</v>
      </c>
      <c r="P1433">
        <f t="shared" si="233"/>
        <v>1</v>
      </c>
      <c r="Q1433">
        <f t="shared" si="230"/>
        <v>0.32536526106514241</v>
      </c>
      <c r="R1433">
        <f t="shared" si="231"/>
        <v>0.32536526106514241</v>
      </c>
      <c r="T1433" s="21">
        <f>(M1433-M1432)/(H1433-H1432)</f>
        <v>0</v>
      </c>
      <c r="W1433">
        <v>1318</v>
      </c>
      <c r="X1433">
        <v>26.173865000000003</v>
      </c>
      <c r="Y1433">
        <v>1.5</v>
      </c>
      <c r="Z1433">
        <f t="shared" si="228"/>
        <v>1.5</v>
      </c>
      <c r="AA1433" s="21">
        <f>IF(X1433&gt;$B$8+$B$9,0,ABS(X1433-O1433)/X1433)</f>
        <v>0</v>
      </c>
      <c r="AB1433">
        <f>IF(OR(Z1430&lt;&gt;Z1436,X1433&gt;$B$8+$B$9),0,((X1436-X1430)/(W1436-W1430)-(O1436-O1430)/(W1436-W1430))^2)</f>
        <v>0</v>
      </c>
    </row>
    <row r="1434" spans="7:28" x14ac:dyDescent="0.2">
      <c r="G1434" s="21"/>
      <c r="H1434" s="21">
        <v>1319</v>
      </c>
      <c r="I1434">
        <f t="shared" si="234"/>
        <v>0.1</v>
      </c>
      <c r="J1434">
        <f t="shared" si="235"/>
        <v>0.32536526106514241</v>
      </c>
      <c r="K1434">
        <f t="shared" si="229"/>
        <v>22.5</v>
      </c>
      <c r="L1434">
        <f>0.5*Z1434*K1434/J1434/$B$7</f>
        <v>51.864787115737606</v>
      </c>
      <c r="M1434">
        <f t="shared" si="232"/>
        <v>1.1228068475325188</v>
      </c>
      <c r="N1434" s="21">
        <f t="shared" si="236"/>
        <v>7.5230154033311694E-2</v>
      </c>
      <c r="O1434" s="21">
        <f t="shared" si="237"/>
        <v>27.407454937217224</v>
      </c>
      <c r="P1434">
        <f t="shared" si="233"/>
        <v>1</v>
      </c>
      <c r="Q1434">
        <f t="shared" si="230"/>
        <v>0.32536526106514241</v>
      </c>
      <c r="R1434">
        <f t="shared" si="231"/>
        <v>0.32536526106514241</v>
      </c>
      <c r="T1434" s="21">
        <f>(M1434-M1433)/(H1434-H1433)</f>
        <v>0</v>
      </c>
      <c r="W1434">
        <v>1319</v>
      </c>
      <c r="X1434">
        <v>26.206314000000003</v>
      </c>
      <c r="Y1434">
        <v>1.5</v>
      </c>
      <c r="Z1434">
        <f t="shared" si="228"/>
        <v>1.5</v>
      </c>
      <c r="AA1434" s="21">
        <f>IF(X1434&gt;$B$8+$B$9,0,ABS(X1434-O1434)/X1434)</f>
        <v>0</v>
      </c>
      <c r="AB1434">
        <f>IF(OR(Z1431&lt;&gt;Z1437,X1434&gt;$B$8+$B$9),0,((X1437-X1431)/(W1437-W1431)-(O1437-O1431)/(W1437-W1431))^2)</f>
        <v>0</v>
      </c>
    </row>
    <row r="1435" spans="7:28" x14ac:dyDescent="0.2">
      <c r="G1435" s="21"/>
      <c r="H1435" s="21">
        <v>1320</v>
      </c>
      <c r="I1435">
        <f t="shared" si="234"/>
        <v>0.1</v>
      </c>
      <c r="J1435">
        <f t="shared" si="235"/>
        <v>0.32536526106514241</v>
      </c>
      <c r="K1435">
        <f t="shared" si="229"/>
        <v>22.5</v>
      </c>
      <c r="L1435">
        <f>0.5*Z1435*K1435/J1435/$B$7</f>
        <v>51.864787115737606</v>
      </c>
      <c r="M1435">
        <f t="shared" si="232"/>
        <v>1.1228068475325188</v>
      </c>
      <c r="N1435" s="21">
        <f t="shared" si="236"/>
        <v>7.4911281466434679E-2</v>
      </c>
      <c r="O1435" s="21">
        <f t="shared" si="237"/>
        <v>27.507454937217226</v>
      </c>
      <c r="P1435">
        <f t="shared" si="233"/>
        <v>1</v>
      </c>
      <c r="Q1435">
        <f t="shared" si="230"/>
        <v>0.32536526106514241</v>
      </c>
      <c r="R1435">
        <f t="shared" si="231"/>
        <v>0.32536526106514241</v>
      </c>
      <c r="T1435" s="21">
        <f>(M1435-M1434)/(H1435-H1434)</f>
        <v>0</v>
      </c>
      <c r="W1435">
        <v>1320</v>
      </c>
      <c r="X1435">
        <v>26.243630999999997</v>
      </c>
      <c r="Y1435">
        <v>1.5</v>
      </c>
      <c r="Z1435">
        <f t="shared" si="228"/>
        <v>1.5</v>
      </c>
      <c r="AA1435" s="21">
        <f>IF(X1435&gt;$B$8+$B$9,0,ABS(X1435-O1435)/X1435)</f>
        <v>0</v>
      </c>
      <c r="AB1435">
        <f>IF(OR(Z1432&lt;&gt;Z1438,X1435&gt;$B$8+$B$9),0,((X1438-X1432)/(W1438-W1432)-(O1438-O1432)/(W1438-W1432))^2)</f>
        <v>0</v>
      </c>
    </row>
    <row r="1436" spans="7:28" x14ac:dyDescent="0.2">
      <c r="G1436" s="21"/>
      <c r="H1436" s="21">
        <v>1321</v>
      </c>
      <c r="I1436">
        <f t="shared" si="234"/>
        <v>0.1</v>
      </c>
      <c r="J1436">
        <f t="shared" si="235"/>
        <v>0.32536526106514241</v>
      </c>
      <c r="K1436">
        <f t="shared" si="229"/>
        <v>22.5</v>
      </c>
      <c r="L1436">
        <f>0.5*Z1436*K1436/J1436/$B$7</f>
        <v>51.864787115737606</v>
      </c>
      <c r="M1436">
        <f t="shared" si="232"/>
        <v>1.1228068475325188</v>
      </c>
      <c r="N1436" s="21">
        <f t="shared" si="236"/>
        <v>7.459240889955765E-2</v>
      </c>
      <c r="O1436" s="21">
        <f t="shared" si="237"/>
        <v>27.607454937217227</v>
      </c>
      <c r="P1436">
        <f t="shared" si="233"/>
        <v>1</v>
      </c>
      <c r="Q1436">
        <f t="shared" si="230"/>
        <v>0.32536526106514241</v>
      </c>
      <c r="R1436">
        <f t="shared" si="231"/>
        <v>0.32536526106514241</v>
      </c>
      <c r="T1436" s="21">
        <f>(M1436-M1435)/(H1436-H1435)</f>
        <v>0</v>
      </c>
      <c r="W1436">
        <v>1321</v>
      </c>
      <c r="X1436">
        <v>26.293927</v>
      </c>
      <c r="Y1436">
        <v>1.5</v>
      </c>
      <c r="Z1436">
        <f t="shared" si="228"/>
        <v>1.5</v>
      </c>
      <c r="AA1436" s="21">
        <f>IF(X1436&gt;$B$8+$B$9,0,ABS(X1436-O1436)/X1436)</f>
        <v>0</v>
      </c>
      <c r="AB1436">
        <f>IF(OR(Z1433&lt;&gt;Z1439,X1436&gt;$B$8+$B$9),0,((X1439-X1433)/(W1439-W1433)-(O1439-O1433)/(W1439-W1433))^2)</f>
        <v>0</v>
      </c>
    </row>
    <row r="1437" spans="7:28" x14ac:dyDescent="0.2">
      <c r="G1437" s="21"/>
      <c r="H1437" s="21">
        <v>1322</v>
      </c>
      <c r="I1437">
        <f t="shared" si="234"/>
        <v>0.1</v>
      </c>
      <c r="J1437">
        <f t="shared" si="235"/>
        <v>0.32536526106514241</v>
      </c>
      <c r="K1437">
        <f t="shared" si="229"/>
        <v>22.5</v>
      </c>
      <c r="L1437">
        <f>0.5*Z1437*K1437/J1437/$B$7</f>
        <v>51.864787115737606</v>
      </c>
      <c r="M1437">
        <f t="shared" si="232"/>
        <v>1.1228068475325188</v>
      </c>
      <c r="N1437" s="21">
        <f t="shared" si="236"/>
        <v>7.427353633268062E-2</v>
      </c>
      <c r="O1437" s="21">
        <f t="shared" si="237"/>
        <v>27.707454937217229</v>
      </c>
      <c r="P1437">
        <f t="shared" si="233"/>
        <v>1</v>
      </c>
      <c r="Q1437">
        <f t="shared" si="230"/>
        <v>0.32536526106514241</v>
      </c>
      <c r="R1437">
        <f t="shared" si="231"/>
        <v>0.32536526106514241</v>
      </c>
      <c r="T1437" s="21">
        <f>(M1437-M1436)/(H1437-H1436)</f>
        <v>0</v>
      </c>
      <c r="W1437">
        <v>1322</v>
      </c>
      <c r="X1437">
        <v>26.319886999999998</v>
      </c>
      <c r="Y1437">
        <v>1.5</v>
      </c>
      <c r="Z1437">
        <f t="shared" si="228"/>
        <v>1.5</v>
      </c>
      <c r="AA1437" s="21">
        <f>IF(X1437&gt;$B$8+$B$9,0,ABS(X1437-O1437)/X1437)</f>
        <v>0</v>
      </c>
      <c r="AB1437">
        <f>IF(OR(Z1434&lt;&gt;Z1440,X1437&gt;$B$8+$B$9),0,((X1440-X1434)/(W1440-W1434)-(O1440-O1434)/(W1440-W1434))^2)</f>
        <v>0</v>
      </c>
    </row>
    <row r="1438" spans="7:28" x14ac:dyDescent="0.2">
      <c r="G1438" s="21"/>
      <c r="H1438" s="21">
        <v>1323</v>
      </c>
      <c r="I1438">
        <f t="shared" si="234"/>
        <v>0.1</v>
      </c>
      <c r="J1438">
        <f t="shared" si="235"/>
        <v>0.32536526106514241</v>
      </c>
      <c r="K1438">
        <f t="shared" si="229"/>
        <v>22.5</v>
      </c>
      <c r="L1438">
        <f>0.5*Z1438*K1438/J1438/$B$7</f>
        <v>51.864787115737606</v>
      </c>
      <c r="M1438">
        <f t="shared" si="232"/>
        <v>1.1228068475325188</v>
      </c>
      <c r="N1438" s="21">
        <f t="shared" si="236"/>
        <v>7.3954663765803605E-2</v>
      </c>
      <c r="O1438" s="21">
        <f t="shared" si="237"/>
        <v>27.80745493721723</v>
      </c>
      <c r="P1438">
        <f t="shared" si="233"/>
        <v>1</v>
      </c>
      <c r="Q1438">
        <f t="shared" si="230"/>
        <v>0.32536526106514241</v>
      </c>
      <c r="R1438">
        <f t="shared" si="231"/>
        <v>0.32536526106514241</v>
      </c>
      <c r="T1438" s="21">
        <f>(M1438-M1437)/(H1438-H1437)</f>
        <v>0</v>
      </c>
      <c r="W1438">
        <v>1323</v>
      </c>
      <c r="X1438">
        <v>26.349090999999998</v>
      </c>
      <c r="Y1438">
        <v>1.5</v>
      </c>
      <c r="Z1438">
        <f t="shared" si="228"/>
        <v>1.5</v>
      </c>
      <c r="AA1438" s="21">
        <f>IF(X1438&gt;$B$8+$B$9,0,ABS(X1438-O1438)/X1438)</f>
        <v>0</v>
      </c>
      <c r="AB1438">
        <f>IF(OR(Z1435&lt;&gt;Z1441,X1438&gt;$B$8+$B$9),0,((X1441-X1435)/(W1441-W1435)-(O1441-O1435)/(W1441-W1435))^2)</f>
        <v>0</v>
      </c>
    </row>
    <row r="1439" spans="7:28" x14ac:dyDescent="0.2">
      <c r="G1439" s="21"/>
      <c r="H1439" s="21">
        <v>1324</v>
      </c>
      <c r="I1439">
        <f t="shared" si="234"/>
        <v>0.1</v>
      </c>
      <c r="J1439">
        <f t="shared" si="235"/>
        <v>0.32536526106514241</v>
      </c>
      <c r="K1439">
        <f t="shared" si="229"/>
        <v>22.5</v>
      </c>
      <c r="L1439">
        <f>0.5*Z1439*K1439/J1439/$B$7</f>
        <v>51.864787115737606</v>
      </c>
      <c r="M1439">
        <f t="shared" si="232"/>
        <v>1.1228068475325188</v>
      </c>
      <c r="N1439" s="21">
        <f t="shared" si="236"/>
        <v>7.3635791198926603E-2</v>
      </c>
      <c r="O1439" s="21">
        <f t="shared" si="237"/>
        <v>27.907454937217231</v>
      </c>
      <c r="P1439">
        <f t="shared" si="233"/>
        <v>1</v>
      </c>
      <c r="Q1439">
        <f t="shared" si="230"/>
        <v>0.32536526106514241</v>
      </c>
      <c r="R1439">
        <f t="shared" si="231"/>
        <v>0.32536526106514241</v>
      </c>
      <c r="T1439" s="21">
        <f>(M1439-M1438)/(H1439-H1438)</f>
        <v>0</v>
      </c>
      <c r="W1439">
        <v>1324</v>
      </c>
      <c r="X1439">
        <v>26.386407999999999</v>
      </c>
      <c r="Y1439">
        <v>1.5</v>
      </c>
      <c r="Z1439">
        <f t="shared" si="228"/>
        <v>1.5</v>
      </c>
      <c r="AA1439" s="21">
        <f>IF(X1439&gt;$B$8+$B$9,0,ABS(X1439-O1439)/X1439)</f>
        <v>0</v>
      </c>
      <c r="AB1439">
        <f>IF(OR(Z1436&lt;&gt;Z1442,X1439&gt;$B$8+$B$9),0,((X1442-X1436)/(W1442-W1436)-(O1442-O1436)/(W1442-W1436))^2)</f>
        <v>0</v>
      </c>
    </row>
    <row r="1440" spans="7:28" x14ac:dyDescent="0.2">
      <c r="G1440" s="21"/>
      <c r="H1440" s="21">
        <v>1325</v>
      </c>
      <c r="I1440">
        <f t="shared" si="234"/>
        <v>0.1</v>
      </c>
      <c r="J1440">
        <f t="shared" si="235"/>
        <v>0.32536526106514241</v>
      </c>
      <c r="K1440">
        <f t="shared" si="229"/>
        <v>22.5</v>
      </c>
      <c r="L1440">
        <f>0.5*Z1440*K1440/J1440/$B$7</f>
        <v>51.864787115737606</v>
      </c>
      <c r="M1440">
        <f t="shared" si="232"/>
        <v>1.1228068475325188</v>
      </c>
      <c r="N1440" s="21">
        <f t="shared" si="236"/>
        <v>7.3316918632049574E-2</v>
      </c>
      <c r="O1440" s="21">
        <f t="shared" si="237"/>
        <v>28.007454937217233</v>
      </c>
      <c r="P1440">
        <f t="shared" si="233"/>
        <v>1</v>
      </c>
      <c r="Q1440">
        <f t="shared" si="230"/>
        <v>0.32536526106514241</v>
      </c>
      <c r="R1440">
        <f t="shared" si="231"/>
        <v>0.32536526106514241</v>
      </c>
      <c r="T1440" s="21">
        <f>(M1440-M1439)/(H1440-H1439)</f>
        <v>0</v>
      </c>
      <c r="W1440">
        <v>1325</v>
      </c>
      <c r="X1440">
        <v>26.422101999999999</v>
      </c>
      <c r="Y1440">
        <v>1.5</v>
      </c>
      <c r="Z1440">
        <f t="shared" si="228"/>
        <v>1.5</v>
      </c>
      <c r="AA1440" s="21">
        <f>IF(X1440&gt;$B$8+$B$9,0,ABS(X1440-O1440)/X1440)</f>
        <v>0</v>
      </c>
      <c r="AB1440">
        <f>IF(OR(Z1437&lt;&gt;Z1443,X1440&gt;$B$8+$B$9),0,((X1443-X1437)/(W1443-W1437)-(O1443-O1437)/(W1443-W1437))^2)</f>
        <v>0</v>
      </c>
    </row>
    <row r="1441" spans="7:28" x14ac:dyDescent="0.2">
      <c r="G1441" s="21"/>
      <c r="H1441" s="21">
        <v>1326</v>
      </c>
      <c r="I1441">
        <f t="shared" si="234"/>
        <v>0.1</v>
      </c>
      <c r="J1441">
        <f t="shared" si="235"/>
        <v>0.32536526106514241</v>
      </c>
      <c r="K1441">
        <f t="shared" si="229"/>
        <v>22.5</v>
      </c>
      <c r="L1441">
        <f>0.5*Z1441*K1441/J1441/$B$7</f>
        <v>51.864787115737606</v>
      </c>
      <c r="M1441">
        <f t="shared" si="232"/>
        <v>1.1228068475325188</v>
      </c>
      <c r="N1441" s="21">
        <f t="shared" si="236"/>
        <v>7.2998046065172559E-2</v>
      </c>
      <c r="O1441" s="21">
        <f t="shared" si="237"/>
        <v>28.107454937217234</v>
      </c>
      <c r="P1441">
        <f t="shared" si="233"/>
        <v>1</v>
      </c>
      <c r="Q1441">
        <f t="shared" si="230"/>
        <v>0.32536526106514241</v>
      </c>
      <c r="R1441">
        <f t="shared" si="231"/>
        <v>0.32536526106514241</v>
      </c>
      <c r="T1441" s="21">
        <f>(M1441-M1440)/(H1441-H1440)</f>
        <v>0</v>
      </c>
      <c r="W1441">
        <v>1326</v>
      </c>
      <c r="X1441">
        <v>26.459417999999996</v>
      </c>
      <c r="Y1441">
        <v>1.5</v>
      </c>
      <c r="Z1441">
        <f t="shared" si="228"/>
        <v>1.5</v>
      </c>
      <c r="AA1441" s="21">
        <f>IF(X1441&gt;$B$8+$B$9,0,ABS(X1441-O1441)/X1441)</f>
        <v>0</v>
      </c>
      <c r="AB1441">
        <f>IF(OR(Z1438&lt;&gt;Z1444,X1441&gt;$B$8+$B$9),0,((X1444-X1438)/(W1444-W1438)-(O1444-O1438)/(W1444-W1438))^2)</f>
        <v>0</v>
      </c>
    </row>
    <row r="1442" spans="7:28" x14ac:dyDescent="0.2">
      <c r="G1442" s="21"/>
      <c r="H1442" s="21">
        <v>1327</v>
      </c>
      <c r="I1442">
        <f t="shared" si="234"/>
        <v>0.1</v>
      </c>
      <c r="J1442">
        <f t="shared" si="235"/>
        <v>0.32536526106514241</v>
      </c>
      <c r="K1442">
        <f t="shared" si="229"/>
        <v>22.5</v>
      </c>
      <c r="L1442">
        <f>0.5*Z1442*K1442/J1442/$B$7</f>
        <v>51.864787115737606</v>
      </c>
      <c r="M1442">
        <f t="shared" si="232"/>
        <v>1.1228068475325188</v>
      </c>
      <c r="N1442" s="21">
        <f t="shared" si="236"/>
        <v>7.2679173498295543E-2</v>
      </c>
      <c r="O1442" s="21">
        <f t="shared" si="237"/>
        <v>28.207454937217236</v>
      </c>
      <c r="P1442">
        <f t="shared" si="233"/>
        <v>1</v>
      </c>
      <c r="Q1442">
        <f t="shared" si="230"/>
        <v>0.32536526106514241</v>
      </c>
      <c r="R1442">
        <f t="shared" si="231"/>
        <v>0.32536526106514241</v>
      </c>
      <c r="T1442" s="21">
        <f>(M1442-M1441)/(H1442-H1441)</f>
        <v>0</v>
      </c>
      <c r="W1442">
        <v>1327</v>
      </c>
      <c r="X1442">
        <v>26.496734999999997</v>
      </c>
      <c r="Y1442">
        <v>1.5</v>
      </c>
      <c r="Z1442">
        <f t="shared" si="228"/>
        <v>1.5</v>
      </c>
      <c r="AA1442" s="21">
        <f>IF(X1442&gt;$B$8+$B$9,0,ABS(X1442-O1442)/X1442)</f>
        <v>0</v>
      </c>
      <c r="AB1442">
        <f>IF(OR(Z1439&lt;&gt;Z1445,X1442&gt;$B$8+$B$9),0,((X1445-X1439)/(W1445-W1439)-(O1445-O1439)/(W1445-W1439))^2)</f>
        <v>0</v>
      </c>
    </row>
    <row r="1443" spans="7:28" x14ac:dyDescent="0.2">
      <c r="G1443" s="21"/>
      <c r="H1443" s="21">
        <v>1328</v>
      </c>
      <c r="I1443">
        <f t="shared" si="234"/>
        <v>0.1</v>
      </c>
      <c r="J1443">
        <f t="shared" si="235"/>
        <v>0.32536526106514241</v>
      </c>
      <c r="K1443">
        <f t="shared" si="229"/>
        <v>22.5</v>
      </c>
      <c r="L1443">
        <f>0.5*Z1443*K1443/J1443/$B$7</f>
        <v>51.864787115737606</v>
      </c>
      <c r="M1443">
        <f t="shared" si="232"/>
        <v>1.1228068475325188</v>
      </c>
      <c r="N1443" s="21">
        <f t="shared" si="236"/>
        <v>7.2360300931418514E-2</v>
      </c>
      <c r="O1443" s="21">
        <f t="shared" si="237"/>
        <v>28.307454937217237</v>
      </c>
      <c r="P1443">
        <f t="shared" si="233"/>
        <v>1</v>
      </c>
      <c r="Q1443">
        <f t="shared" si="230"/>
        <v>0.32536526106514241</v>
      </c>
      <c r="R1443">
        <f t="shared" si="231"/>
        <v>0.32536526106514241</v>
      </c>
      <c r="T1443" s="21">
        <f>(M1443-M1442)/(H1443-H1442)</f>
        <v>0</v>
      </c>
      <c r="W1443">
        <v>1328</v>
      </c>
      <c r="X1443">
        <v>26.555144000000002</v>
      </c>
      <c r="Y1443">
        <v>1.5</v>
      </c>
      <c r="Z1443">
        <f t="shared" si="228"/>
        <v>1.5</v>
      </c>
      <c r="AA1443" s="21">
        <f>IF(X1443&gt;$B$8+$B$9,0,ABS(X1443-O1443)/X1443)</f>
        <v>0</v>
      </c>
      <c r="AB1443">
        <f>IF(OR(Z1440&lt;&gt;Z1446,X1443&gt;$B$8+$B$9),0,((X1446-X1440)/(W1446-W1440)-(O1446-O1440)/(W1446-W1440))^2)</f>
        <v>0</v>
      </c>
    </row>
    <row r="1444" spans="7:28" x14ac:dyDescent="0.2">
      <c r="G1444" s="21"/>
      <c r="H1444" s="21">
        <v>1329</v>
      </c>
      <c r="I1444">
        <f t="shared" si="234"/>
        <v>0.1</v>
      </c>
      <c r="J1444">
        <f t="shared" si="235"/>
        <v>0.32536526106514241</v>
      </c>
      <c r="K1444">
        <f t="shared" si="229"/>
        <v>22.5</v>
      </c>
      <c r="L1444">
        <f>0.5*Z1444*K1444/J1444/$B$7</f>
        <v>51.864787115737606</v>
      </c>
      <c r="M1444">
        <f t="shared" si="232"/>
        <v>1.1228068475325188</v>
      </c>
      <c r="N1444" s="21">
        <f t="shared" si="236"/>
        <v>7.2041428364541499E-2</v>
      </c>
      <c r="O1444" s="21">
        <f t="shared" si="237"/>
        <v>28.407454937217238</v>
      </c>
      <c r="P1444">
        <f t="shared" si="233"/>
        <v>1</v>
      </c>
      <c r="Q1444">
        <f t="shared" si="230"/>
        <v>0.32536526106514241</v>
      </c>
      <c r="R1444">
        <f t="shared" si="231"/>
        <v>0.32536526106514241</v>
      </c>
      <c r="T1444" s="21">
        <f>(M1444-M1443)/(H1444-H1443)</f>
        <v>0</v>
      </c>
      <c r="W1444">
        <v>1329</v>
      </c>
      <c r="X1444">
        <v>26.572990999999998</v>
      </c>
      <c r="Y1444">
        <v>1.5</v>
      </c>
      <c r="Z1444">
        <f t="shared" si="228"/>
        <v>1.5</v>
      </c>
      <c r="AA1444" s="21">
        <f>IF(X1444&gt;$B$8+$B$9,0,ABS(X1444-O1444)/X1444)</f>
        <v>0</v>
      </c>
      <c r="AB1444">
        <f>IF(OR(Z1441&lt;&gt;Z1447,X1444&gt;$B$8+$B$9),0,((X1447-X1441)/(W1447-W1441)-(O1447-O1441)/(W1447-W1441))^2)</f>
        <v>0</v>
      </c>
    </row>
    <row r="1445" spans="7:28" x14ac:dyDescent="0.2">
      <c r="G1445" s="21"/>
      <c r="H1445" s="21">
        <v>1330</v>
      </c>
      <c r="I1445">
        <f t="shared" si="234"/>
        <v>0.1</v>
      </c>
      <c r="J1445">
        <f t="shared" si="235"/>
        <v>0.32536526106514241</v>
      </c>
      <c r="K1445">
        <f t="shared" si="229"/>
        <v>22.5</v>
      </c>
      <c r="L1445">
        <f>0.5*Z1445*K1445/J1445/$B$7</f>
        <v>51.864787115737606</v>
      </c>
      <c r="M1445">
        <f t="shared" si="232"/>
        <v>1.1228068475325188</v>
      </c>
      <c r="N1445" s="21">
        <f t="shared" si="236"/>
        <v>7.1722555797664483E-2</v>
      </c>
      <c r="O1445" s="21">
        <f t="shared" si="237"/>
        <v>28.50745493721724</v>
      </c>
      <c r="P1445">
        <f t="shared" si="233"/>
        <v>1</v>
      </c>
      <c r="Q1445">
        <f t="shared" si="230"/>
        <v>0.32536526106514241</v>
      </c>
      <c r="R1445">
        <f t="shared" si="231"/>
        <v>0.32536526106514241</v>
      </c>
      <c r="T1445" s="21">
        <f>(M1445-M1444)/(H1445-H1444)</f>
        <v>0</v>
      </c>
      <c r="W1445">
        <v>1330</v>
      </c>
      <c r="X1445">
        <v>26.595704999999999</v>
      </c>
      <c r="Y1445">
        <v>1.5</v>
      </c>
      <c r="Z1445">
        <f t="shared" si="228"/>
        <v>1.5</v>
      </c>
      <c r="AA1445" s="21">
        <f>IF(X1445&gt;$B$8+$B$9,0,ABS(X1445-O1445)/X1445)</f>
        <v>0</v>
      </c>
      <c r="AB1445">
        <f>IF(OR(Z1442&lt;&gt;Z1448,X1445&gt;$B$8+$B$9),0,((X1448-X1442)/(W1448-W1442)-(O1448-O1442)/(W1448-W1442))^2)</f>
        <v>0</v>
      </c>
    </row>
    <row r="1446" spans="7:28" x14ac:dyDescent="0.2">
      <c r="G1446" s="21"/>
      <c r="H1446" s="21">
        <v>1331</v>
      </c>
      <c r="I1446">
        <f t="shared" si="234"/>
        <v>0.1</v>
      </c>
      <c r="J1446">
        <f t="shared" si="235"/>
        <v>0.32536526106514241</v>
      </c>
      <c r="K1446">
        <f t="shared" si="229"/>
        <v>22.5</v>
      </c>
      <c r="L1446">
        <f>0.5*Z1446*K1446/J1446/$B$7</f>
        <v>51.864787115737606</v>
      </c>
      <c r="M1446">
        <f t="shared" si="232"/>
        <v>1.1228068475325188</v>
      </c>
      <c r="N1446" s="21">
        <f t="shared" si="236"/>
        <v>7.1403683230787468E-2</v>
      </c>
      <c r="O1446" s="21">
        <f t="shared" si="237"/>
        <v>28.607454937217241</v>
      </c>
      <c r="P1446">
        <f t="shared" si="233"/>
        <v>1</v>
      </c>
      <c r="Q1446">
        <f t="shared" si="230"/>
        <v>0.32536526106514241</v>
      </c>
      <c r="R1446">
        <f t="shared" si="231"/>
        <v>0.32536526106514241</v>
      </c>
      <c r="T1446" s="21">
        <f>(M1446-M1445)/(H1446-H1445)</f>
        <v>0</v>
      </c>
      <c r="W1446">
        <v>1331</v>
      </c>
      <c r="X1446">
        <v>26.603818</v>
      </c>
      <c r="Y1446">
        <v>1.5</v>
      </c>
      <c r="Z1446">
        <f t="shared" si="228"/>
        <v>1.5</v>
      </c>
      <c r="AA1446" s="21">
        <f>IF(X1446&gt;$B$8+$B$9,0,ABS(X1446-O1446)/X1446)</f>
        <v>0</v>
      </c>
      <c r="AB1446">
        <f>IF(OR(Z1443&lt;&gt;Z1449,X1446&gt;$B$8+$B$9),0,((X1449-X1443)/(W1449-W1443)-(O1449-O1443)/(W1449-W1443))^2)</f>
        <v>0</v>
      </c>
    </row>
    <row r="1447" spans="7:28" x14ac:dyDescent="0.2">
      <c r="G1447" s="21"/>
      <c r="H1447" s="21">
        <v>1332</v>
      </c>
      <c r="I1447">
        <f t="shared" si="234"/>
        <v>0.1</v>
      </c>
      <c r="J1447">
        <f t="shared" si="235"/>
        <v>0.32536526106514241</v>
      </c>
      <c r="K1447">
        <f t="shared" si="229"/>
        <v>22.5</v>
      </c>
      <c r="L1447">
        <f>0.5*Z1447*K1447/J1447/$B$7</f>
        <v>51.864787115737606</v>
      </c>
      <c r="M1447">
        <f t="shared" si="232"/>
        <v>1.1228068475325188</v>
      </c>
      <c r="N1447" s="21">
        <f t="shared" si="236"/>
        <v>7.1084810663910453E-2</v>
      </c>
      <c r="O1447" s="21">
        <f t="shared" si="237"/>
        <v>28.707454937217243</v>
      </c>
      <c r="P1447">
        <f t="shared" si="233"/>
        <v>1</v>
      </c>
      <c r="Q1447">
        <f t="shared" si="230"/>
        <v>0.32536526106514241</v>
      </c>
      <c r="R1447">
        <f t="shared" si="231"/>
        <v>0.32536526106514241</v>
      </c>
      <c r="T1447" s="21">
        <f>(M1447-M1446)/(H1447-H1446)</f>
        <v>0</v>
      </c>
      <c r="W1447">
        <v>1332</v>
      </c>
      <c r="X1447">
        <v>26.629777000000001</v>
      </c>
      <c r="Y1447">
        <v>1.5</v>
      </c>
      <c r="Z1447">
        <f t="shared" si="228"/>
        <v>1.5</v>
      </c>
      <c r="AA1447" s="21">
        <f>IF(X1447&gt;$B$8+$B$9,0,ABS(X1447-O1447)/X1447)</f>
        <v>0</v>
      </c>
      <c r="AB1447">
        <f>IF(OR(Z1444&lt;&gt;Z1450,X1447&gt;$B$8+$B$9),0,((X1450-X1444)/(W1450-W1444)-(O1450-O1444)/(W1450-W1444))^2)</f>
        <v>0</v>
      </c>
    </row>
    <row r="1448" spans="7:28" x14ac:dyDescent="0.2">
      <c r="G1448" s="21"/>
      <c r="H1448" s="21">
        <v>1333</v>
      </c>
      <c r="I1448">
        <f t="shared" si="234"/>
        <v>0.1</v>
      </c>
      <c r="J1448">
        <f t="shared" si="235"/>
        <v>0.32536526106514241</v>
      </c>
      <c r="K1448">
        <f t="shared" si="229"/>
        <v>22.5</v>
      </c>
      <c r="L1448">
        <f>0.5*Z1448*K1448/J1448/$B$7</f>
        <v>51.864787115737606</v>
      </c>
      <c r="M1448">
        <f t="shared" si="232"/>
        <v>1.1228068475325188</v>
      </c>
      <c r="N1448" s="21">
        <f t="shared" si="236"/>
        <v>7.0765938097033423E-2</v>
      </c>
      <c r="O1448" s="21">
        <f t="shared" si="237"/>
        <v>28.807454937217244</v>
      </c>
      <c r="P1448">
        <f t="shared" si="233"/>
        <v>1</v>
      </c>
      <c r="Q1448">
        <f t="shared" si="230"/>
        <v>0.32536526106514241</v>
      </c>
      <c r="R1448">
        <f t="shared" si="231"/>
        <v>0.32536526106514241</v>
      </c>
      <c r="T1448" s="21">
        <f>(M1448-M1447)/(H1448-H1447)</f>
        <v>0</v>
      </c>
      <c r="W1448">
        <v>1333</v>
      </c>
      <c r="X1448">
        <v>26.633022</v>
      </c>
      <c r="Y1448">
        <v>1.5</v>
      </c>
      <c r="Z1448">
        <f t="shared" si="228"/>
        <v>1.5</v>
      </c>
      <c r="AA1448" s="21">
        <f>IF(X1448&gt;$B$8+$B$9,0,ABS(X1448-O1448)/X1448)</f>
        <v>0</v>
      </c>
      <c r="AB1448">
        <f>IF(OR(Z1445&lt;&gt;Z1451,X1448&gt;$B$8+$B$9),0,((X1451-X1445)/(W1451-W1445)-(O1451-O1445)/(W1451-W1445))^2)</f>
        <v>0</v>
      </c>
    </row>
    <row r="1449" spans="7:28" x14ac:dyDescent="0.2">
      <c r="G1449" s="21"/>
      <c r="H1449" s="21">
        <v>1334</v>
      </c>
      <c r="I1449">
        <f t="shared" si="234"/>
        <v>0.1</v>
      </c>
      <c r="J1449">
        <f t="shared" si="235"/>
        <v>0.32536526106514241</v>
      </c>
      <c r="K1449">
        <f t="shared" si="229"/>
        <v>22.5</v>
      </c>
      <c r="L1449">
        <f>0.5*Z1449*K1449/J1449/$B$7</f>
        <v>51.864787115737606</v>
      </c>
      <c r="M1449">
        <f t="shared" si="232"/>
        <v>1.1228068475325188</v>
      </c>
      <c r="N1449" s="21">
        <f t="shared" si="236"/>
        <v>7.0447065530156408E-2</v>
      </c>
      <c r="O1449" s="21">
        <f t="shared" si="237"/>
        <v>28.907454937217246</v>
      </c>
      <c r="P1449">
        <f t="shared" si="233"/>
        <v>1</v>
      </c>
      <c r="Q1449">
        <f t="shared" si="230"/>
        <v>0.32536526106514241</v>
      </c>
      <c r="R1449">
        <f t="shared" si="231"/>
        <v>0.32536526106514241</v>
      </c>
      <c r="T1449" s="21">
        <f>(M1449-M1448)/(H1449-H1448)</f>
        <v>0</v>
      </c>
      <c r="W1449">
        <v>1334</v>
      </c>
      <c r="X1449">
        <v>26.646001999999999</v>
      </c>
      <c r="Y1449">
        <v>1.5</v>
      </c>
      <c r="Z1449">
        <f t="shared" si="228"/>
        <v>1.5</v>
      </c>
      <c r="AA1449" s="21">
        <f>IF(X1449&gt;$B$8+$B$9,0,ABS(X1449-O1449)/X1449)</f>
        <v>0</v>
      </c>
      <c r="AB1449">
        <f>IF(OR(Z1446&lt;&gt;Z1452,X1449&gt;$B$8+$B$9),0,((X1452-X1446)/(W1452-W1446)-(O1452-O1446)/(W1452-W1446))^2)</f>
        <v>0</v>
      </c>
    </row>
    <row r="1450" spans="7:28" x14ac:dyDescent="0.2">
      <c r="G1450" s="21"/>
      <c r="H1450" s="21">
        <v>1335</v>
      </c>
      <c r="I1450">
        <f t="shared" si="234"/>
        <v>0.1</v>
      </c>
      <c r="J1450">
        <f t="shared" si="235"/>
        <v>0.32536526106514241</v>
      </c>
      <c r="K1450">
        <f t="shared" si="229"/>
        <v>22.5</v>
      </c>
      <c r="L1450">
        <f>0.5*Z1450*K1450/J1450/$B$7</f>
        <v>51.864787115737606</v>
      </c>
      <c r="M1450">
        <f t="shared" si="232"/>
        <v>1.1228068475325188</v>
      </c>
      <c r="N1450" s="21">
        <f t="shared" si="236"/>
        <v>7.0128192963279393E-2</v>
      </c>
      <c r="O1450" s="21">
        <f t="shared" si="237"/>
        <v>29.007454937217247</v>
      </c>
      <c r="P1450">
        <f t="shared" si="233"/>
        <v>1</v>
      </c>
      <c r="Q1450">
        <f t="shared" si="230"/>
        <v>0.32536526106514241</v>
      </c>
      <c r="R1450">
        <f t="shared" si="231"/>
        <v>0.32536526106514241</v>
      </c>
      <c r="T1450" s="21">
        <f>(M1450-M1449)/(H1450-H1449)</f>
        <v>0</v>
      </c>
      <c r="W1450">
        <v>1335</v>
      </c>
      <c r="X1450">
        <v>26.673582999999997</v>
      </c>
      <c r="Y1450">
        <v>1.5</v>
      </c>
      <c r="Z1450">
        <f t="shared" si="228"/>
        <v>1.5</v>
      </c>
      <c r="AA1450" s="21">
        <f>IF(X1450&gt;$B$8+$B$9,0,ABS(X1450-O1450)/X1450)</f>
        <v>0</v>
      </c>
      <c r="AB1450">
        <f>IF(OR(Z1447&lt;&gt;Z1453,X1450&gt;$B$8+$B$9),0,((X1453-X1447)/(W1453-W1447)-(O1453-O1447)/(W1453-W1447))^2)</f>
        <v>0</v>
      </c>
    </row>
    <row r="1451" spans="7:28" x14ac:dyDescent="0.2">
      <c r="G1451" s="21"/>
      <c r="H1451" s="21">
        <v>1336</v>
      </c>
      <c r="I1451">
        <f t="shared" si="234"/>
        <v>0.1</v>
      </c>
      <c r="J1451">
        <f t="shared" si="235"/>
        <v>0.32536526106514241</v>
      </c>
      <c r="K1451">
        <f t="shared" si="229"/>
        <v>22.5</v>
      </c>
      <c r="L1451">
        <f>0.5*Z1451*K1451/J1451/$B$7</f>
        <v>51.864787115737606</v>
      </c>
      <c r="M1451">
        <f t="shared" si="232"/>
        <v>1.1228068475325188</v>
      </c>
      <c r="N1451" s="21">
        <f t="shared" si="236"/>
        <v>6.9809320396402377E-2</v>
      </c>
      <c r="O1451" s="21">
        <f t="shared" si="237"/>
        <v>29.107454937217248</v>
      </c>
      <c r="P1451">
        <f t="shared" si="233"/>
        <v>1</v>
      </c>
      <c r="Q1451">
        <f t="shared" si="230"/>
        <v>0.32536526106514241</v>
      </c>
      <c r="R1451">
        <f t="shared" si="231"/>
        <v>0.32536526106514241</v>
      </c>
      <c r="T1451" s="21">
        <f>(M1451-M1450)/(H1451-H1450)</f>
        <v>0</v>
      </c>
      <c r="W1451">
        <v>1336</v>
      </c>
      <c r="X1451">
        <v>26.710899999999999</v>
      </c>
      <c r="Y1451">
        <v>1.5</v>
      </c>
      <c r="Z1451">
        <f t="shared" si="228"/>
        <v>1.5</v>
      </c>
      <c r="AA1451" s="21">
        <f>IF(X1451&gt;$B$8+$B$9,0,ABS(X1451-O1451)/X1451)</f>
        <v>0</v>
      </c>
      <c r="AB1451">
        <f>IF(OR(Z1448&lt;&gt;Z1454,X1451&gt;$B$8+$B$9),0,((X1454-X1448)/(W1454-W1448)-(O1454-O1448)/(W1454-W1448))^2)</f>
        <v>0</v>
      </c>
    </row>
    <row r="1452" spans="7:28" x14ac:dyDescent="0.2">
      <c r="G1452" s="21"/>
      <c r="H1452" s="21">
        <v>1337</v>
      </c>
      <c r="I1452">
        <f t="shared" si="234"/>
        <v>0.1</v>
      </c>
      <c r="J1452">
        <f t="shared" si="235"/>
        <v>0.32536526106514241</v>
      </c>
      <c r="K1452">
        <f t="shared" si="229"/>
        <v>22.5</v>
      </c>
      <c r="L1452">
        <f>0.5*Z1452*K1452/J1452/$B$7</f>
        <v>51.864787115737606</v>
      </c>
      <c r="M1452">
        <f t="shared" si="232"/>
        <v>1.1228068475325188</v>
      </c>
      <c r="N1452" s="21">
        <f t="shared" si="236"/>
        <v>6.9490447829525348E-2</v>
      </c>
      <c r="O1452" s="21">
        <f t="shared" si="237"/>
        <v>29.20745493721725</v>
      </c>
      <c r="P1452">
        <f t="shared" si="233"/>
        <v>1</v>
      </c>
      <c r="Q1452">
        <f t="shared" si="230"/>
        <v>0.32536526106514241</v>
      </c>
      <c r="R1452">
        <f t="shared" si="231"/>
        <v>0.32536526106514241</v>
      </c>
      <c r="T1452" s="21">
        <f>(M1452-M1451)/(H1452-H1451)</f>
        <v>0</v>
      </c>
      <c r="W1452">
        <v>1337</v>
      </c>
      <c r="X1452">
        <v>26.757951000000002</v>
      </c>
      <c r="Y1452">
        <v>1.5</v>
      </c>
      <c r="Z1452">
        <f t="shared" si="228"/>
        <v>1.5</v>
      </c>
      <c r="AA1452" s="21">
        <f>IF(X1452&gt;$B$8+$B$9,0,ABS(X1452-O1452)/X1452)</f>
        <v>0</v>
      </c>
      <c r="AB1452">
        <f>IF(OR(Z1449&lt;&gt;Z1455,X1452&gt;$B$8+$B$9),0,((X1455-X1449)/(W1455-W1449)-(O1455-O1449)/(W1455-W1449))^2)</f>
        <v>0</v>
      </c>
    </row>
    <row r="1453" spans="7:28" x14ac:dyDescent="0.2">
      <c r="G1453" s="21"/>
      <c r="H1453" s="21">
        <v>1338</v>
      </c>
      <c r="I1453">
        <f t="shared" si="234"/>
        <v>0.1</v>
      </c>
      <c r="J1453">
        <f t="shared" si="235"/>
        <v>0.32536526106514241</v>
      </c>
      <c r="K1453">
        <f t="shared" si="229"/>
        <v>22.5</v>
      </c>
      <c r="L1453">
        <f>0.5*Z1453*K1453/J1453/$B$7</f>
        <v>51.864787115737606</v>
      </c>
      <c r="M1453">
        <f t="shared" si="232"/>
        <v>1.1228068475325188</v>
      </c>
      <c r="N1453" s="21">
        <f t="shared" si="236"/>
        <v>6.9171575262648333E-2</v>
      </c>
      <c r="O1453" s="21">
        <f t="shared" si="237"/>
        <v>29.307454937217251</v>
      </c>
      <c r="P1453">
        <f t="shared" si="233"/>
        <v>1</v>
      </c>
      <c r="Q1453">
        <f t="shared" si="230"/>
        <v>0.32536526106514241</v>
      </c>
      <c r="R1453">
        <f t="shared" si="231"/>
        <v>0.32536526106514241</v>
      </c>
      <c r="T1453" s="21">
        <f>(M1453-M1452)/(H1453-H1452)</f>
        <v>0</v>
      </c>
      <c r="W1453">
        <v>1338</v>
      </c>
      <c r="X1453">
        <v>26.796890999999999</v>
      </c>
      <c r="Y1453">
        <v>1.5</v>
      </c>
      <c r="Z1453">
        <f t="shared" si="228"/>
        <v>1.5</v>
      </c>
      <c r="AA1453" s="21">
        <f>IF(X1453&gt;$B$8+$B$9,0,ABS(X1453-O1453)/X1453)</f>
        <v>0</v>
      </c>
      <c r="AB1453">
        <f>IF(OR(Z1450&lt;&gt;Z1456,X1453&gt;$B$8+$B$9),0,((X1456-X1450)/(W1456-W1450)-(O1456-O1450)/(W1456-W1450))^2)</f>
        <v>0</v>
      </c>
    </row>
    <row r="1454" spans="7:28" x14ac:dyDescent="0.2">
      <c r="G1454" s="21"/>
      <c r="H1454" s="21">
        <v>1339</v>
      </c>
      <c r="I1454">
        <f t="shared" si="234"/>
        <v>0.1</v>
      </c>
      <c r="J1454">
        <f t="shared" si="235"/>
        <v>0.32536526106514241</v>
      </c>
      <c r="K1454">
        <f t="shared" si="229"/>
        <v>22.5</v>
      </c>
      <c r="L1454">
        <f>0.5*Z1454*K1454/J1454/$B$7</f>
        <v>51.864787115737606</v>
      </c>
      <c r="M1454">
        <f t="shared" si="232"/>
        <v>1.1228068475325188</v>
      </c>
      <c r="N1454" s="21">
        <f t="shared" si="236"/>
        <v>6.8852702695771317E-2</v>
      </c>
      <c r="O1454" s="21">
        <f t="shared" si="237"/>
        <v>29.407454937217253</v>
      </c>
      <c r="P1454">
        <f t="shared" si="233"/>
        <v>1</v>
      </c>
      <c r="Q1454">
        <f t="shared" si="230"/>
        <v>0.32536526106514241</v>
      </c>
      <c r="R1454">
        <f t="shared" si="231"/>
        <v>0.32536526106514241</v>
      </c>
      <c r="T1454" s="21">
        <f>(M1454-M1453)/(H1454-H1453)</f>
        <v>0</v>
      </c>
      <c r="W1454">
        <v>1339</v>
      </c>
      <c r="X1454">
        <v>26.847187000000002</v>
      </c>
      <c r="Y1454">
        <v>1.5</v>
      </c>
      <c r="Z1454">
        <f t="shared" si="228"/>
        <v>1.5</v>
      </c>
      <c r="AA1454" s="21">
        <f>IF(X1454&gt;$B$8+$B$9,0,ABS(X1454-O1454)/X1454)</f>
        <v>0</v>
      </c>
      <c r="AB1454">
        <f>IF(OR(Z1451&lt;&gt;Z1457,X1454&gt;$B$8+$B$9),0,((X1457-X1451)/(W1457-W1451)-(O1457-O1451)/(W1457-W1451))^2)</f>
        <v>0</v>
      </c>
    </row>
    <row r="1455" spans="7:28" x14ac:dyDescent="0.2">
      <c r="G1455" s="21"/>
      <c r="H1455" s="21">
        <v>1340</v>
      </c>
      <c r="I1455">
        <f t="shared" si="234"/>
        <v>0.1</v>
      </c>
      <c r="J1455">
        <f t="shared" si="235"/>
        <v>0.32536526106514241</v>
      </c>
      <c r="K1455">
        <f t="shared" si="229"/>
        <v>22.5</v>
      </c>
      <c r="L1455">
        <f>0.5*Z1455*K1455/J1455/$B$7</f>
        <v>51.864787115737606</v>
      </c>
      <c r="M1455">
        <f t="shared" si="232"/>
        <v>1.1228068475325188</v>
      </c>
      <c r="N1455" s="21">
        <f t="shared" si="236"/>
        <v>6.8533830128894302E-2</v>
      </c>
      <c r="O1455" s="21">
        <f t="shared" si="237"/>
        <v>29.507454937217254</v>
      </c>
      <c r="P1455">
        <f t="shared" si="233"/>
        <v>1</v>
      </c>
      <c r="Q1455">
        <f t="shared" si="230"/>
        <v>0.32536526106514241</v>
      </c>
      <c r="R1455">
        <f t="shared" si="231"/>
        <v>0.32536526106514241</v>
      </c>
      <c r="T1455" s="21">
        <f>(M1455-M1454)/(H1455-H1454)</f>
        <v>0</v>
      </c>
      <c r="W1455">
        <v>1340</v>
      </c>
      <c r="X1455">
        <v>26.895861</v>
      </c>
      <c r="Y1455">
        <v>1.5</v>
      </c>
      <c r="Z1455">
        <f t="shared" si="228"/>
        <v>1.5</v>
      </c>
      <c r="AA1455" s="21">
        <f>IF(X1455&gt;$B$8+$B$9,0,ABS(X1455-O1455)/X1455)</f>
        <v>0</v>
      </c>
      <c r="AB1455">
        <f>IF(OR(Z1452&lt;&gt;Z1458,X1455&gt;$B$8+$B$9),0,((X1458-X1452)/(W1458-W1452)-(O1458-O1452)/(W1458-W1452))^2)</f>
        <v>0</v>
      </c>
    </row>
    <row r="1456" spans="7:28" x14ac:dyDescent="0.2">
      <c r="G1456" s="21"/>
      <c r="H1456" s="21">
        <v>1341</v>
      </c>
      <c r="I1456">
        <f t="shared" si="234"/>
        <v>0.1</v>
      </c>
      <c r="J1456">
        <f t="shared" si="235"/>
        <v>0.32536526106514241</v>
      </c>
      <c r="K1456">
        <f t="shared" si="229"/>
        <v>22.5</v>
      </c>
      <c r="L1456">
        <f>0.5*Z1456*K1456/J1456/$B$7</f>
        <v>51.864787115737606</v>
      </c>
      <c r="M1456">
        <f t="shared" si="232"/>
        <v>1.1228068475325188</v>
      </c>
      <c r="N1456" s="21">
        <f t="shared" si="236"/>
        <v>6.8214957562017273E-2</v>
      </c>
      <c r="O1456" s="21">
        <f t="shared" si="237"/>
        <v>29.607454937217256</v>
      </c>
      <c r="P1456">
        <f t="shared" si="233"/>
        <v>1</v>
      </c>
      <c r="Q1456">
        <f t="shared" si="230"/>
        <v>0.32536526106514241</v>
      </c>
      <c r="R1456">
        <f t="shared" si="231"/>
        <v>0.32536526106514241</v>
      </c>
      <c r="T1456" s="21">
        <f>(M1456-M1455)/(H1456-H1455)</f>
        <v>0</v>
      </c>
      <c r="W1456">
        <v>1341</v>
      </c>
      <c r="X1456">
        <v>26.929931999999997</v>
      </c>
      <c r="Y1456">
        <v>1.5</v>
      </c>
      <c r="Z1456">
        <f t="shared" si="228"/>
        <v>1.5</v>
      </c>
      <c r="AA1456" s="21">
        <f>IF(X1456&gt;$B$8+$B$9,0,ABS(X1456-O1456)/X1456)</f>
        <v>0</v>
      </c>
      <c r="AB1456">
        <f>IF(OR(Z1453&lt;&gt;Z1459,X1456&gt;$B$8+$B$9),0,((X1459-X1453)/(W1459-W1453)-(O1459-O1453)/(W1459-W1453))^2)</f>
        <v>0</v>
      </c>
    </row>
    <row r="1457" spans="7:28" x14ac:dyDescent="0.2">
      <c r="G1457" s="21"/>
      <c r="H1457" s="21">
        <v>1342</v>
      </c>
      <c r="I1457">
        <f t="shared" si="234"/>
        <v>0.1</v>
      </c>
      <c r="J1457">
        <f t="shared" si="235"/>
        <v>0.32536526106514241</v>
      </c>
      <c r="K1457">
        <f t="shared" si="229"/>
        <v>22.5</v>
      </c>
      <c r="L1457">
        <f>0.5*Z1457*K1457/J1457/$B$7</f>
        <v>51.864787115737606</v>
      </c>
      <c r="M1457">
        <f t="shared" si="232"/>
        <v>1.1228068475325188</v>
      </c>
      <c r="N1457" s="21">
        <f t="shared" si="236"/>
        <v>6.7896084995140257E-2</v>
      </c>
      <c r="O1457" s="21">
        <f t="shared" si="237"/>
        <v>29.707454937217257</v>
      </c>
      <c r="P1457">
        <f t="shared" si="233"/>
        <v>1</v>
      </c>
      <c r="Q1457">
        <f t="shared" si="230"/>
        <v>0.32536526106514241</v>
      </c>
      <c r="R1457">
        <f t="shared" si="231"/>
        <v>0.32536526106514241</v>
      </c>
      <c r="T1457" s="21">
        <f>(M1457-M1456)/(H1457-H1456)</f>
        <v>0</v>
      </c>
      <c r="W1457">
        <v>1342</v>
      </c>
      <c r="X1457">
        <v>26.981851000000002</v>
      </c>
      <c r="Y1457">
        <v>1.5</v>
      </c>
      <c r="Z1457">
        <f t="shared" si="228"/>
        <v>1.5</v>
      </c>
      <c r="AA1457" s="21">
        <f>IF(X1457&gt;$B$8+$B$9,0,ABS(X1457-O1457)/X1457)</f>
        <v>0</v>
      </c>
      <c r="AB1457">
        <f>IF(OR(Z1454&lt;&gt;Z1460,X1457&gt;$B$8+$B$9),0,((X1460-X1454)/(W1460-W1454)-(O1460-O1454)/(W1460-W1454))^2)</f>
        <v>0</v>
      </c>
    </row>
    <row r="1458" spans="7:28" x14ac:dyDescent="0.2">
      <c r="G1458" s="21"/>
      <c r="H1458" s="21">
        <v>1343</v>
      </c>
      <c r="I1458">
        <f t="shared" si="234"/>
        <v>0.1</v>
      </c>
      <c r="J1458">
        <f t="shared" si="235"/>
        <v>0.32536526106514241</v>
      </c>
      <c r="K1458">
        <f t="shared" si="229"/>
        <v>22.5</v>
      </c>
      <c r="L1458">
        <f>0.5*Z1458*K1458/J1458/$B$7</f>
        <v>51.864787115737606</v>
      </c>
      <c r="M1458">
        <f t="shared" si="232"/>
        <v>1.1228068475325188</v>
      </c>
      <c r="N1458" s="21">
        <f t="shared" si="236"/>
        <v>6.7577212428263242E-2</v>
      </c>
      <c r="O1458" s="21">
        <f t="shared" si="237"/>
        <v>29.807454937217258</v>
      </c>
      <c r="P1458">
        <f t="shared" si="233"/>
        <v>1</v>
      </c>
      <c r="Q1458">
        <f t="shared" si="230"/>
        <v>0.32536526106514241</v>
      </c>
      <c r="R1458">
        <f t="shared" si="231"/>
        <v>0.32536526106514241</v>
      </c>
      <c r="T1458" s="21">
        <f>(M1458-M1457)/(H1458-H1457)</f>
        <v>0</v>
      </c>
      <c r="W1458">
        <v>1343</v>
      </c>
      <c r="X1458">
        <v>27.033770000000001</v>
      </c>
      <c r="Y1458">
        <v>1.5</v>
      </c>
      <c r="Z1458">
        <f t="shared" si="228"/>
        <v>1.5</v>
      </c>
      <c r="AA1458" s="21">
        <f>IF(X1458&gt;$B$8+$B$9,0,ABS(X1458-O1458)/X1458)</f>
        <v>0</v>
      </c>
      <c r="AB1458">
        <f>IF(OR(Z1455&lt;&gt;Z1461,X1458&gt;$B$8+$B$9),0,((X1461-X1455)/(W1461-W1455)-(O1461-O1455)/(W1461-W1455))^2)</f>
        <v>0</v>
      </c>
    </row>
    <row r="1459" spans="7:28" x14ac:dyDescent="0.2">
      <c r="G1459" s="21"/>
      <c r="H1459" s="21">
        <v>1344</v>
      </c>
      <c r="I1459">
        <f t="shared" si="234"/>
        <v>0.1</v>
      </c>
      <c r="J1459">
        <f t="shared" si="235"/>
        <v>0.32536526106514241</v>
      </c>
      <c r="K1459">
        <f t="shared" si="229"/>
        <v>22.5</v>
      </c>
      <c r="L1459">
        <f>0.5*Z1459*K1459/J1459/$B$7</f>
        <v>51.864787115737606</v>
      </c>
      <c r="M1459">
        <f t="shared" si="232"/>
        <v>1.1228068475325188</v>
      </c>
      <c r="N1459" s="21">
        <f t="shared" si="236"/>
        <v>6.7258339861386213E-2</v>
      </c>
      <c r="O1459" s="21">
        <f t="shared" si="237"/>
        <v>29.90745493721726</v>
      </c>
      <c r="P1459">
        <f t="shared" si="233"/>
        <v>1</v>
      </c>
      <c r="Q1459">
        <f t="shared" si="230"/>
        <v>0.32536526106514241</v>
      </c>
      <c r="R1459">
        <f t="shared" si="231"/>
        <v>0.32536526106514241</v>
      </c>
      <c r="T1459" s="21">
        <f>(M1459-M1458)/(H1459-H1458)</f>
        <v>0</v>
      </c>
      <c r="W1459">
        <v>1344</v>
      </c>
      <c r="X1459">
        <v>27.087310999999996</v>
      </c>
      <c r="Y1459">
        <v>1.5</v>
      </c>
      <c r="Z1459">
        <f t="shared" si="228"/>
        <v>1.5</v>
      </c>
      <c r="AA1459" s="21">
        <f>IF(X1459&gt;$B$8+$B$9,0,ABS(X1459-O1459)/X1459)</f>
        <v>0</v>
      </c>
      <c r="AB1459">
        <f>IF(OR(Z1456&lt;&gt;Z1462,X1459&gt;$B$8+$B$9),0,((X1462-X1456)/(W1462-W1456)-(O1462-O1456)/(W1462-W1456))^2)</f>
        <v>0</v>
      </c>
    </row>
    <row r="1460" spans="7:28" x14ac:dyDescent="0.2">
      <c r="G1460" s="21"/>
      <c r="H1460" s="21">
        <v>1345</v>
      </c>
      <c r="I1460">
        <f t="shared" si="234"/>
        <v>0.1</v>
      </c>
      <c r="J1460">
        <f t="shared" si="235"/>
        <v>0.32536526106514241</v>
      </c>
      <c r="K1460">
        <f t="shared" si="229"/>
        <v>22.5</v>
      </c>
      <c r="L1460">
        <f>0.5*Z1460*K1460/J1460/$B$7</f>
        <v>51.864787115737606</v>
      </c>
      <c r="M1460">
        <f t="shared" si="232"/>
        <v>1.1228068475325188</v>
      </c>
      <c r="N1460" s="21">
        <f t="shared" si="236"/>
        <v>6.6939467294509197E-2</v>
      </c>
      <c r="O1460" s="21">
        <f t="shared" si="237"/>
        <v>30.007454937217261</v>
      </c>
      <c r="P1460">
        <f t="shared" si="233"/>
        <v>1</v>
      </c>
      <c r="Q1460">
        <f t="shared" si="230"/>
        <v>0.32536526106514241</v>
      </c>
      <c r="R1460">
        <f t="shared" si="231"/>
        <v>0.32536526106514241</v>
      </c>
      <c r="T1460" s="21">
        <f>(M1460-M1459)/(H1460-H1459)</f>
        <v>0</v>
      </c>
      <c r="W1460">
        <v>1345</v>
      </c>
      <c r="X1460">
        <v>27.116516000000001</v>
      </c>
      <c r="Y1460">
        <v>1.5</v>
      </c>
      <c r="Z1460">
        <f t="shared" si="228"/>
        <v>1.5</v>
      </c>
      <c r="AA1460" s="21">
        <f>IF(X1460&gt;$B$8+$B$9,0,ABS(X1460-O1460)/X1460)</f>
        <v>0</v>
      </c>
      <c r="AB1460">
        <f>IF(OR(Z1457&lt;&gt;Z1463,X1460&gt;$B$8+$B$9),0,((X1463-X1457)/(W1463-W1457)-(O1463-O1457)/(W1463-W1457))^2)</f>
        <v>0</v>
      </c>
    </row>
    <row r="1461" spans="7:28" x14ac:dyDescent="0.2">
      <c r="G1461" s="21"/>
      <c r="H1461" s="21">
        <v>1346</v>
      </c>
      <c r="I1461">
        <f t="shared" si="234"/>
        <v>0.1</v>
      </c>
      <c r="J1461">
        <f t="shared" si="235"/>
        <v>0.32536526106514241</v>
      </c>
      <c r="K1461">
        <f t="shared" si="229"/>
        <v>22.5</v>
      </c>
      <c r="L1461">
        <f>0.5*Z1461*K1461/J1461/$B$7</f>
        <v>51.864787115737606</v>
      </c>
      <c r="M1461">
        <f t="shared" si="232"/>
        <v>1.1228068475325188</v>
      </c>
      <c r="N1461" s="21">
        <f t="shared" si="236"/>
        <v>6.6620594727632182E-2</v>
      </c>
      <c r="O1461" s="21">
        <f t="shared" si="237"/>
        <v>30.107454937217263</v>
      </c>
      <c r="P1461">
        <f t="shared" si="233"/>
        <v>1</v>
      </c>
      <c r="Q1461">
        <f t="shared" si="230"/>
        <v>0.32536526106514241</v>
      </c>
      <c r="R1461">
        <f t="shared" si="231"/>
        <v>0.32536526106514241</v>
      </c>
      <c r="T1461" s="21">
        <f>(M1461-M1460)/(H1461-H1460)</f>
        <v>0</v>
      </c>
      <c r="W1461">
        <v>1346</v>
      </c>
      <c r="X1461">
        <v>27.155455</v>
      </c>
      <c r="Y1461">
        <v>1.5</v>
      </c>
      <c r="Z1461">
        <f t="shared" si="228"/>
        <v>1.5</v>
      </c>
      <c r="AA1461" s="21">
        <f>IF(X1461&gt;$B$8+$B$9,0,ABS(X1461-O1461)/X1461)</f>
        <v>0</v>
      </c>
      <c r="AB1461">
        <f>IF(OR(Z1458&lt;&gt;Z1464,X1461&gt;$B$8+$B$9),0,((X1464-X1458)/(W1464-W1458)-(O1464-O1458)/(W1464-W1458))^2)</f>
        <v>0</v>
      </c>
    </row>
    <row r="1462" spans="7:28" x14ac:dyDescent="0.2">
      <c r="G1462" s="21"/>
      <c r="H1462" s="21">
        <v>1347</v>
      </c>
      <c r="I1462">
        <f t="shared" si="234"/>
        <v>0.1</v>
      </c>
      <c r="J1462">
        <f t="shared" si="235"/>
        <v>0.32536526106514241</v>
      </c>
      <c r="K1462">
        <f t="shared" si="229"/>
        <v>22.5</v>
      </c>
      <c r="L1462">
        <f>0.5*Z1462*K1462/J1462/$B$7</f>
        <v>51.864787115737606</v>
      </c>
      <c r="M1462">
        <f t="shared" si="232"/>
        <v>1.1228068475325188</v>
      </c>
      <c r="N1462" s="21">
        <f t="shared" si="236"/>
        <v>6.6301722160755167E-2</v>
      </c>
      <c r="O1462" s="21">
        <f t="shared" si="237"/>
        <v>30.207454937217264</v>
      </c>
      <c r="P1462">
        <f t="shared" si="233"/>
        <v>1</v>
      </c>
      <c r="Q1462">
        <f t="shared" si="230"/>
        <v>0.32536526106514241</v>
      </c>
      <c r="R1462">
        <f t="shared" si="231"/>
        <v>0.32536526106514241</v>
      </c>
      <c r="T1462" s="21">
        <f>(M1462-M1461)/(H1462-H1461)</f>
        <v>0</v>
      </c>
      <c r="W1462">
        <v>1347</v>
      </c>
      <c r="X1462">
        <v>27.202505999999996</v>
      </c>
      <c r="Y1462">
        <v>1.5</v>
      </c>
      <c r="Z1462">
        <f t="shared" si="228"/>
        <v>1.5</v>
      </c>
      <c r="AA1462" s="21">
        <f>IF(X1462&gt;$B$8+$B$9,0,ABS(X1462-O1462)/X1462)</f>
        <v>0</v>
      </c>
      <c r="AB1462">
        <f>IF(OR(Z1459&lt;&gt;Z1465,X1462&gt;$B$8+$B$9),0,((X1465-X1459)/(W1465-W1459)-(O1465-O1459)/(W1465-W1459))^2)</f>
        <v>0</v>
      </c>
    </row>
    <row r="1463" spans="7:28" x14ac:dyDescent="0.2">
      <c r="G1463" s="21"/>
      <c r="H1463" s="21">
        <v>1348</v>
      </c>
      <c r="I1463">
        <f t="shared" si="234"/>
        <v>0.1</v>
      </c>
      <c r="J1463">
        <f t="shared" si="235"/>
        <v>0.32536526106514241</v>
      </c>
      <c r="K1463">
        <f t="shared" si="229"/>
        <v>22.5</v>
      </c>
      <c r="L1463">
        <f>0.5*Z1463*K1463/J1463/$B$7</f>
        <v>51.864787115737606</v>
      </c>
      <c r="M1463">
        <f t="shared" si="232"/>
        <v>1.1228068475325188</v>
      </c>
      <c r="N1463" s="21">
        <f t="shared" si="236"/>
        <v>6.5982849593878151E-2</v>
      </c>
      <c r="O1463" s="21">
        <f t="shared" si="237"/>
        <v>30.307454937217265</v>
      </c>
      <c r="P1463">
        <f t="shared" si="233"/>
        <v>1</v>
      </c>
      <c r="Q1463">
        <f t="shared" si="230"/>
        <v>0.32536526106514241</v>
      </c>
      <c r="R1463">
        <f t="shared" si="231"/>
        <v>0.32536526106514241</v>
      </c>
      <c r="T1463" s="21">
        <f>(M1463-M1462)/(H1463-H1462)</f>
        <v>0</v>
      </c>
      <c r="W1463">
        <v>1348</v>
      </c>
      <c r="X1463">
        <v>27.244690000000002</v>
      </c>
      <c r="Y1463">
        <v>1.5</v>
      </c>
      <c r="Z1463">
        <f t="shared" si="228"/>
        <v>1.5</v>
      </c>
      <c r="AA1463" s="21">
        <f>IF(X1463&gt;$B$8+$B$9,0,ABS(X1463-O1463)/X1463)</f>
        <v>0</v>
      </c>
      <c r="AB1463">
        <f>IF(OR(Z1460&lt;&gt;Z1466,X1463&gt;$B$8+$B$9),0,((X1466-X1460)/(W1466-W1460)-(O1466-O1460)/(W1466-W1460))^2)</f>
        <v>0</v>
      </c>
    </row>
    <row r="1464" spans="7:28" x14ac:dyDescent="0.2">
      <c r="G1464" s="21"/>
      <c r="H1464" s="21">
        <v>1349</v>
      </c>
      <c r="I1464">
        <f t="shared" si="234"/>
        <v>0.1</v>
      </c>
      <c r="J1464">
        <f t="shared" si="235"/>
        <v>0.32536526106514241</v>
      </c>
      <c r="K1464">
        <f t="shared" si="229"/>
        <v>22.5</v>
      </c>
      <c r="L1464">
        <f>0.5*Z1464*K1464/J1464/$B$7</f>
        <v>51.864787115737606</v>
      </c>
      <c r="M1464">
        <f t="shared" si="232"/>
        <v>1.1228068475325188</v>
      </c>
      <c r="N1464" s="21">
        <f t="shared" si="236"/>
        <v>6.5663977027001122E-2</v>
      </c>
      <c r="O1464" s="21">
        <f t="shared" si="237"/>
        <v>30.407454937217267</v>
      </c>
      <c r="P1464">
        <f t="shared" si="233"/>
        <v>1</v>
      </c>
      <c r="Q1464">
        <f t="shared" si="230"/>
        <v>0.32536526106514241</v>
      </c>
      <c r="R1464">
        <f t="shared" si="231"/>
        <v>0.32536526106514241</v>
      </c>
      <c r="T1464" s="21">
        <f>(M1464-M1463)/(H1464-H1463)</f>
        <v>0</v>
      </c>
      <c r="W1464">
        <v>1349</v>
      </c>
      <c r="X1464">
        <v>27.304720999999997</v>
      </c>
      <c r="Y1464">
        <v>1.5</v>
      </c>
      <c r="Z1464">
        <f t="shared" si="228"/>
        <v>1.5</v>
      </c>
      <c r="AA1464" s="21">
        <f>IF(X1464&gt;$B$8+$B$9,0,ABS(X1464-O1464)/X1464)</f>
        <v>0</v>
      </c>
      <c r="AB1464">
        <f>IF(OR(Z1461&lt;&gt;Z1467,X1464&gt;$B$8+$B$9),0,((X1467-X1461)/(W1467-W1461)-(O1467-O1461)/(W1467-W1461))^2)</f>
        <v>0</v>
      </c>
    </row>
    <row r="1465" spans="7:28" x14ac:dyDescent="0.2">
      <c r="G1465" s="21"/>
      <c r="H1465" s="21">
        <v>1350</v>
      </c>
      <c r="I1465">
        <f t="shared" si="234"/>
        <v>0.1</v>
      </c>
      <c r="J1465">
        <f t="shared" si="235"/>
        <v>0.32536526106514241</v>
      </c>
      <c r="K1465">
        <f t="shared" si="229"/>
        <v>22.5</v>
      </c>
      <c r="L1465">
        <f>0.5*Z1465*K1465/J1465/$B$7</f>
        <v>51.864787115737606</v>
      </c>
      <c r="M1465">
        <f t="shared" si="232"/>
        <v>1.1228068475325188</v>
      </c>
      <c r="N1465" s="21">
        <f t="shared" si="236"/>
        <v>6.5345104460124107E-2</v>
      </c>
      <c r="O1465" s="21">
        <f t="shared" si="237"/>
        <v>30.507454937217268</v>
      </c>
      <c r="P1465">
        <f t="shared" si="233"/>
        <v>1</v>
      </c>
      <c r="Q1465">
        <f t="shared" si="230"/>
        <v>0.32536526106514241</v>
      </c>
      <c r="R1465">
        <f t="shared" si="231"/>
        <v>0.32536526106514241</v>
      </c>
      <c r="T1465" s="21">
        <f>(M1465-M1464)/(H1465-H1464)</f>
        <v>0</v>
      </c>
      <c r="W1465">
        <v>1350</v>
      </c>
      <c r="X1465">
        <v>27.338792999999999</v>
      </c>
      <c r="Y1465">
        <v>1.5</v>
      </c>
      <c r="Z1465">
        <f t="shared" si="228"/>
        <v>1.5</v>
      </c>
      <c r="AA1465" s="21">
        <f>IF(X1465&gt;$B$8+$B$9,0,ABS(X1465-O1465)/X1465)</f>
        <v>0</v>
      </c>
      <c r="AB1465">
        <f>IF(OR(Z1462&lt;&gt;Z1468,X1465&gt;$B$8+$B$9),0,((X1468-X1462)/(W1468-W1462)-(O1468-O1462)/(W1468-W1462))^2)</f>
        <v>0</v>
      </c>
    </row>
    <row r="1466" spans="7:28" x14ac:dyDescent="0.2">
      <c r="G1466" s="21"/>
      <c r="H1466" s="21">
        <v>1351</v>
      </c>
      <c r="I1466">
        <f t="shared" si="234"/>
        <v>0.1</v>
      </c>
      <c r="J1466">
        <f t="shared" si="235"/>
        <v>0.32536526106514241</v>
      </c>
      <c r="K1466">
        <f t="shared" si="229"/>
        <v>22.5</v>
      </c>
      <c r="L1466">
        <f>0.5*Z1466*K1466/J1466/$B$7</f>
        <v>51.864787115737606</v>
      </c>
      <c r="M1466">
        <f t="shared" si="232"/>
        <v>1.1228068475325188</v>
      </c>
      <c r="N1466" s="21">
        <f t="shared" si="236"/>
        <v>6.5026231893247091E-2</v>
      </c>
      <c r="O1466" s="21">
        <f t="shared" si="237"/>
        <v>30.60745493721727</v>
      </c>
      <c r="P1466">
        <f t="shared" si="233"/>
        <v>1</v>
      </c>
      <c r="Q1466">
        <f t="shared" si="230"/>
        <v>0.32536526106514241</v>
      </c>
      <c r="R1466">
        <f t="shared" si="231"/>
        <v>0.32536526106514241</v>
      </c>
      <c r="T1466" s="21">
        <f>(M1466-M1465)/(H1466-H1465)</f>
        <v>0</v>
      </c>
      <c r="W1466">
        <v>1351</v>
      </c>
      <c r="X1466">
        <v>27.387466999999997</v>
      </c>
      <c r="Y1466">
        <v>1.5</v>
      </c>
      <c r="Z1466">
        <f t="shared" si="228"/>
        <v>1.5</v>
      </c>
      <c r="AA1466" s="21">
        <f>IF(X1466&gt;$B$8+$B$9,0,ABS(X1466-O1466)/X1466)</f>
        <v>0</v>
      </c>
      <c r="AB1466">
        <f>IF(OR(Z1463&lt;&gt;Z1469,X1466&gt;$B$8+$B$9),0,((X1469-X1463)/(W1469-W1463)-(O1469-O1463)/(W1469-W1463))^2)</f>
        <v>0</v>
      </c>
    </row>
    <row r="1467" spans="7:28" x14ac:dyDescent="0.2">
      <c r="G1467" s="21"/>
      <c r="H1467" s="21">
        <v>1352</v>
      </c>
      <c r="I1467">
        <f t="shared" si="234"/>
        <v>0.1</v>
      </c>
      <c r="J1467">
        <f t="shared" si="235"/>
        <v>0.32536526106514241</v>
      </c>
      <c r="K1467">
        <f t="shared" si="229"/>
        <v>22.5</v>
      </c>
      <c r="L1467">
        <f>0.5*Z1467*K1467/J1467/$B$7</f>
        <v>51.864787115737606</v>
      </c>
      <c r="M1467">
        <f t="shared" si="232"/>
        <v>1.1228068475325188</v>
      </c>
      <c r="N1467" s="21">
        <f t="shared" si="236"/>
        <v>6.4707359326370076E-2</v>
      </c>
      <c r="O1467" s="21">
        <f t="shared" si="237"/>
        <v>30.707454937217271</v>
      </c>
      <c r="P1467">
        <f t="shared" si="233"/>
        <v>1</v>
      </c>
      <c r="Q1467">
        <f t="shared" si="230"/>
        <v>0.32536526106514241</v>
      </c>
      <c r="R1467">
        <f t="shared" si="231"/>
        <v>0.32536526106514241</v>
      </c>
      <c r="T1467" s="21">
        <f>(M1467-M1466)/(H1467-H1466)</f>
        <v>0</v>
      </c>
      <c r="W1467">
        <v>1352</v>
      </c>
      <c r="X1467">
        <v>27.437763</v>
      </c>
      <c r="Y1467">
        <v>1.5</v>
      </c>
      <c r="Z1467">
        <f t="shared" si="228"/>
        <v>1.5</v>
      </c>
      <c r="AA1467" s="21">
        <f>IF(X1467&gt;$B$8+$B$9,0,ABS(X1467-O1467)/X1467)</f>
        <v>0</v>
      </c>
      <c r="AB1467">
        <f>IF(OR(Z1464&lt;&gt;Z1470,X1467&gt;$B$8+$B$9),0,((X1470-X1464)/(W1470-W1464)-(O1470-O1464)/(W1470-W1464))^2)</f>
        <v>0</v>
      </c>
    </row>
    <row r="1468" spans="7:28" x14ac:dyDescent="0.2">
      <c r="G1468" s="21"/>
      <c r="H1468" s="21">
        <v>1353</v>
      </c>
      <c r="I1468">
        <f t="shared" si="234"/>
        <v>0.1</v>
      </c>
      <c r="J1468">
        <f t="shared" si="235"/>
        <v>0.32536526106514241</v>
      </c>
      <c r="K1468">
        <f t="shared" si="229"/>
        <v>22.5</v>
      </c>
      <c r="L1468">
        <f>0.5*Z1468*K1468/J1468/$B$7</f>
        <v>51.864787115737606</v>
      </c>
      <c r="M1468">
        <f t="shared" si="232"/>
        <v>1.1228068475325188</v>
      </c>
      <c r="N1468" s="21">
        <f t="shared" si="236"/>
        <v>6.438848675949306E-2</v>
      </c>
      <c r="O1468" s="21">
        <f t="shared" si="237"/>
        <v>30.807454937217273</v>
      </c>
      <c r="P1468">
        <f t="shared" si="233"/>
        <v>1</v>
      </c>
      <c r="Q1468">
        <f t="shared" si="230"/>
        <v>0.32536526106514241</v>
      </c>
      <c r="R1468">
        <f t="shared" si="231"/>
        <v>0.32536526106514241</v>
      </c>
      <c r="T1468" s="21">
        <f>(M1468-M1467)/(H1468-H1467)</f>
        <v>0</v>
      </c>
      <c r="W1468">
        <v>1353</v>
      </c>
      <c r="X1468">
        <v>27.478323999999997</v>
      </c>
      <c r="Y1468">
        <v>1.5</v>
      </c>
      <c r="Z1468">
        <f t="shared" si="228"/>
        <v>1.5</v>
      </c>
      <c r="AA1468" s="21">
        <f>IF(X1468&gt;$B$8+$B$9,0,ABS(X1468-O1468)/X1468)</f>
        <v>0</v>
      </c>
      <c r="AB1468">
        <f>IF(OR(Z1465&lt;&gt;Z1471,X1468&gt;$B$8+$B$9),0,((X1471-X1465)/(W1471-W1465)-(O1471-O1465)/(W1471-W1465))^2)</f>
        <v>0</v>
      </c>
    </row>
    <row r="1469" spans="7:28" x14ac:dyDescent="0.2">
      <c r="G1469" s="21"/>
      <c r="H1469" s="21">
        <v>1354</v>
      </c>
      <c r="I1469">
        <f t="shared" si="234"/>
        <v>0.1</v>
      </c>
      <c r="J1469">
        <f t="shared" si="235"/>
        <v>0.32536526106514241</v>
      </c>
      <c r="K1469">
        <f t="shared" si="229"/>
        <v>22.5</v>
      </c>
      <c r="L1469">
        <f>0.5*Z1469*K1469/J1469/$B$7</f>
        <v>51.864787115737606</v>
      </c>
      <c r="M1469">
        <f t="shared" si="232"/>
        <v>1.1228068475325188</v>
      </c>
      <c r="N1469" s="21">
        <f t="shared" si="236"/>
        <v>6.4069614192616031E-2</v>
      </c>
      <c r="O1469" s="21">
        <f t="shared" si="237"/>
        <v>30.907454937217274</v>
      </c>
      <c r="P1469">
        <f t="shared" si="233"/>
        <v>1</v>
      </c>
      <c r="Q1469">
        <f t="shared" si="230"/>
        <v>0.32536526106514241</v>
      </c>
      <c r="R1469">
        <f t="shared" si="231"/>
        <v>0.32536526106514241</v>
      </c>
      <c r="T1469" s="21">
        <f>(M1469-M1468)/(H1469-H1468)</f>
        <v>0</v>
      </c>
      <c r="W1469">
        <v>1354</v>
      </c>
      <c r="X1469">
        <v>27.548089999999998</v>
      </c>
      <c r="Y1469">
        <v>1.5</v>
      </c>
      <c r="Z1469">
        <f t="shared" si="228"/>
        <v>1.5</v>
      </c>
      <c r="AA1469" s="21">
        <f>IF(X1469&gt;$B$8+$B$9,0,ABS(X1469-O1469)/X1469)</f>
        <v>0</v>
      </c>
      <c r="AB1469">
        <f>IF(OR(Z1466&lt;&gt;Z1472,X1469&gt;$B$8+$B$9),0,((X1472-X1466)/(W1472-W1466)-(O1472-O1466)/(W1472-W1466))^2)</f>
        <v>0</v>
      </c>
    </row>
    <row r="1470" spans="7:28" x14ac:dyDescent="0.2">
      <c r="G1470" s="21"/>
      <c r="H1470" s="21">
        <v>1355</v>
      </c>
      <c r="I1470">
        <f t="shared" si="234"/>
        <v>0.1</v>
      </c>
      <c r="J1470">
        <f t="shared" si="235"/>
        <v>0.32536526106514241</v>
      </c>
      <c r="K1470">
        <f t="shared" si="229"/>
        <v>22.5</v>
      </c>
      <c r="L1470">
        <f>0.5*Z1470*K1470/J1470/$B$7</f>
        <v>51.864787115737606</v>
      </c>
      <c r="M1470">
        <f t="shared" si="232"/>
        <v>1.1228068475325188</v>
      </c>
      <c r="N1470" s="21">
        <f t="shared" si="236"/>
        <v>6.3750741625739016E-2</v>
      </c>
      <c r="O1470" s="21">
        <f t="shared" si="237"/>
        <v>31.007454937217275</v>
      </c>
      <c r="P1470">
        <f t="shared" si="233"/>
        <v>1</v>
      </c>
      <c r="Q1470">
        <f t="shared" si="230"/>
        <v>0.32536526106514241</v>
      </c>
      <c r="R1470">
        <f t="shared" si="231"/>
        <v>0.32536526106514241</v>
      </c>
      <c r="T1470" s="21">
        <f>(M1470-M1469)/(H1470-H1469)</f>
        <v>0</v>
      </c>
      <c r="W1470">
        <v>1355</v>
      </c>
      <c r="X1470">
        <v>27.593518999999997</v>
      </c>
      <c r="Y1470">
        <v>1.5</v>
      </c>
      <c r="Z1470">
        <f t="shared" ref="Z1470:Z1533" si="238">Y1470</f>
        <v>1.5</v>
      </c>
      <c r="AA1470" s="21">
        <f>IF(X1470&gt;$B$8+$B$9,0,ABS(X1470-O1470)/X1470)</f>
        <v>0</v>
      </c>
      <c r="AB1470">
        <f>IF(OR(Z1467&lt;&gt;Z1473,X1470&gt;$B$8+$B$9),0,((X1473-X1467)/(W1473-W1467)-(O1473-O1467)/(W1473-W1467))^2)</f>
        <v>0</v>
      </c>
    </row>
    <row r="1471" spans="7:28" x14ac:dyDescent="0.2">
      <c r="G1471" s="21"/>
      <c r="H1471" s="21">
        <v>1356</v>
      </c>
      <c r="I1471">
        <f t="shared" si="234"/>
        <v>0.1</v>
      </c>
      <c r="J1471">
        <f t="shared" si="235"/>
        <v>0.32536526106514241</v>
      </c>
      <c r="K1471">
        <f t="shared" si="229"/>
        <v>22.5</v>
      </c>
      <c r="L1471">
        <f>0.5*Z1471*K1471/J1471/$B$7</f>
        <v>51.864787115737606</v>
      </c>
      <c r="M1471">
        <f t="shared" si="232"/>
        <v>1.1228068475325188</v>
      </c>
      <c r="N1471" s="21">
        <f t="shared" si="236"/>
        <v>6.3431869058862E-2</v>
      </c>
      <c r="O1471" s="21">
        <f t="shared" si="237"/>
        <v>31.107454937217277</v>
      </c>
      <c r="P1471">
        <f t="shared" si="233"/>
        <v>1</v>
      </c>
      <c r="Q1471">
        <f t="shared" si="230"/>
        <v>0.32536526106514241</v>
      </c>
      <c r="R1471">
        <f t="shared" si="231"/>
        <v>0.32536526106514241</v>
      </c>
      <c r="T1471" s="21">
        <f>(M1471-M1470)/(H1471-H1470)</f>
        <v>0</v>
      </c>
      <c r="W1471">
        <v>1356</v>
      </c>
      <c r="X1471">
        <v>27.634080999999998</v>
      </c>
      <c r="Y1471">
        <v>1.5</v>
      </c>
      <c r="Z1471">
        <f t="shared" si="238"/>
        <v>1.5</v>
      </c>
      <c r="AA1471" s="21">
        <f>IF(X1471&gt;$B$8+$B$9,0,ABS(X1471-O1471)/X1471)</f>
        <v>0</v>
      </c>
      <c r="AB1471">
        <f>IF(OR(Z1468&lt;&gt;Z1474,X1471&gt;$B$8+$B$9),0,((X1474-X1468)/(W1474-W1468)-(O1474-O1468)/(W1474-W1468))^2)</f>
        <v>0</v>
      </c>
    </row>
    <row r="1472" spans="7:28" x14ac:dyDescent="0.2">
      <c r="G1472" s="21"/>
      <c r="H1472" s="21">
        <v>1357</v>
      </c>
      <c r="I1472">
        <f t="shared" si="234"/>
        <v>0.1</v>
      </c>
      <c r="J1472">
        <f t="shared" si="235"/>
        <v>0.32536526106514241</v>
      </c>
      <c r="K1472">
        <f t="shared" si="229"/>
        <v>22.5</v>
      </c>
      <c r="L1472">
        <f>0.5*Z1472*K1472/J1472/$B$7</f>
        <v>51.864787115737606</v>
      </c>
      <c r="M1472">
        <f t="shared" si="232"/>
        <v>1.1228068475325188</v>
      </c>
      <c r="N1472" s="21">
        <f t="shared" si="236"/>
        <v>6.3112996491984985E-2</v>
      </c>
      <c r="O1472" s="21">
        <f t="shared" si="237"/>
        <v>31.207454937217278</v>
      </c>
      <c r="P1472">
        <f t="shared" si="233"/>
        <v>1</v>
      </c>
      <c r="Q1472">
        <f t="shared" si="230"/>
        <v>0.32536526106514241</v>
      </c>
      <c r="R1472">
        <f t="shared" si="231"/>
        <v>0.32536526106514241</v>
      </c>
      <c r="T1472" s="21">
        <f>(M1472-M1471)/(H1472-H1471)</f>
        <v>0</v>
      </c>
      <c r="W1472">
        <v>1357</v>
      </c>
      <c r="X1472">
        <v>27.679509999999997</v>
      </c>
      <c r="Y1472">
        <v>1.5</v>
      </c>
      <c r="Z1472">
        <f t="shared" si="238"/>
        <v>1.5</v>
      </c>
      <c r="AA1472" s="21">
        <f>IF(X1472&gt;$B$8+$B$9,0,ABS(X1472-O1472)/X1472)</f>
        <v>0</v>
      </c>
      <c r="AB1472">
        <f>IF(OR(Z1469&lt;&gt;Z1475,X1472&gt;$B$8+$B$9),0,((X1475-X1469)/(W1475-W1469)-(O1475-O1469)/(W1475-W1469))^2)</f>
        <v>0</v>
      </c>
    </row>
    <row r="1473" spans="7:28" x14ac:dyDescent="0.2">
      <c r="G1473" s="21"/>
      <c r="H1473" s="21">
        <v>1358</v>
      </c>
      <c r="I1473">
        <f t="shared" si="234"/>
        <v>0.1</v>
      </c>
      <c r="J1473">
        <f t="shared" si="235"/>
        <v>0.32536526106514241</v>
      </c>
      <c r="K1473">
        <f t="shared" si="229"/>
        <v>22.5</v>
      </c>
      <c r="L1473">
        <f>0.5*Z1473*K1473/J1473/$B$7</f>
        <v>51.864787115737606</v>
      </c>
      <c r="M1473">
        <f t="shared" si="232"/>
        <v>1.1228068475325188</v>
      </c>
      <c r="N1473" s="21">
        <f t="shared" si="236"/>
        <v>6.2794123925107956E-2</v>
      </c>
      <c r="O1473" s="21">
        <f t="shared" si="237"/>
        <v>31.30745493721728</v>
      </c>
      <c r="P1473">
        <f t="shared" si="233"/>
        <v>1</v>
      </c>
      <c r="Q1473">
        <f t="shared" si="230"/>
        <v>0.32536526106514241</v>
      </c>
      <c r="R1473">
        <f t="shared" si="231"/>
        <v>0.32536526106514241</v>
      </c>
      <c r="T1473" s="21">
        <f>(M1473-M1472)/(H1473-H1472)</f>
        <v>0</v>
      </c>
      <c r="W1473">
        <v>1358</v>
      </c>
      <c r="X1473">
        <v>27.731427999999998</v>
      </c>
      <c r="Y1473">
        <v>1.5</v>
      </c>
      <c r="Z1473">
        <f t="shared" si="238"/>
        <v>1.5</v>
      </c>
      <c r="AA1473" s="21">
        <f>IF(X1473&gt;$B$8+$B$9,0,ABS(X1473-O1473)/X1473)</f>
        <v>0</v>
      </c>
      <c r="AB1473">
        <f>IF(OR(Z1470&lt;&gt;Z1476,X1473&gt;$B$8+$B$9),0,((X1476-X1470)/(W1476-W1470)-(O1476-O1470)/(W1476-W1470))^2)</f>
        <v>0</v>
      </c>
    </row>
    <row r="1474" spans="7:28" x14ac:dyDescent="0.2">
      <c r="G1474" s="21"/>
      <c r="H1474" s="21">
        <v>1359</v>
      </c>
      <c r="I1474">
        <f t="shared" si="234"/>
        <v>0.1</v>
      </c>
      <c r="J1474">
        <f t="shared" si="235"/>
        <v>0.32536526106514241</v>
      </c>
      <c r="K1474">
        <f t="shared" si="229"/>
        <v>22.5</v>
      </c>
      <c r="L1474">
        <f>0.5*Z1474*K1474/J1474/$B$7</f>
        <v>51.864787115737606</v>
      </c>
      <c r="M1474">
        <f t="shared" si="232"/>
        <v>1.1228068475325188</v>
      </c>
      <c r="N1474" s="21">
        <f t="shared" si="236"/>
        <v>6.247525135823094E-2</v>
      </c>
      <c r="O1474" s="21">
        <f t="shared" si="237"/>
        <v>31.407454937217281</v>
      </c>
      <c r="P1474">
        <f t="shared" si="233"/>
        <v>1</v>
      </c>
      <c r="Q1474">
        <f t="shared" si="230"/>
        <v>0.32536526106514241</v>
      </c>
      <c r="R1474">
        <f t="shared" si="231"/>
        <v>0.32536526106514241</v>
      </c>
      <c r="T1474" s="21">
        <f>(M1474-M1473)/(H1474-H1473)</f>
        <v>0</v>
      </c>
      <c r="W1474">
        <v>1359</v>
      </c>
      <c r="X1474">
        <v>27.778479999999998</v>
      </c>
      <c r="Y1474">
        <v>1.5</v>
      </c>
      <c r="Z1474">
        <f t="shared" si="238"/>
        <v>1.5</v>
      </c>
      <c r="AA1474" s="21">
        <f>IF(X1474&gt;$B$8+$B$9,0,ABS(X1474-O1474)/X1474)</f>
        <v>0</v>
      </c>
      <c r="AB1474">
        <f>IF(OR(Z1471&lt;&gt;Z1477,X1474&gt;$B$8+$B$9),0,((X1477-X1471)/(W1477-W1471)-(O1477-O1471)/(W1477-W1471))^2)</f>
        <v>0</v>
      </c>
    </row>
    <row r="1475" spans="7:28" x14ac:dyDescent="0.2">
      <c r="G1475" s="21"/>
      <c r="H1475" s="21">
        <v>1360</v>
      </c>
      <c r="I1475">
        <f t="shared" si="234"/>
        <v>0.1</v>
      </c>
      <c r="J1475">
        <f t="shared" si="235"/>
        <v>0.32536526106514241</v>
      </c>
      <c r="K1475">
        <f t="shared" ref="K1475:K1538" si="239">IF(O1475&lt;$B$8+$B$9,0.5*(($B$8+$B$9)^2+O1475^2)/O1475-$B$9,$B$8)</f>
        <v>22.5</v>
      </c>
      <c r="L1475">
        <f>0.5*Z1475*K1475/J1475/$B$7</f>
        <v>51.864787115737606</v>
      </c>
      <c r="M1475">
        <f t="shared" si="232"/>
        <v>1.1228068475325188</v>
      </c>
      <c r="N1475" s="21">
        <f t="shared" si="236"/>
        <v>6.2156378791353932E-2</v>
      </c>
      <c r="O1475" s="21">
        <f t="shared" si="237"/>
        <v>31.507454937217283</v>
      </c>
      <c r="P1475">
        <f t="shared" si="233"/>
        <v>1</v>
      </c>
      <c r="Q1475">
        <f t="shared" ref="Q1475:Q1538" si="240">1-B$15*P1475</f>
        <v>0.32536526106514241</v>
      </c>
      <c r="R1475">
        <f t="shared" ref="R1475:R1538" si="241">$E$15/(P1475+$E$16)</f>
        <v>0.32536526106514241</v>
      </c>
      <c r="T1475" s="21">
        <f>(M1475-M1474)/(H1475-H1474)</f>
        <v>0</v>
      </c>
      <c r="W1475">
        <v>1360</v>
      </c>
      <c r="X1475">
        <v>27.822286000000002</v>
      </c>
      <c r="Y1475">
        <v>1.5</v>
      </c>
      <c r="Z1475">
        <f t="shared" si="238"/>
        <v>1.5</v>
      </c>
      <c r="AA1475" s="21">
        <f>IF(X1475&gt;$B$8+$B$9,0,ABS(X1475-O1475)/X1475)</f>
        <v>0</v>
      </c>
      <c r="AB1475">
        <f>IF(OR(Z1472&lt;&gt;Z1478,X1475&gt;$B$8+$B$9),0,((X1478-X1472)/(W1478-W1472)-(O1478-O1472)/(W1478-W1472))^2)</f>
        <v>0</v>
      </c>
    </row>
    <row r="1476" spans="7:28" x14ac:dyDescent="0.2">
      <c r="G1476" s="21"/>
      <c r="H1476" s="21">
        <v>1361</v>
      </c>
      <c r="I1476">
        <f t="shared" si="234"/>
        <v>0.1</v>
      </c>
      <c r="J1476">
        <f t="shared" si="235"/>
        <v>0.32536526106514241</v>
      </c>
      <c r="K1476">
        <f t="shared" si="239"/>
        <v>22.5</v>
      </c>
      <c r="L1476">
        <f>0.5*Z1476*K1476/J1476/$B$7</f>
        <v>51.864787115737606</v>
      </c>
      <c r="M1476">
        <f t="shared" ref="M1476:M1539" si="242">-LN(J1476)</f>
        <v>1.1228068475325188</v>
      </c>
      <c r="N1476" s="21">
        <f t="shared" si="236"/>
        <v>6.1837506224476903E-2</v>
      </c>
      <c r="O1476" s="21">
        <f t="shared" si="237"/>
        <v>31.607454937217284</v>
      </c>
      <c r="P1476">
        <f t="shared" ref="P1476:P1539" si="243">MIN(O1476/(K1476+$B$9),1)</f>
        <v>1</v>
      </c>
      <c r="Q1476">
        <f t="shared" si="240"/>
        <v>0.32536526106514241</v>
      </c>
      <c r="R1476">
        <f t="shared" si="241"/>
        <v>0.32536526106514241</v>
      </c>
      <c r="T1476" s="21">
        <f>(M1476-M1475)/(H1476-H1475)</f>
        <v>0</v>
      </c>
      <c r="W1476">
        <v>1361</v>
      </c>
      <c r="X1476">
        <v>27.874205</v>
      </c>
      <c r="Y1476">
        <v>1.5</v>
      </c>
      <c r="Z1476">
        <f t="shared" si="238"/>
        <v>1.5</v>
      </c>
      <c r="AA1476" s="21">
        <f>IF(X1476&gt;$B$8+$B$9,0,ABS(X1476-O1476)/X1476)</f>
        <v>0</v>
      </c>
      <c r="AB1476">
        <f>IF(OR(Z1473&lt;&gt;Z1479,X1476&gt;$B$8+$B$9),0,((X1479-X1473)/(W1479-W1473)-(O1479-O1473)/(W1479-W1473))^2)</f>
        <v>0</v>
      </c>
    </row>
    <row r="1477" spans="7:28" x14ac:dyDescent="0.2">
      <c r="G1477" s="21"/>
      <c r="H1477" s="21">
        <v>1362</v>
      </c>
      <c r="I1477">
        <f t="shared" ref="I1477:I1540" si="244">IF(P1476&lt;0.999,MAX(0,MIN(10000000,(L1476/$E$8/M1476^$E$10)^(1/$E$9)/N1476)),0.1)</f>
        <v>0.1</v>
      </c>
      <c r="J1477">
        <f t="shared" ref="J1477:J1540" si="245">Q1477</f>
        <v>0.32536526106514241</v>
      </c>
      <c r="K1477">
        <f t="shared" si="239"/>
        <v>22.5</v>
      </c>
      <c r="L1477">
        <f>0.5*Z1477*K1477/J1477/$B$7</f>
        <v>51.864787115737606</v>
      </c>
      <c r="M1477">
        <f t="shared" si="242"/>
        <v>1.1228068475325188</v>
      </c>
      <c r="N1477" s="21">
        <f t="shared" ref="N1477:N1540" si="246">-$B$15*(O1477-2*(K1477+$B$9))/(K1477+$B$9)^2/J1477</f>
        <v>6.151863365759988E-2</v>
      </c>
      <c r="O1477" s="21">
        <f t="shared" ref="O1477:O1540" si="247">O1476+I1477*(H1477-H1476)</f>
        <v>31.707454937217285</v>
      </c>
      <c r="P1477">
        <f t="shared" si="243"/>
        <v>1</v>
      </c>
      <c r="Q1477">
        <f t="shared" si="240"/>
        <v>0.32536526106514241</v>
      </c>
      <c r="R1477">
        <f t="shared" si="241"/>
        <v>0.32536526106514241</v>
      </c>
      <c r="T1477" s="21">
        <f>(M1477-M1476)/(H1477-H1476)</f>
        <v>0</v>
      </c>
      <c r="W1477">
        <v>1362</v>
      </c>
      <c r="X1477">
        <v>27.921255999999996</v>
      </c>
      <c r="Y1477">
        <v>1.5</v>
      </c>
      <c r="Z1477">
        <f t="shared" si="238"/>
        <v>1.5</v>
      </c>
      <c r="AA1477" s="21">
        <f>IF(X1477&gt;$B$8+$B$9,0,ABS(X1477-O1477)/X1477)</f>
        <v>0</v>
      </c>
      <c r="AB1477">
        <f>IF(OR(Z1474&lt;&gt;Z1480,X1477&gt;$B$8+$B$9),0,((X1480-X1474)/(W1480-W1474)-(O1480-O1474)/(W1480-W1474))^2)</f>
        <v>0</v>
      </c>
    </row>
    <row r="1478" spans="7:28" x14ac:dyDescent="0.2">
      <c r="G1478" s="21"/>
      <c r="H1478" s="21">
        <v>1363</v>
      </c>
      <c r="I1478">
        <f t="shared" si="244"/>
        <v>0.1</v>
      </c>
      <c r="J1478">
        <f t="shared" si="245"/>
        <v>0.32536526106514241</v>
      </c>
      <c r="K1478">
        <f t="shared" si="239"/>
        <v>22.5</v>
      </c>
      <c r="L1478">
        <f>0.5*Z1478*K1478/J1478/$B$7</f>
        <v>51.864787115737606</v>
      </c>
      <c r="M1478">
        <f t="shared" si="242"/>
        <v>1.1228068475325188</v>
      </c>
      <c r="N1478" s="21">
        <f t="shared" si="246"/>
        <v>6.1199761090722865E-2</v>
      </c>
      <c r="O1478" s="21">
        <f t="shared" si="247"/>
        <v>31.807454937217287</v>
      </c>
      <c r="P1478">
        <f t="shared" si="243"/>
        <v>1</v>
      </c>
      <c r="Q1478">
        <f t="shared" si="240"/>
        <v>0.32536526106514241</v>
      </c>
      <c r="R1478">
        <f t="shared" si="241"/>
        <v>0.32536526106514241</v>
      </c>
      <c r="T1478" s="21">
        <f>(M1478-M1477)/(H1478-H1477)</f>
        <v>0</v>
      </c>
      <c r="W1478">
        <v>1363</v>
      </c>
      <c r="X1478">
        <v>27.98291</v>
      </c>
      <c r="Y1478">
        <v>1.5</v>
      </c>
      <c r="Z1478">
        <f t="shared" si="238"/>
        <v>1.5</v>
      </c>
      <c r="AA1478" s="21">
        <f>IF(X1478&gt;$B$8+$B$9,0,ABS(X1478-O1478)/X1478)</f>
        <v>0</v>
      </c>
      <c r="AB1478">
        <f>IF(OR(Z1475&lt;&gt;Z1481,X1478&gt;$B$8+$B$9),0,((X1481-X1475)/(W1481-W1475)-(O1481-O1475)/(W1481-W1475))^2)</f>
        <v>0</v>
      </c>
    </row>
    <row r="1479" spans="7:28" x14ac:dyDescent="0.2">
      <c r="G1479" s="21"/>
      <c r="H1479" s="21">
        <v>1364</v>
      </c>
      <c r="I1479">
        <f t="shared" si="244"/>
        <v>0.1</v>
      </c>
      <c r="J1479">
        <f t="shared" si="245"/>
        <v>0.32536526106514241</v>
      </c>
      <c r="K1479">
        <f t="shared" si="239"/>
        <v>22.5</v>
      </c>
      <c r="L1479">
        <f>0.5*Z1479*K1479/J1479/$B$7</f>
        <v>51.864787115737606</v>
      </c>
      <c r="M1479">
        <f t="shared" si="242"/>
        <v>1.1228068475325188</v>
      </c>
      <c r="N1479" s="21">
        <f t="shared" si="246"/>
        <v>6.088088852384585E-2</v>
      </c>
      <c r="O1479" s="21">
        <f t="shared" si="247"/>
        <v>31.907454937217288</v>
      </c>
      <c r="P1479">
        <f t="shared" si="243"/>
        <v>1</v>
      </c>
      <c r="Q1479">
        <f t="shared" si="240"/>
        <v>0.32536526106514241</v>
      </c>
      <c r="R1479">
        <f t="shared" si="241"/>
        <v>0.32536526106514241</v>
      </c>
      <c r="T1479" s="21">
        <f>(M1479-M1478)/(H1479-H1478)</f>
        <v>0</v>
      </c>
      <c r="W1479">
        <v>1364</v>
      </c>
      <c r="X1479">
        <v>28.029960999999997</v>
      </c>
      <c r="Y1479">
        <v>1.5</v>
      </c>
      <c r="Z1479">
        <f t="shared" si="238"/>
        <v>1.5</v>
      </c>
      <c r="AA1479" s="21">
        <f>IF(X1479&gt;$B$8+$B$9,0,ABS(X1479-O1479)/X1479)</f>
        <v>0</v>
      </c>
      <c r="AB1479">
        <f>IF(OR(Z1476&lt;&gt;Z1482,X1479&gt;$B$8+$B$9),0,((X1482-X1476)/(W1482-W1476)-(O1482-O1476)/(W1482-W1476))^2)</f>
        <v>0</v>
      </c>
    </row>
    <row r="1480" spans="7:28" x14ac:dyDescent="0.2">
      <c r="G1480" s="21"/>
      <c r="H1480" s="21">
        <v>1365</v>
      </c>
      <c r="I1480">
        <f t="shared" si="244"/>
        <v>0.1</v>
      </c>
      <c r="J1480">
        <f t="shared" si="245"/>
        <v>0.32536526106514241</v>
      </c>
      <c r="K1480">
        <f t="shared" si="239"/>
        <v>22.5</v>
      </c>
      <c r="L1480">
        <f>0.5*Z1480*K1480/J1480/$B$7</f>
        <v>51.864787115737606</v>
      </c>
      <c r="M1480">
        <f t="shared" si="242"/>
        <v>1.1228068475325188</v>
      </c>
      <c r="N1480" s="21">
        <f t="shared" si="246"/>
        <v>6.0562015956968834E-2</v>
      </c>
      <c r="O1480" s="21">
        <f t="shared" si="247"/>
        <v>32.00745493721729</v>
      </c>
      <c r="P1480">
        <f t="shared" si="243"/>
        <v>1</v>
      </c>
      <c r="Q1480">
        <f t="shared" si="240"/>
        <v>0.32536526106514241</v>
      </c>
      <c r="R1480">
        <f t="shared" si="241"/>
        <v>0.32536526106514241</v>
      </c>
      <c r="T1480" s="21">
        <f>(M1480-M1479)/(H1480-H1479)</f>
        <v>0</v>
      </c>
      <c r="W1480">
        <v>1365</v>
      </c>
      <c r="X1480">
        <v>28.073767999999998</v>
      </c>
      <c r="Y1480">
        <v>1.5</v>
      </c>
      <c r="Z1480">
        <f t="shared" si="238"/>
        <v>1.5</v>
      </c>
      <c r="AA1480" s="21">
        <f>IF(X1480&gt;$B$8+$B$9,0,ABS(X1480-O1480)/X1480)</f>
        <v>0</v>
      </c>
      <c r="AB1480">
        <f>IF(OR(Z1477&lt;&gt;Z1483,X1480&gt;$B$8+$B$9),0,((X1483-X1477)/(W1483-W1477)-(O1483-O1477)/(W1483-W1477))^2)</f>
        <v>0</v>
      </c>
    </row>
    <row r="1481" spans="7:28" x14ac:dyDescent="0.2">
      <c r="G1481" s="21"/>
      <c r="H1481" s="21">
        <v>1366</v>
      </c>
      <c r="I1481">
        <f t="shared" si="244"/>
        <v>0.1</v>
      </c>
      <c r="J1481">
        <f t="shared" si="245"/>
        <v>0.32536526106514241</v>
      </c>
      <c r="K1481">
        <f t="shared" si="239"/>
        <v>22.5</v>
      </c>
      <c r="L1481">
        <f>0.5*Z1481*K1481/J1481/$B$7</f>
        <v>51.864787115737606</v>
      </c>
      <c r="M1481">
        <f t="shared" si="242"/>
        <v>1.1228068475325188</v>
      </c>
      <c r="N1481" s="21">
        <f t="shared" si="246"/>
        <v>6.0243143390091812E-2</v>
      </c>
      <c r="O1481" s="21">
        <f t="shared" si="247"/>
        <v>32.107454937217291</v>
      </c>
      <c r="P1481">
        <f t="shared" si="243"/>
        <v>1</v>
      </c>
      <c r="Q1481">
        <f t="shared" si="240"/>
        <v>0.32536526106514241</v>
      </c>
      <c r="R1481">
        <f t="shared" si="241"/>
        <v>0.32536526106514241</v>
      </c>
      <c r="T1481" s="21">
        <f>(M1481-M1480)/(H1481-H1480)</f>
        <v>0</v>
      </c>
      <c r="W1481">
        <v>1366</v>
      </c>
      <c r="X1481">
        <v>28.122440999999998</v>
      </c>
      <c r="Y1481">
        <v>1.5</v>
      </c>
      <c r="Z1481">
        <f t="shared" si="238"/>
        <v>1.5</v>
      </c>
      <c r="AA1481" s="21">
        <f>IF(X1481&gt;$B$8+$B$9,0,ABS(X1481-O1481)/X1481)</f>
        <v>0</v>
      </c>
      <c r="AB1481">
        <f>IF(OR(Z1478&lt;&gt;Z1484,X1481&gt;$B$8+$B$9),0,((X1484-X1478)/(W1484-W1478)-(O1484-O1478)/(W1484-W1478))^2)</f>
        <v>0</v>
      </c>
    </row>
    <row r="1482" spans="7:28" x14ac:dyDescent="0.2">
      <c r="G1482" s="21"/>
      <c r="H1482" s="21">
        <v>1367</v>
      </c>
      <c r="I1482">
        <f t="shared" si="244"/>
        <v>0.1</v>
      </c>
      <c r="J1482">
        <f t="shared" si="245"/>
        <v>0.32536526106514241</v>
      </c>
      <c r="K1482">
        <f t="shared" si="239"/>
        <v>22.5</v>
      </c>
      <c r="L1482">
        <f>0.5*Z1482*K1482/J1482/$B$7</f>
        <v>51.864787115737606</v>
      </c>
      <c r="M1482">
        <f t="shared" si="242"/>
        <v>1.1228068475325188</v>
      </c>
      <c r="N1482" s="21">
        <f t="shared" si="246"/>
        <v>5.9924270823214797E-2</v>
      </c>
      <c r="O1482" s="21">
        <f t="shared" si="247"/>
        <v>32.207454937217292</v>
      </c>
      <c r="P1482">
        <f t="shared" si="243"/>
        <v>1</v>
      </c>
      <c r="Q1482">
        <f t="shared" si="240"/>
        <v>0.32536526106514241</v>
      </c>
      <c r="R1482">
        <f t="shared" si="241"/>
        <v>0.32536526106514241</v>
      </c>
      <c r="T1482" s="21">
        <f>(M1482-M1481)/(H1482-H1481)</f>
        <v>0</v>
      </c>
      <c r="W1482">
        <v>1367</v>
      </c>
      <c r="X1482">
        <v>28.177604999999996</v>
      </c>
      <c r="Y1482">
        <v>1.5</v>
      </c>
      <c r="Z1482">
        <f t="shared" si="238"/>
        <v>1.5</v>
      </c>
      <c r="AA1482" s="21">
        <f>IF(X1482&gt;$B$8+$B$9,0,ABS(X1482-O1482)/X1482)</f>
        <v>0</v>
      </c>
      <c r="AB1482">
        <f>IF(OR(Z1479&lt;&gt;Z1485,X1482&gt;$B$8+$B$9),0,((X1485-X1479)/(W1485-W1479)-(O1485-O1479)/(W1485-W1479))^2)</f>
        <v>0</v>
      </c>
    </row>
    <row r="1483" spans="7:28" x14ac:dyDescent="0.2">
      <c r="G1483" s="21"/>
      <c r="H1483" s="21">
        <v>1368</v>
      </c>
      <c r="I1483">
        <f t="shared" si="244"/>
        <v>0.1</v>
      </c>
      <c r="J1483">
        <f t="shared" si="245"/>
        <v>0.32536526106514241</v>
      </c>
      <c r="K1483">
        <f t="shared" si="239"/>
        <v>22.5</v>
      </c>
      <c r="L1483">
        <f>0.5*Z1483*K1483/J1483/$B$7</f>
        <v>51.864787115737606</v>
      </c>
      <c r="M1483">
        <f t="shared" si="242"/>
        <v>1.1228068475325188</v>
      </c>
      <c r="N1483" s="21">
        <f t="shared" si="246"/>
        <v>5.9605398256337774E-2</v>
      </c>
      <c r="O1483" s="21">
        <f t="shared" si="247"/>
        <v>32.307454937217294</v>
      </c>
      <c r="P1483">
        <f t="shared" si="243"/>
        <v>1</v>
      </c>
      <c r="Q1483">
        <f t="shared" si="240"/>
        <v>0.32536526106514241</v>
      </c>
      <c r="R1483">
        <f t="shared" si="241"/>
        <v>0.32536526106514241</v>
      </c>
      <c r="T1483" s="21">
        <f>(M1483-M1482)/(H1483-H1482)</f>
        <v>0</v>
      </c>
      <c r="W1483">
        <v>1368</v>
      </c>
      <c r="X1483">
        <v>28.231145999999999</v>
      </c>
      <c r="Y1483">
        <v>1.5</v>
      </c>
      <c r="Z1483">
        <f t="shared" si="238"/>
        <v>1.5</v>
      </c>
      <c r="AA1483" s="21">
        <f>IF(X1483&gt;$B$8+$B$9,0,ABS(X1483-O1483)/X1483)</f>
        <v>0</v>
      </c>
      <c r="AB1483">
        <f>IF(OR(Z1480&lt;&gt;Z1486,X1483&gt;$B$8+$B$9),0,((X1486-X1480)/(W1486-W1480)-(O1486-O1480)/(W1486-W1480))^2)</f>
        <v>0</v>
      </c>
    </row>
    <row r="1484" spans="7:28" x14ac:dyDescent="0.2">
      <c r="G1484" s="21"/>
      <c r="H1484" s="21">
        <v>1369</v>
      </c>
      <c r="I1484">
        <f t="shared" si="244"/>
        <v>0.1</v>
      </c>
      <c r="J1484">
        <f t="shared" si="245"/>
        <v>0.32536526106514241</v>
      </c>
      <c r="K1484">
        <f t="shared" si="239"/>
        <v>22.5</v>
      </c>
      <c r="L1484">
        <f>0.5*Z1484*K1484/J1484/$B$7</f>
        <v>51.864787115737606</v>
      </c>
      <c r="M1484">
        <f t="shared" si="242"/>
        <v>1.1228068475325188</v>
      </c>
      <c r="N1484" s="21">
        <f t="shared" si="246"/>
        <v>5.9286525689460759E-2</v>
      </c>
      <c r="O1484" s="21">
        <f t="shared" si="247"/>
        <v>32.407454937217295</v>
      </c>
      <c r="P1484">
        <f t="shared" si="243"/>
        <v>1</v>
      </c>
      <c r="Q1484">
        <f t="shared" si="240"/>
        <v>0.32536526106514241</v>
      </c>
      <c r="R1484">
        <f t="shared" si="241"/>
        <v>0.32536526106514241</v>
      </c>
      <c r="T1484" s="21">
        <f>(M1484-M1483)/(H1484-H1483)</f>
        <v>0</v>
      </c>
      <c r="W1484">
        <v>1369</v>
      </c>
      <c r="X1484">
        <v>28.278198</v>
      </c>
      <c r="Y1484">
        <v>1.5</v>
      </c>
      <c r="Z1484">
        <f t="shared" si="238"/>
        <v>1.5</v>
      </c>
      <c r="AA1484" s="21">
        <f>IF(X1484&gt;$B$8+$B$9,0,ABS(X1484-O1484)/X1484)</f>
        <v>0</v>
      </c>
      <c r="AB1484">
        <f>IF(OR(Z1481&lt;&gt;Z1487,X1484&gt;$B$8+$B$9),0,((X1487-X1481)/(W1487-W1481)-(O1487-O1481)/(W1487-W1481))^2)</f>
        <v>0</v>
      </c>
    </row>
    <row r="1485" spans="7:28" x14ac:dyDescent="0.2">
      <c r="G1485" s="21"/>
      <c r="H1485" s="21">
        <v>1370</v>
      </c>
      <c r="I1485">
        <f t="shared" si="244"/>
        <v>0.1</v>
      </c>
      <c r="J1485">
        <f t="shared" si="245"/>
        <v>0.32536526106514241</v>
      </c>
      <c r="K1485">
        <f t="shared" si="239"/>
        <v>22.5</v>
      </c>
      <c r="L1485">
        <f>0.5*Z1485*K1485/J1485/$B$7</f>
        <v>51.864787115737606</v>
      </c>
      <c r="M1485">
        <f t="shared" si="242"/>
        <v>1.1228068475325188</v>
      </c>
      <c r="N1485" s="21">
        <f t="shared" si="246"/>
        <v>5.8967653122583737E-2</v>
      </c>
      <c r="O1485" s="21">
        <f t="shared" si="247"/>
        <v>32.507454937217297</v>
      </c>
      <c r="P1485">
        <f t="shared" si="243"/>
        <v>1</v>
      </c>
      <c r="Q1485">
        <f t="shared" si="240"/>
        <v>0.32536526106514241</v>
      </c>
      <c r="R1485">
        <f t="shared" si="241"/>
        <v>0.32536526106514241</v>
      </c>
      <c r="T1485" s="21">
        <f>(M1485-M1484)/(H1485-H1484)</f>
        <v>0</v>
      </c>
      <c r="W1485">
        <v>1370</v>
      </c>
      <c r="X1485">
        <v>28.338229000000002</v>
      </c>
      <c r="Y1485">
        <v>1.5</v>
      </c>
      <c r="Z1485">
        <f t="shared" si="238"/>
        <v>1.5</v>
      </c>
      <c r="AA1485" s="21">
        <f>IF(X1485&gt;$B$8+$B$9,0,ABS(X1485-O1485)/X1485)</f>
        <v>0</v>
      </c>
      <c r="AB1485">
        <f>IF(OR(Z1482&lt;&gt;Z1488,X1485&gt;$B$8+$B$9),0,((X1488-X1482)/(W1488-W1482)-(O1488-O1482)/(W1488-W1482))^2)</f>
        <v>0</v>
      </c>
    </row>
    <row r="1486" spans="7:28" x14ac:dyDescent="0.2">
      <c r="G1486" s="21"/>
      <c r="H1486" s="21">
        <v>1371</v>
      </c>
      <c r="I1486">
        <f t="shared" si="244"/>
        <v>0.1</v>
      </c>
      <c r="J1486">
        <f t="shared" si="245"/>
        <v>0.32536526106514241</v>
      </c>
      <c r="K1486">
        <f t="shared" si="239"/>
        <v>22.5</v>
      </c>
      <c r="L1486">
        <f>0.5*Z1486*K1486/J1486/$B$7</f>
        <v>34.576524743825068</v>
      </c>
      <c r="M1486">
        <f t="shared" si="242"/>
        <v>1.1228068475325188</v>
      </c>
      <c r="N1486" s="21">
        <f t="shared" si="246"/>
        <v>5.8648780555706721E-2</v>
      </c>
      <c r="O1486" s="21">
        <f t="shared" si="247"/>
        <v>32.607454937217298</v>
      </c>
      <c r="P1486">
        <f t="shared" si="243"/>
        <v>1</v>
      </c>
      <c r="Q1486">
        <f t="shared" si="240"/>
        <v>0.32536526106514241</v>
      </c>
      <c r="R1486">
        <f t="shared" si="241"/>
        <v>0.32536526106514241</v>
      </c>
      <c r="T1486" s="21">
        <f>(M1486-M1485)/(H1486-H1485)</f>
        <v>0</v>
      </c>
      <c r="W1486">
        <v>1371</v>
      </c>
      <c r="X1486">
        <v>28.331739000000002</v>
      </c>
      <c r="Y1486">
        <v>1</v>
      </c>
      <c r="Z1486">
        <f t="shared" si="238"/>
        <v>1</v>
      </c>
      <c r="AA1486" s="21">
        <f>IF(X1486&gt;$B$8+$B$9,0,ABS(X1486-O1486)/X1486)</f>
        <v>0</v>
      </c>
      <c r="AB1486">
        <f>IF(OR(Z1483&lt;&gt;Z1489,X1486&gt;$B$8+$B$9),0,((X1489-X1483)/(W1489-W1483)-(O1489-O1483)/(W1489-W1483))^2)</f>
        <v>0</v>
      </c>
    </row>
    <row r="1487" spans="7:28" x14ac:dyDescent="0.2">
      <c r="G1487" s="21"/>
      <c r="H1487" s="21">
        <v>1372</v>
      </c>
      <c r="I1487">
        <f t="shared" si="244"/>
        <v>0.1</v>
      </c>
      <c r="J1487">
        <f t="shared" si="245"/>
        <v>0.32536526106514241</v>
      </c>
      <c r="K1487">
        <f t="shared" si="239"/>
        <v>22.5</v>
      </c>
      <c r="L1487">
        <f>0.5*Z1487*K1487/J1487/$B$7</f>
        <v>34.576524743825068</v>
      </c>
      <c r="M1487">
        <f t="shared" si="242"/>
        <v>1.1228068475325188</v>
      </c>
      <c r="N1487" s="21">
        <f t="shared" si="246"/>
        <v>5.8329907988829706E-2</v>
      </c>
      <c r="O1487" s="21">
        <f t="shared" si="247"/>
        <v>32.7074549372173</v>
      </c>
      <c r="P1487">
        <f t="shared" si="243"/>
        <v>1</v>
      </c>
      <c r="Q1487">
        <f t="shared" si="240"/>
        <v>0.32536526106514241</v>
      </c>
      <c r="R1487">
        <f t="shared" si="241"/>
        <v>0.32536526106514241</v>
      </c>
      <c r="T1487" s="21">
        <f>(M1487-M1486)/(H1487-H1486)</f>
        <v>0</v>
      </c>
      <c r="W1487">
        <v>1372</v>
      </c>
      <c r="X1487">
        <v>28.372299999999999</v>
      </c>
      <c r="Y1487">
        <v>1</v>
      </c>
      <c r="Z1487">
        <f t="shared" si="238"/>
        <v>1</v>
      </c>
      <c r="AA1487" s="21">
        <f>IF(X1487&gt;$B$8+$B$9,0,ABS(X1487-O1487)/X1487)</f>
        <v>0</v>
      </c>
      <c r="AB1487">
        <f>IF(OR(Z1484&lt;&gt;Z1490,X1487&gt;$B$8+$B$9),0,((X1490-X1484)/(W1490-W1484)-(O1490-O1484)/(W1490-W1484))^2)</f>
        <v>0</v>
      </c>
    </row>
    <row r="1488" spans="7:28" x14ac:dyDescent="0.2">
      <c r="G1488" s="21"/>
      <c r="H1488" s="21">
        <v>1373</v>
      </c>
      <c r="I1488">
        <f t="shared" si="244"/>
        <v>0.1</v>
      </c>
      <c r="J1488">
        <f t="shared" si="245"/>
        <v>0.32536526106514241</v>
      </c>
      <c r="K1488">
        <f t="shared" si="239"/>
        <v>22.5</v>
      </c>
      <c r="L1488">
        <f>0.5*Z1488*K1488/J1488/$B$7</f>
        <v>34.576524743825068</v>
      </c>
      <c r="M1488">
        <f t="shared" si="242"/>
        <v>1.1228068475325188</v>
      </c>
      <c r="N1488" s="21">
        <f t="shared" si="246"/>
        <v>5.8011035421952684E-2</v>
      </c>
      <c r="O1488" s="21">
        <f t="shared" si="247"/>
        <v>32.807454937217301</v>
      </c>
      <c r="P1488">
        <f t="shared" si="243"/>
        <v>1</v>
      </c>
      <c r="Q1488">
        <f t="shared" si="240"/>
        <v>0.32536526106514241</v>
      </c>
      <c r="R1488">
        <f t="shared" si="241"/>
        <v>0.32536526106514241</v>
      </c>
      <c r="T1488" s="21">
        <f>(M1488-M1487)/(H1488-H1487)</f>
        <v>0</v>
      </c>
      <c r="W1488">
        <v>1373</v>
      </c>
      <c r="X1488">
        <v>28.393392000000002</v>
      </c>
      <c r="Y1488">
        <v>1</v>
      </c>
      <c r="Z1488">
        <f t="shared" si="238"/>
        <v>1</v>
      </c>
      <c r="AA1488" s="21">
        <f>IF(X1488&gt;$B$8+$B$9,0,ABS(X1488-O1488)/X1488)</f>
        <v>0</v>
      </c>
      <c r="AB1488">
        <f>IF(OR(Z1485&lt;&gt;Z1491,X1488&gt;$B$8+$B$9),0,((X1491-X1485)/(W1491-W1485)-(O1491-O1485)/(W1491-W1485))^2)</f>
        <v>0</v>
      </c>
    </row>
    <row r="1489" spans="7:28" x14ac:dyDescent="0.2">
      <c r="G1489" s="21"/>
      <c r="H1489" s="21">
        <v>1374</v>
      </c>
      <c r="I1489">
        <f t="shared" si="244"/>
        <v>0.1</v>
      </c>
      <c r="J1489">
        <f t="shared" si="245"/>
        <v>0.32536526106514241</v>
      </c>
      <c r="K1489">
        <f t="shared" si="239"/>
        <v>22.5</v>
      </c>
      <c r="L1489">
        <f>0.5*Z1489*K1489/J1489/$B$7</f>
        <v>34.576524743825068</v>
      </c>
      <c r="M1489">
        <f t="shared" si="242"/>
        <v>1.1228068475325188</v>
      </c>
      <c r="N1489" s="21">
        <f t="shared" si="246"/>
        <v>5.7692162855075654E-2</v>
      </c>
      <c r="O1489" s="21">
        <f t="shared" si="247"/>
        <v>32.907454937217302</v>
      </c>
      <c r="P1489">
        <f t="shared" si="243"/>
        <v>1</v>
      </c>
      <c r="Q1489">
        <f t="shared" si="240"/>
        <v>0.32536526106514241</v>
      </c>
      <c r="R1489">
        <f t="shared" si="241"/>
        <v>0.32536526106514241</v>
      </c>
      <c r="T1489" s="21">
        <f>(M1489-M1488)/(H1489-H1488)</f>
        <v>0</v>
      </c>
      <c r="W1489">
        <v>1374</v>
      </c>
      <c r="X1489">
        <v>28.411238999999998</v>
      </c>
      <c r="Y1489">
        <v>1</v>
      </c>
      <c r="Z1489">
        <f t="shared" si="238"/>
        <v>1</v>
      </c>
      <c r="AA1489" s="21">
        <f>IF(X1489&gt;$B$8+$B$9,0,ABS(X1489-O1489)/X1489)</f>
        <v>0</v>
      </c>
      <c r="AB1489">
        <f>IF(OR(Z1486&lt;&gt;Z1492,X1489&gt;$B$8+$B$9),0,((X1492-X1486)/(W1492-W1486)-(O1492-O1486)/(W1492-W1486))^2)</f>
        <v>0</v>
      </c>
    </row>
    <row r="1490" spans="7:28" x14ac:dyDescent="0.2">
      <c r="G1490" s="21"/>
      <c r="H1490" s="21">
        <v>1375</v>
      </c>
      <c r="I1490">
        <f t="shared" si="244"/>
        <v>0.1</v>
      </c>
      <c r="J1490">
        <f t="shared" si="245"/>
        <v>0.32536526106514241</v>
      </c>
      <c r="K1490">
        <f t="shared" si="239"/>
        <v>22.5</v>
      </c>
      <c r="L1490">
        <f>0.5*Z1490*K1490/J1490/$B$7</f>
        <v>34.576524743825068</v>
      </c>
      <c r="M1490">
        <f t="shared" si="242"/>
        <v>1.1228068475325188</v>
      </c>
      <c r="N1490" s="21">
        <f t="shared" si="246"/>
        <v>5.7373290288198646E-2</v>
      </c>
      <c r="O1490" s="21">
        <f t="shared" si="247"/>
        <v>33.007454937217304</v>
      </c>
      <c r="P1490">
        <f t="shared" si="243"/>
        <v>1</v>
      </c>
      <c r="Q1490">
        <f t="shared" si="240"/>
        <v>0.32536526106514241</v>
      </c>
      <c r="R1490">
        <f t="shared" si="241"/>
        <v>0.32536526106514241</v>
      </c>
      <c r="T1490" s="21">
        <f>(M1490-M1489)/(H1490-H1489)</f>
        <v>0</v>
      </c>
      <c r="W1490">
        <v>1375</v>
      </c>
      <c r="X1490">
        <v>28.445311</v>
      </c>
      <c r="Y1490">
        <v>1</v>
      </c>
      <c r="Z1490">
        <f t="shared" si="238"/>
        <v>1</v>
      </c>
      <c r="AA1490" s="21">
        <f>IF(X1490&gt;$B$8+$B$9,0,ABS(X1490-O1490)/X1490)</f>
        <v>0</v>
      </c>
      <c r="AB1490">
        <f>IF(OR(Z1487&lt;&gt;Z1493,X1490&gt;$B$8+$B$9),0,((X1493-X1487)/(W1493-W1487)-(O1493-O1487)/(W1493-W1487))^2)</f>
        <v>0</v>
      </c>
    </row>
    <row r="1491" spans="7:28" x14ac:dyDescent="0.2">
      <c r="G1491" s="21"/>
      <c r="H1491" s="21">
        <v>1376</v>
      </c>
      <c r="I1491">
        <f t="shared" si="244"/>
        <v>0.1</v>
      </c>
      <c r="J1491">
        <f t="shared" si="245"/>
        <v>0.32536526106514241</v>
      </c>
      <c r="K1491">
        <f t="shared" si="239"/>
        <v>22.5</v>
      </c>
      <c r="L1491">
        <f>0.5*Z1491*K1491/J1491/$B$7</f>
        <v>34.576524743825068</v>
      </c>
      <c r="M1491">
        <f t="shared" si="242"/>
        <v>1.1228068475325188</v>
      </c>
      <c r="N1491" s="21">
        <f t="shared" si="246"/>
        <v>5.7054417721321631E-2</v>
      </c>
      <c r="O1491" s="21">
        <f t="shared" si="247"/>
        <v>33.107454937217305</v>
      </c>
      <c r="P1491">
        <f t="shared" si="243"/>
        <v>1</v>
      </c>
      <c r="Q1491">
        <f t="shared" si="240"/>
        <v>0.32536526106514241</v>
      </c>
      <c r="R1491">
        <f t="shared" si="241"/>
        <v>0.32536526106514241</v>
      </c>
      <c r="T1491" s="21">
        <f>(M1491-M1490)/(H1491-H1490)</f>
        <v>0</v>
      </c>
      <c r="W1491">
        <v>1376</v>
      </c>
      <c r="X1491">
        <v>28.476138000000002</v>
      </c>
      <c r="Y1491">
        <v>1</v>
      </c>
      <c r="Z1491">
        <f t="shared" si="238"/>
        <v>1</v>
      </c>
      <c r="AA1491" s="21">
        <f>IF(X1491&gt;$B$8+$B$9,0,ABS(X1491-O1491)/X1491)</f>
        <v>0</v>
      </c>
      <c r="AB1491">
        <f>IF(OR(Z1488&lt;&gt;Z1494,X1491&gt;$B$8+$B$9),0,((X1494-X1488)/(W1494-W1488)-(O1494-O1488)/(W1494-W1488))^2)</f>
        <v>0</v>
      </c>
    </row>
    <row r="1492" spans="7:28" x14ac:dyDescent="0.2">
      <c r="G1492" s="21"/>
      <c r="H1492" s="21">
        <v>1377</v>
      </c>
      <c r="I1492">
        <f t="shared" si="244"/>
        <v>0.1</v>
      </c>
      <c r="J1492">
        <f t="shared" si="245"/>
        <v>0.32536526106514241</v>
      </c>
      <c r="K1492">
        <f t="shared" si="239"/>
        <v>22.5</v>
      </c>
      <c r="L1492">
        <f>0.5*Z1492*K1492/J1492/$B$7</f>
        <v>34.576524743825068</v>
      </c>
      <c r="M1492">
        <f t="shared" si="242"/>
        <v>1.1228068475325188</v>
      </c>
      <c r="N1492" s="21">
        <f t="shared" si="246"/>
        <v>5.6735545154444615E-2</v>
      </c>
      <c r="O1492" s="21">
        <f t="shared" si="247"/>
        <v>33.207454937217307</v>
      </c>
      <c r="P1492">
        <f t="shared" si="243"/>
        <v>1</v>
      </c>
      <c r="Q1492">
        <f t="shared" si="240"/>
        <v>0.32536526106514241</v>
      </c>
      <c r="R1492">
        <f t="shared" si="241"/>
        <v>0.32536526106514241</v>
      </c>
      <c r="T1492" s="21">
        <f>(M1492-M1491)/(H1492-H1491)</f>
        <v>0</v>
      </c>
      <c r="W1492">
        <v>1377</v>
      </c>
      <c r="X1492">
        <v>28.492361999999996</v>
      </c>
      <c r="Y1492">
        <v>1</v>
      </c>
      <c r="Z1492">
        <f t="shared" si="238"/>
        <v>1</v>
      </c>
      <c r="AA1492" s="21">
        <f>IF(X1492&gt;$B$8+$B$9,0,ABS(X1492-O1492)/X1492)</f>
        <v>0</v>
      </c>
      <c r="AB1492">
        <f>IF(OR(Z1489&lt;&gt;Z1495,X1492&gt;$B$8+$B$9),0,((X1495-X1489)/(W1495-W1489)-(O1495-O1489)/(W1495-W1489))^2)</f>
        <v>0</v>
      </c>
    </row>
    <row r="1493" spans="7:28" x14ac:dyDescent="0.2">
      <c r="G1493" s="21"/>
      <c r="H1493" s="21">
        <v>1378</v>
      </c>
      <c r="I1493">
        <f t="shared" si="244"/>
        <v>0.1</v>
      </c>
      <c r="J1493">
        <f t="shared" si="245"/>
        <v>0.32536526106514241</v>
      </c>
      <c r="K1493">
        <f t="shared" si="239"/>
        <v>22.5</v>
      </c>
      <c r="L1493">
        <f>0.5*Z1493*K1493/J1493/$B$7</f>
        <v>34.576524743825068</v>
      </c>
      <c r="M1493">
        <f t="shared" si="242"/>
        <v>1.1228068475325188</v>
      </c>
      <c r="N1493" s="21">
        <f t="shared" si="246"/>
        <v>5.6416672587567593E-2</v>
      </c>
      <c r="O1493" s="21">
        <f t="shared" si="247"/>
        <v>33.307454937217308</v>
      </c>
      <c r="P1493">
        <f t="shared" si="243"/>
        <v>1</v>
      </c>
      <c r="Q1493">
        <f t="shared" si="240"/>
        <v>0.32536526106514241</v>
      </c>
      <c r="R1493">
        <f t="shared" si="241"/>
        <v>0.32536526106514241</v>
      </c>
      <c r="T1493" s="21">
        <f>(M1493-M1492)/(H1493-H1492)</f>
        <v>0</v>
      </c>
      <c r="W1493">
        <v>1378</v>
      </c>
      <c r="X1493">
        <v>28.518322000000001</v>
      </c>
      <c r="Y1493">
        <v>1</v>
      </c>
      <c r="Z1493">
        <f t="shared" si="238"/>
        <v>1</v>
      </c>
      <c r="AA1493" s="21">
        <f>IF(X1493&gt;$B$8+$B$9,0,ABS(X1493-O1493)/X1493)</f>
        <v>0</v>
      </c>
      <c r="AB1493">
        <f>IF(OR(Z1490&lt;&gt;Z1496,X1493&gt;$B$8+$B$9),0,((X1496-X1490)/(W1496-W1490)-(O1496-O1490)/(W1496-W1490))^2)</f>
        <v>0</v>
      </c>
    </row>
    <row r="1494" spans="7:28" x14ac:dyDescent="0.2">
      <c r="G1494" s="21"/>
      <c r="H1494" s="21">
        <v>1379</v>
      </c>
      <c r="I1494">
        <f t="shared" si="244"/>
        <v>0.1</v>
      </c>
      <c r="J1494">
        <f t="shared" si="245"/>
        <v>0.32536526106514241</v>
      </c>
      <c r="K1494">
        <f t="shared" si="239"/>
        <v>22.5</v>
      </c>
      <c r="L1494">
        <f>0.5*Z1494*K1494/J1494/$B$7</f>
        <v>34.576524743825068</v>
      </c>
      <c r="M1494">
        <f t="shared" si="242"/>
        <v>1.1228068475325188</v>
      </c>
      <c r="N1494" s="21">
        <f t="shared" si="246"/>
        <v>5.6097800020690564E-2</v>
      </c>
      <c r="O1494" s="21">
        <f t="shared" si="247"/>
        <v>33.40745493721731</v>
      </c>
      <c r="P1494">
        <f t="shared" si="243"/>
        <v>1</v>
      </c>
      <c r="Q1494">
        <f t="shared" si="240"/>
        <v>0.32536526106514241</v>
      </c>
      <c r="R1494">
        <f t="shared" si="241"/>
        <v>0.32536526106514241</v>
      </c>
      <c r="T1494" s="21">
        <f>(M1494-M1493)/(H1494-H1493)</f>
        <v>0</v>
      </c>
      <c r="W1494">
        <v>1379</v>
      </c>
      <c r="X1494">
        <v>28.536168999999997</v>
      </c>
      <c r="Y1494">
        <v>1</v>
      </c>
      <c r="Z1494">
        <f t="shared" si="238"/>
        <v>1</v>
      </c>
      <c r="AA1494" s="21">
        <f>IF(X1494&gt;$B$8+$B$9,0,ABS(X1494-O1494)/X1494)</f>
        <v>0</v>
      </c>
      <c r="AB1494">
        <f>IF(OR(Z1491&lt;&gt;Z1497,X1494&gt;$B$8+$B$9),0,((X1497-X1491)/(W1497-W1491)-(O1497-O1491)/(W1497-W1491))^2)</f>
        <v>0</v>
      </c>
    </row>
    <row r="1495" spans="7:28" x14ac:dyDescent="0.2">
      <c r="G1495" s="21"/>
      <c r="H1495" s="21">
        <v>1380</v>
      </c>
      <c r="I1495">
        <f t="shared" si="244"/>
        <v>0.1</v>
      </c>
      <c r="J1495">
        <f t="shared" si="245"/>
        <v>0.32536526106514241</v>
      </c>
      <c r="K1495">
        <f t="shared" si="239"/>
        <v>22.5</v>
      </c>
      <c r="L1495">
        <f>0.5*Z1495*K1495/J1495/$B$7</f>
        <v>34.576524743825068</v>
      </c>
      <c r="M1495">
        <f t="shared" si="242"/>
        <v>1.1228068475325188</v>
      </c>
      <c r="N1495" s="21">
        <f t="shared" si="246"/>
        <v>5.5778927453813555E-2</v>
      </c>
      <c r="O1495" s="21">
        <f t="shared" si="247"/>
        <v>33.507454937217311</v>
      </c>
      <c r="P1495">
        <f t="shared" si="243"/>
        <v>1</v>
      </c>
      <c r="Q1495">
        <f t="shared" si="240"/>
        <v>0.32536526106514241</v>
      </c>
      <c r="R1495">
        <f t="shared" si="241"/>
        <v>0.32536526106514241</v>
      </c>
      <c r="T1495" s="21">
        <f>(M1495-M1494)/(H1495-H1494)</f>
        <v>0</v>
      </c>
      <c r="W1495">
        <v>1380</v>
      </c>
      <c r="X1495">
        <v>28.566995000000002</v>
      </c>
      <c r="Y1495">
        <v>1</v>
      </c>
      <c r="Z1495">
        <f t="shared" si="238"/>
        <v>1</v>
      </c>
      <c r="AA1495" s="21">
        <f>IF(X1495&gt;$B$8+$B$9,0,ABS(X1495-O1495)/X1495)</f>
        <v>0</v>
      </c>
      <c r="AB1495">
        <f>IF(OR(Z1492&lt;&gt;Z1498,X1495&gt;$B$8+$B$9),0,((X1498-X1492)/(W1498-W1492)-(O1498-O1492)/(W1498-W1492))^2)</f>
        <v>0</v>
      </c>
    </row>
    <row r="1496" spans="7:28" x14ac:dyDescent="0.2">
      <c r="G1496" s="21"/>
      <c r="H1496" s="21">
        <v>1381</v>
      </c>
      <c r="I1496">
        <f t="shared" si="244"/>
        <v>0.1</v>
      </c>
      <c r="J1496">
        <f t="shared" si="245"/>
        <v>0.32536526106514241</v>
      </c>
      <c r="K1496">
        <f t="shared" si="239"/>
        <v>22.5</v>
      </c>
      <c r="L1496">
        <f>0.5*Z1496*K1496/J1496/$B$7</f>
        <v>34.576524743825068</v>
      </c>
      <c r="M1496">
        <f t="shared" si="242"/>
        <v>1.1228068475325188</v>
      </c>
      <c r="N1496" s="21">
        <f t="shared" si="246"/>
        <v>5.546005488693654E-2</v>
      </c>
      <c r="O1496" s="21">
        <f t="shared" si="247"/>
        <v>33.607454937217312</v>
      </c>
      <c r="P1496">
        <f t="shared" si="243"/>
        <v>1</v>
      </c>
      <c r="Q1496">
        <f t="shared" si="240"/>
        <v>0.32536526106514241</v>
      </c>
      <c r="R1496">
        <f t="shared" si="241"/>
        <v>0.32536526106514241</v>
      </c>
      <c r="T1496" s="21">
        <f>(M1496-M1495)/(H1496-H1495)</f>
        <v>0</v>
      </c>
      <c r="W1496">
        <v>1381</v>
      </c>
      <c r="X1496">
        <v>28.581597999999996</v>
      </c>
      <c r="Y1496">
        <v>1</v>
      </c>
      <c r="Z1496">
        <f t="shared" si="238"/>
        <v>1</v>
      </c>
      <c r="AA1496" s="21">
        <f>IF(X1496&gt;$B$8+$B$9,0,ABS(X1496-O1496)/X1496)</f>
        <v>0</v>
      </c>
      <c r="AB1496">
        <f>IF(OR(Z1493&lt;&gt;Z1499,X1496&gt;$B$8+$B$9),0,((X1499-X1493)/(W1499-W1493)-(O1499-O1493)/(W1499-W1493))^2)</f>
        <v>0</v>
      </c>
    </row>
    <row r="1497" spans="7:28" x14ac:dyDescent="0.2">
      <c r="G1497" s="21"/>
      <c r="H1497" s="21">
        <v>1382</v>
      </c>
      <c r="I1497">
        <f t="shared" si="244"/>
        <v>0.1</v>
      </c>
      <c r="J1497">
        <f t="shared" si="245"/>
        <v>0.32536526106514241</v>
      </c>
      <c r="K1497">
        <f t="shared" si="239"/>
        <v>22.5</v>
      </c>
      <c r="L1497">
        <f>0.5*Z1497*K1497/J1497/$B$7</f>
        <v>34.576524743825068</v>
      </c>
      <c r="M1497">
        <f t="shared" si="242"/>
        <v>1.1228068475325188</v>
      </c>
      <c r="N1497" s="21">
        <f t="shared" si="246"/>
        <v>5.5141182320059511E-2</v>
      </c>
      <c r="O1497" s="21">
        <f t="shared" si="247"/>
        <v>33.707454937217314</v>
      </c>
      <c r="P1497">
        <f t="shared" si="243"/>
        <v>1</v>
      </c>
      <c r="Q1497">
        <f t="shared" si="240"/>
        <v>0.32536526106514241</v>
      </c>
      <c r="R1497">
        <f t="shared" si="241"/>
        <v>0.32536526106514241</v>
      </c>
      <c r="T1497" s="21">
        <f>(M1497-M1496)/(H1497-H1496)</f>
        <v>0</v>
      </c>
      <c r="W1497">
        <v>1382</v>
      </c>
      <c r="X1497">
        <v>28.605934000000001</v>
      </c>
      <c r="Y1497">
        <v>1</v>
      </c>
      <c r="Z1497">
        <f t="shared" si="238"/>
        <v>1</v>
      </c>
      <c r="AA1497" s="21">
        <f>IF(X1497&gt;$B$8+$B$9,0,ABS(X1497-O1497)/X1497)</f>
        <v>0</v>
      </c>
      <c r="AB1497">
        <f>IF(OR(Z1494&lt;&gt;Z1500,X1497&gt;$B$8+$B$9),0,((X1500-X1494)/(W1500-W1494)-(O1500-O1494)/(W1500-W1494))^2)</f>
        <v>0</v>
      </c>
    </row>
    <row r="1498" spans="7:28" x14ac:dyDescent="0.2">
      <c r="G1498" s="21"/>
      <c r="H1498" s="21">
        <v>1383</v>
      </c>
      <c r="I1498">
        <f t="shared" si="244"/>
        <v>0.1</v>
      </c>
      <c r="J1498">
        <f t="shared" si="245"/>
        <v>0.32536526106514241</v>
      </c>
      <c r="K1498">
        <f t="shared" si="239"/>
        <v>22.5</v>
      </c>
      <c r="L1498">
        <f>0.5*Z1498*K1498/J1498/$B$7</f>
        <v>34.576524743825068</v>
      </c>
      <c r="M1498">
        <f t="shared" si="242"/>
        <v>1.1228068475325188</v>
      </c>
      <c r="N1498" s="21">
        <f t="shared" si="246"/>
        <v>5.4822309753182502E-2</v>
      </c>
      <c r="O1498" s="21">
        <f t="shared" si="247"/>
        <v>33.807454937217315</v>
      </c>
      <c r="P1498">
        <f t="shared" si="243"/>
        <v>1</v>
      </c>
      <c r="Q1498">
        <f t="shared" si="240"/>
        <v>0.32536526106514241</v>
      </c>
      <c r="R1498">
        <f t="shared" si="241"/>
        <v>0.32536526106514241</v>
      </c>
      <c r="T1498" s="21">
        <f>(M1498-M1497)/(H1498-H1497)</f>
        <v>0</v>
      </c>
      <c r="W1498">
        <v>1383</v>
      </c>
      <c r="X1498">
        <v>28.636760999999996</v>
      </c>
      <c r="Y1498">
        <v>1</v>
      </c>
      <c r="Z1498">
        <f t="shared" si="238"/>
        <v>1</v>
      </c>
      <c r="AA1498" s="21">
        <f>IF(X1498&gt;$B$8+$B$9,0,ABS(X1498-O1498)/X1498)</f>
        <v>0</v>
      </c>
      <c r="AB1498">
        <f>IF(OR(Z1495&lt;&gt;Z1501,X1498&gt;$B$8+$B$9),0,((X1501-X1495)/(W1501-W1495)-(O1501-O1495)/(W1501-W1495))^2)</f>
        <v>0</v>
      </c>
    </row>
    <row r="1499" spans="7:28" x14ac:dyDescent="0.2">
      <c r="G1499" s="21"/>
      <c r="H1499" s="21">
        <v>1384</v>
      </c>
      <c r="I1499">
        <f t="shared" si="244"/>
        <v>0.1</v>
      </c>
      <c r="J1499">
        <f t="shared" si="245"/>
        <v>0.32536526106514241</v>
      </c>
      <c r="K1499">
        <f t="shared" si="239"/>
        <v>22.5</v>
      </c>
      <c r="L1499">
        <f>0.5*Z1499*K1499/J1499/$B$7</f>
        <v>34.576524743825068</v>
      </c>
      <c r="M1499">
        <f t="shared" si="242"/>
        <v>1.1228068475325188</v>
      </c>
      <c r="N1499" s="21">
        <f t="shared" si="246"/>
        <v>5.4503437186305473E-2</v>
      </c>
      <c r="O1499" s="21">
        <f t="shared" si="247"/>
        <v>33.907454937217317</v>
      </c>
      <c r="P1499">
        <f t="shared" si="243"/>
        <v>1</v>
      </c>
      <c r="Q1499">
        <f t="shared" si="240"/>
        <v>0.32536526106514241</v>
      </c>
      <c r="R1499">
        <f t="shared" si="241"/>
        <v>0.32536526106514241</v>
      </c>
      <c r="T1499" s="21">
        <f>(M1499-M1498)/(H1499-H1498)</f>
        <v>0</v>
      </c>
      <c r="W1499">
        <v>1384</v>
      </c>
      <c r="X1499">
        <v>28.661097999999999</v>
      </c>
      <c r="Y1499">
        <v>1</v>
      </c>
      <c r="Z1499">
        <f t="shared" si="238"/>
        <v>1</v>
      </c>
      <c r="AA1499" s="21">
        <f>IF(X1499&gt;$B$8+$B$9,0,ABS(X1499-O1499)/X1499)</f>
        <v>0</v>
      </c>
      <c r="AB1499">
        <f>IF(OR(Z1496&lt;&gt;Z1502,X1499&gt;$B$8+$B$9),0,((X1502-X1496)/(W1502-W1496)-(O1502-O1496)/(W1502-W1496))^2)</f>
        <v>0</v>
      </c>
    </row>
    <row r="1500" spans="7:28" x14ac:dyDescent="0.2">
      <c r="G1500" s="21"/>
      <c r="H1500" s="21">
        <v>1385</v>
      </c>
      <c r="I1500">
        <f t="shared" si="244"/>
        <v>0.1</v>
      </c>
      <c r="J1500">
        <f t="shared" si="245"/>
        <v>0.32536526106514241</v>
      </c>
      <c r="K1500">
        <f t="shared" si="239"/>
        <v>22.5</v>
      </c>
      <c r="L1500">
        <f>0.5*Z1500*K1500/J1500/$B$7</f>
        <v>34.576524743825068</v>
      </c>
      <c r="M1500">
        <f t="shared" si="242"/>
        <v>1.1228068475325188</v>
      </c>
      <c r="N1500" s="21">
        <f t="shared" si="246"/>
        <v>5.4184564619428457E-2</v>
      </c>
      <c r="O1500" s="21">
        <f t="shared" si="247"/>
        <v>34.007454937217318</v>
      </c>
      <c r="P1500">
        <f t="shared" si="243"/>
        <v>1</v>
      </c>
      <c r="Q1500">
        <f t="shared" si="240"/>
        <v>0.32536526106514241</v>
      </c>
      <c r="R1500">
        <f t="shared" si="241"/>
        <v>0.32536526106514241</v>
      </c>
      <c r="T1500" s="21">
        <f>(M1500-M1499)/(H1500-H1499)</f>
        <v>0</v>
      </c>
      <c r="W1500">
        <v>1385</v>
      </c>
      <c r="X1500">
        <v>28.688680000000002</v>
      </c>
      <c r="Y1500">
        <v>1</v>
      </c>
      <c r="Z1500">
        <f t="shared" si="238"/>
        <v>1</v>
      </c>
      <c r="AA1500" s="21">
        <f>IF(X1500&gt;$B$8+$B$9,0,ABS(X1500-O1500)/X1500)</f>
        <v>0</v>
      </c>
      <c r="AB1500">
        <f>IF(OR(Z1497&lt;&gt;Z1503,X1500&gt;$B$8+$B$9),0,((X1503-X1497)/(W1503-W1497)-(O1503-O1497)/(W1503-W1497))^2)</f>
        <v>0</v>
      </c>
    </row>
    <row r="1501" spans="7:28" x14ac:dyDescent="0.2">
      <c r="G1501" s="21"/>
      <c r="H1501" s="21">
        <v>1386</v>
      </c>
      <c r="I1501">
        <f t="shared" si="244"/>
        <v>0.1</v>
      </c>
      <c r="J1501">
        <f t="shared" si="245"/>
        <v>0.32536526106514241</v>
      </c>
      <c r="K1501">
        <f t="shared" si="239"/>
        <v>22.5</v>
      </c>
      <c r="L1501">
        <f>0.5*Z1501*K1501/J1501/$B$7</f>
        <v>34.576524743825068</v>
      </c>
      <c r="M1501">
        <f t="shared" si="242"/>
        <v>1.1228068475325188</v>
      </c>
      <c r="N1501" s="21">
        <f t="shared" si="246"/>
        <v>5.3865692052551435E-2</v>
      </c>
      <c r="O1501" s="21">
        <f t="shared" si="247"/>
        <v>34.107454937217319</v>
      </c>
      <c r="P1501">
        <f t="shared" si="243"/>
        <v>1</v>
      </c>
      <c r="Q1501">
        <f t="shared" si="240"/>
        <v>0.32536526106514241</v>
      </c>
      <c r="R1501">
        <f t="shared" si="241"/>
        <v>0.32536526106514241</v>
      </c>
      <c r="T1501" s="21">
        <f>(M1501-M1500)/(H1501-H1500)</f>
        <v>0</v>
      </c>
      <c r="W1501">
        <v>1386</v>
      </c>
      <c r="X1501">
        <v>28.708149000000002</v>
      </c>
      <c r="Y1501">
        <v>1</v>
      </c>
      <c r="Z1501">
        <f t="shared" si="238"/>
        <v>1</v>
      </c>
      <c r="AA1501" s="21">
        <f>IF(X1501&gt;$B$8+$B$9,0,ABS(X1501-O1501)/X1501)</f>
        <v>0</v>
      </c>
      <c r="AB1501">
        <f>IF(OR(Z1498&lt;&gt;Z1504,X1501&gt;$B$8+$B$9),0,((X1504-X1498)/(W1504-W1498)-(O1504-O1498)/(W1504-W1498))^2)</f>
        <v>0</v>
      </c>
    </row>
    <row r="1502" spans="7:28" x14ac:dyDescent="0.2">
      <c r="G1502" s="21"/>
      <c r="H1502" s="21">
        <v>1387</v>
      </c>
      <c r="I1502">
        <f t="shared" si="244"/>
        <v>0.1</v>
      </c>
      <c r="J1502">
        <f t="shared" si="245"/>
        <v>0.32536526106514241</v>
      </c>
      <c r="K1502">
        <f t="shared" si="239"/>
        <v>22.5</v>
      </c>
      <c r="L1502">
        <f>0.5*Z1502*K1502/J1502/$B$7</f>
        <v>34.576524743825068</v>
      </c>
      <c r="M1502">
        <f t="shared" si="242"/>
        <v>1.1228068475325188</v>
      </c>
      <c r="N1502" s="21">
        <f t="shared" si="246"/>
        <v>5.354681948567442E-2</v>
      </c>
      <c r="O1502" s="21">
        <f t="shared" si="247"/>
        <v>34.207454937217321</v>
      </c>
      <c r="P1502">
        <f t="shared" si="243"/>
        <v>1</v>
      </c>
      <c r="Q1502">
        <f t="shared" si="240"/>
        <v>0.32536526106514241</v>
      </c>
      <c r="R1502">
        <f t="shared" si="241"/>
        <v>0.32536526106514241</v>
      </c>
      <c r="T1502" s="21">
        <f>(M1502-M1501)/(H1502-H1501)</f>
        <v>0</v>
      </c>
      <c r="W1502">
        <v>1387</v>
      </c>
      <c r="X1502">
        <v>28.734109</v>
      </c>
      <c r="Y1502">
        <v>1</v>
      </c>
      <c r="Z1502">
        <f t="shared" si="238"/>
        <v>1</v>
      </c>
      <c r="AA1502" s="21">
        <f>IF(X1502&gt;$B$8+$B$9,0,ABS(X1502-O1502)/X1502)</f>
        <v>0</v>
      </c>
      <c r="AB1502">
        <f>IF(OR(Z1499&lt;&gt;Z1505,X1502&gt;$B$8+$B$9),0,((X1505-X1499)/(W1505-W1499)-(O1505-O1499)/(W1505-W1499))^2)</f>
        <v>0</v>
      </c>
    </row>
    <row r="1503" spans="7:28" x14ac:dyDescent="0.2">
      <c r="G1503" s="21"/>
      <c r="H1503" s="21">
        <v>1388</v>
      </c>
      <c r="I1503">
        <f t="shared" si="244"/>
        <v>0.1</v>
      </c>
      <c r="J1503">
        <f t="shared" si="245"/>
        <v>0.32536526106514241</v>
      </c>
      <c r="K1503">
        <f t="shared" si="239"/>
        <v>22.5</v>
      </c>
      <c r="L1503">
        <f>0.5*Z1503*K1503/J1503/$B$7</f>
        <v>34.576524743825068</v>
      </c>
      <c r="M1503">
        <f t="shared" si="242"/>
        <v>1.1228068475325188</v>
      </c>
      <c r="N1503" s="21">
        <f t="shared" si="246"/>
        <v>5.3227946918797404E-2</v>
      </c>
      <c r="O1503" s="21">
        <f t="shared" si="247"/>
        <v>34.307454937217322</v>
      </c>
      <c r="P1503">
        <f t="shared" si="243"/>
        <v>1</v>
      </c>
      <c r="Q1503">
        <f t="shared" si="240"/>
        <v>0.32536526106514241</v>
      </c>
      <c r="R1503">
        <f t="shared" si="241"/>
        <v>0.32536526106514241</v>
      </c>
      <c r="T1503" s="21">
        <f>(M1503-M1502)/(H1503-H1502)</f>
        <v>0</v>
      </c>
      <c r="W1503">
        <v>1388</v>
      </c>
      <c r="X1503">
        <v>28.758446000000003</v>
      </c>
      <c r="Y1503">
        <v>1</v>
      </c>
      <c r="Z1503">
        <f t="shared" si="238"/>
        <v>1</v>
      </c>
      <c r="AA1503" s="21">
        <f>IF(X1503&gt;$B$8+$B$9,0,ABS(X1503-O1503)/X1503)</f>
        <v>0</v>
      </c>
      <c r="AB1503">
        <f>IF(OR(Z1500&lt;&gt;Z1506,X1503&gt;$B$8+$B$9),0,((X1506-X1500)/(W1506-W1500)-(O1506-O1500)/(W1506-W1500))^2)</f>
        <v>0</v>
      </c>
    </row>
    <row r="1504" spans="7:28" x14ac:dyDescent="0.2">
      <c r="G1504" s="21"/>
      <c r="H1504" s="21">
        <v>1389</v>
      </c>
      <c r="I1504">
        <f t="shared" si="244"/>
        <v>0.1</v>
      </c>
      <c r="J1504">
        <f t="shared" si="245"/>
        <v>0.32536526106514241</v>
      </c>
      <c r="K1504">
        <f t="shared" si="239"/>
        <v>22.5</v>
      </c>
      <c r="L1504">
        <f>0.5*Z1504*K1504/J1504/$B$7</f>
        <v>34.576524743825068</v>
      </c>
      <c r="M1504">
        <f t="shared" si="242"/>
        <v>1.1228068475325188</v>
      </c>
      <c r="N1504" s="21">
        <f t="shared" si="246"/>
        <v>5.2909074351920396E-2</v>
      </c>
      <c r="O1504" s="21">
        <f t="shared" si="247"/>
        <v>34.407454937217324</v>
      </c>
      <c r="P1504">
        <f t="shared" si="243"/>
        <v>1</v>
      </c>
      <c r="Q1504">
        <f t="shared" si="240"/>
        <v>0.32536526106514241</v>
      </c>
      <c r="R1504">
        <f t="shared" si="241"/>
        <v>0.32536526106514241</v>
      </c>
      <c r="T1504" s="21">
        <f>(M1504-M1503)/(H1504-H1503)</f>
        <v>0</v>
      </c>
      <c r="W1504">
        <v>1389</v>
      </c>
      <c r="X1504">
        <v>28.786027999999998</v>
      </c>
      <c r="Y1504">
        <v>1</v>
      </c>
      <c r="Z1504">
        <f t="shared" si="238"/>
        <v>1</v>
      </c>
      <c r="AA1504" s="21">
        <f>IF(X1504&gt;$B$8+$B$9,0,ABS(X1504-O1504)/X1504)</f>
        <v>0</v>
      </c>
      <c r="AB1504">
        <f>IF(OR(Z1501&lt;&gt;Z1507,X1504&gt;$B$8+$B$9),0,((X1507-X1501)/(W1507-W1501)-(O1507-O1501)/(W1507-W1501))^2)</f>
        <v>0</v>
      </c>
    </row>
    <row r="1505" spans="7:28" x14ac:dyDescent="0.2">
      <c r="G1505" s="21"/>
      <c r="H1505" s="21">
        <v>1390</v>
      </c>
      <c r="I1505">
        <f t="shared" si="244"/>
        <v>0.1</v>
      </c>
      <c r="J1505">
        <f t="shared" si="245"/>
        <v>0.32536526106514241</v>
      </c>
      <c r="K1505">
        <f t="shared" si="239"/>
        <v>22.5</v>
      </c>
      <c r="L1505">
        <f>0.5*Z1505*K1505/J1505/$B$7</f>
        <v>34.576524743825068</v>
      </c>
      <c r="M1505">
        <f t="shared" si="242"/>
        <v>1.1228068475325188</v>
      </c>
      <c r="N1505" s="21">
        <f t="shared" si="246"/>
        <v>5.2590201785043367E-2</v>
      </c>
      <c r="O1505" s="21">
        <f t="shared" si="247"/>
        <v>34.507454937217325</v>
      </c>
      <c r="P1505">
        <f t="shared" si="243"/>
        <v>1</v>
      </c>
      <c r="Q1505">
        <f t="shared" si="240"/>
        <v>0.32536526106514241</v>
      </c>
      <c r="R1505">
        <f t="shared" si="241"/>
        <v>0.32536526106514241</v>
      </c>
      <c r="T1505" s="21">
        <f>(M1505-M1504)/(H1505-H1504)</f>
        <v>0</v>
      </c>
      <c r="W1505">
        <v>1390</v>
      </c>
      <c r="X1505">
        <v>28.799007</v>
      </c>
      <c r="Y1505">
        <v>1</v>
      </c>
      <c r="Z1505">
        <f t="shared" si="238"/>
        <v>1</v>
      </c>
      <c r="AA1505" s="21">
        <f>IF(X1505&gt;$B$8+$B$9,0,ABS(X1505-O1505)/X1505)</f>
        <v>0</v>
      </c>
      <c r="AB1505">
        <f>IF(OR(Z1502&lt;&gt;Z1508,X1505&gt;$B$8+$B$9),0,((X1508-X1502)/(W1508-W1502)-(O1508-O1502)/(W1508-W1502))^2)</f>
        <v>0</v>
      </c>
    </row>
    <row r="1506" spans="7:28" x14ac:dyDescent="0.2">
      <c r="G1506" s="21"/>
      <c r="H1506" s="21">
        <v>1391</v>
      </c>
      <c r="I1506">
        <f t="shared" si="244"/>
        <v>0.1</v>
      </c>
      <c r="J1506">
        <f t="shared" si="245"/>
        <v>0.32536526106514241</v>
      </c>
      <c r="K1506">
        <f t="shared" si="239"/>
        <v>22.5</v>
      </c>
      <c r="L1506">
        <f>0.5*Z1506*K1506/J1506/$B$7</f>
        <v>34.576524743825068</v>
      </c>
      <c r="M1506">
        <f t="shared" si="242"/>
        <v>1.1228068475325188</v>
      </c>
      <c r="N1506" s="21">
        <f t="shared" si="246"/>
        <v>5.2271329218166344E-2</v>
      </c>
      <c r="O1506" s="21">
        <f t="shared" si="247"/>
        <v>34.607454937217327</v>
      </c>
      <c r="P1506">
        <f t="shared" si="243"/>
        <v>1</v>
      </c>
      <c r="Q1506">
        <f t="shared" si="240"/>
        <v>0.32536526106514241</v>
      </c>
      <c r="R1506">
        <f t="shared" si="241"/>
        <v>0.32536526106514241</v>
      </c>
      <c r="T1506" s="21">
        <f>(M1506-M1505)/(H1506-H1505)</f>
        <v>0</v>
      </c>
      <c r="W1506">
        <v>1391</v>
      </c>
      <c r="X1506">
        <v>28.834700999999999</v>
      </c>
      <c r="Y1506">
        <v>1</v>
      </c>
      <c r="Z1506">
        <f t="shared" si="238"/>
        <v>1</v>
      </c>
      <c r="AA1506" s="21">
        <f>IF(X1506&gt;$B$8+$B$9,0,ABS(X1506-O1506)/X1506)</f>
        <v>0</v>
      </c>
      <c r="AB1506">
        <f>IF(OR(Z1503&lt;&gt;Z1509,X1506&gt;$B$8+$B$9),0,((X1509-X1503)/(W1509-W1503)-(O1509-O1503)/(W1509-W1503))^2)</f>
        <v>0</v>
      </c>
    </row>
    <row r="1507" spans="7:28" x14ac:dyDescent="0.2">
      <c r="G1507" s="21"/>
      <c r="H1507" s="21">
        <v>1392</v>
      </c>
      <c r="I1507">
        <f t="shared" si="244"/>
        <v>0.1</v>
      </c>
      <c r="J1507">
        <f t="shared" si="245"/>
        <v>0.32536526106514241</v>
      </c>
      <c r="K1507">
        <f t="shared" si="239"/>
        <v>22.5</v>
      </c>
      <c r="L1507">
        <f>0.5*Z1507*K1507/J1507/$B$7</f>
        <v>34.576524743825068</v>
      </c>
      <c r="M1507">
        <f t="shared" si="242"/>
        <v>1.1228068475325188</v>
      </c>
      <c r="N1507" s="21">
        <f t="shared" si="246"/>
        <v>5.1952456651289329E-2</v>
      </c>
      <c r="O1507" s="21">
        <f t="shared" si="247"/>
        <v>34.707454937217328</v>
      </c>
      <c r="P1507">
        <f t="shared" si="243"/>
        <v>1</v>
      </c>
      <c r="Q1507">
        <f t="shared" si="240"/>
        <v>0.32536526106514241</v>
      </c>
      <c r="R1507">
        <f t="shared" si="241"/>
        <v>0.32536526106514241</v>
      </c>
      <c r="T1507" s="21">
        <f>(M1507-M1506)/(H1507-H1506)</f>
        <v>0</v>
      </c>
      <c r="W1507">
        <v>1392</v>
      </c>
      <c r="X1507">
        <v>28.854170999999997</v>
      </c>
      <c r="Y1507">
        <v>1</v>
      </c>
      <c r="Z1507">
        <f t="shared" si="238"/>
        <v>1</v>
      </c>
      <c r="AA1507" s="21">
        <f>IF(X1507&gt;$B$8+$B$9,0,ABS(X1507-O1507)/X1507)</f>
        <v>0</v>
      </c>
      <c r="AB1507">
        <f>IF(OR(Z1504&lt;&gt;Z1510,X1507&gt;$B$8+$B$9),0,((X1510-X1504)/(W1510-W1504)-(O1510-O1504)/(W1510-W1504))^2)</f>
        <v>0</v>
      </c>
    </row>
    <row r="1508" spans="7:28" x14ac:dyDescent="0.2">
      <c r="G1508" s="21"/>
      <c r="H1508" s="21">
        <v>1393</v>
      </c>
      <c r="I1508">
        <f t="shared" si="244"/>
        <v>0.1</v>
      </c>
      <c r="J1508">
        <f t="shared" si="245"/>
        <v>0.32536526106514241</v>
      </c>
      <c r="K1508">
        <f t="shared" si="239"/>
        <v>22.5</v>
      </c>
      <c r="L1508">
        <f>0.5*Z1508*K1508/J1508/$B$7</f>
        <v>34.576524743825068</v>
      </c>
      <c r="M1508">
        <f t="shared" si="242"/>
        <v>1.1228068475325188</v>
      </c>
      <c r="N1508" s="21">
        <f t="shared" si="246"/>
        <v>5.1633584084412314E-2</v>
      </c>
      <c r="O1508" s="21">
        <f t="shared" si="247"/>
        <v>34.807454937217329</v>
      </c>
      <c r="P1508">
        <f t="shared" si="243"/>
        <v>1</v>
      </c>
      <c r="Q1508">
        <f t="shared" si="240"/>
        <v>0.32536526106514241</v>
      </c>
      <c r="R1508">
        <f t="shared" si="241"/>
        <v>0.32536526106514241</v>
      </c>
      <c r="T1508" s="21">
        <f>(M1508-M1507)/(H1508-H1507)</f>
        <v>0</v>
      </c>
      <c r="W1508">
        <v>1393</v>
      </c>
      <c r="X1508">
        <v>28.881753</v>
      </c>
      <c r="Y1508">
        <v>1</v>
      </c>
      <c r="Z1508">
        <f t="shared" si="238"/>
        <v>1</v>
      </c>
      <c r="AA1508" s="21">
        <f>IF(X1508&gt;$B$8+$B$9,0,ABS(X1508-O1508)/X1508)</f>
        <v>0</v>
      </c>
      <c r="AB1508">
        <f>IF(OR(Z1505&lt;&gt;Z1511,X1508&gt;$B$8+$B$9),0,((X1511-X1505)/(W1511-W1505)-(O1511-O1505)/(W1511-W1505))^2)</f>
        <v>0</v>
      </c>
    </row>
    <row r="1509" spans="7:28" x14ac:dyDescent="0.2">
      <c r="G1509" s="21"/>
      <c r="H1509" s="21">
        <v>1394</v>
      </c>
      <c r="I1509">
        <f t="shared" si="244"/>
        <v>0.1</v>
      </c>
      <c r="J1509">
        <f t="shared" si="245"/>
        <v>0.32536526106514241</v>
      </c>
      <c r="K1509">
        <f t="shared" si="239"/>
        <v>22.5</v>
      </c>
      <c r="L1509">
        <f>0.5*Z1509*K1509/J1509/$B$7</f>
        <v>34.576524743825068</v>
      </c>
      <c r="M1509">
        <f t="shared" si="242"/>
        <v>1.1228068475325188</v>
      </c>
      <c r="N1509" s="21">
        <f t="shared" si="246"/>
        <v>5.1314711517535291E-2</v>
      </c>
      <c r="O1509" s="21">
        <f t="shared" si="247"/>
        <v>34.907454937217331</v>
      </c>
      <c r="P1509">
        <f t="shared" si="243"/>
        <v>1</v>
      </c>
      <c r="Q1509">
        <f t="shared" si="240"/>
        <v>0.32536526106514241</v>
      </c>
      <c r="R1509">
        <f t="shared" si="241"/>
        <v>0.32536526106514241</v>
      </c>
      <c r="T1509" s="21">
        <f>(M1509-M1508)/(H1509-H1508)</f>
        <v>0</v>
      </c>
      <c r="W1509">
        <v>1394</v>
      </c>
      <c r="X1509">
        <v>28.906090000000003</v>
      </c>
      <c r="Y1509">
        <v>1</v>
      </c>
      <c r="Z1509">
        <f t="shared" si="238"/>
        <v>1</v>
      </c>
      <c r="AA1509" s="21">
        <f>IF(X1509&gt;$B$8+$B$9,0,ABS(X1509-O1509)/X1509)</f>
        <v>0</v>
      </c>
      <c r="AB1509">
        <f>IF(OR(Z1506&lt;&gt;Z1512,X1509&gt;$B$8+$B$9),0,((X1512-X1506)/(W1512-W1506)-(O1512-O1506)/(W1512-W1506))^2)</f>
        <v>0</v>
      </c>
    </row>
    <row r="1510" spans="7:28" x14ac:dyDescent="0.2">
      <c r="G1510" s="21"/>
      <c r="H1510" s="21">
        <v>1395</v>
      </c>
      <c r="I1510">
        <f t="shared" si="244"/>
        <v>0.1</v>
      </c>
      <c r="J1510">
        <f t="shared" si="245"/>
        <v>0.32536526106514241</v>
      </c>
      <c r="K1510">
        <f t="shared" si="239"/>
        <v>22.5</v>
      </c>
      <c r="L1510">
        <f>0.5*Z1510*K1510/J1510/$B$7</f>
        <v>34.576524743825068</v>
      </c>
      <c r="M1510">
        <f t="shared" si="242"/>
        <v>1.1228068475325188</v>
      </c>
      <c r="N1510" s="21">
        <f t="shared" si="246"/>
        <v>5.0995838950658276E-2</v>
      </c>
      <c r="O1510" s="21">
        <f t="shared" si="247"/>
        <v>35.007454937217332</v>
      </c>
      <c r="P1510">
        <f t="shared" si="243"/>
        <v>1</v>
      </c>
      <c r="Q1510">
        <f t="shared" si="240"/>
        <v>0.32536526106514241</v>
      </c>
      <c r="R1510">
        <f t="shared" si="241"/>
        <v>0.32536526106514241</v>
      </c>
      <c r="T1510" s="21">
        <f>(M1510-M1509)/(H1510-H1509)</f>
        <v>0</v>
      </c>
      <c r="W1510">
        <v>1395</v>
      </c>
      <c r="X1510">
        <v>28.932049000000003</v>
      </c>
      <c r="Y1510">
        <v>1</v>
      </c>
      <c r="Z1510">
        <f t="shared" si="238"/>
        <v>1</v>
      </c>
      <c r="AA1510" s="21">
        <f>IF(X1510&gt;$B$8+$B$9,0,ABS(X1510-O1510)/X1510)</f>
        <v>0</v>
      </c>
      <c r="AB1510">
        <f>IF(OR(Z1507&lt;&gt;Z1513,X1510&gt;$B$8+$B$9),0,((X1513-X1507)/(W1513-W1507)-(O1513-O1507)/(W1513-W1507))^2)</f>
        <v>0</v>
      </c>
    </row>
    <row r="1511" spans="7:28" x14ac:dyDescent="0.2">
      <c r="G1511" s="21"/>
      <c r="H1511" s="21">
        <v>1396</v>
      </c>
      <c r="I1511">
        <f t="shared" si="244"/>
        <v>0.1</v>
      </c>
      <c r="J1511">
        <f t="shared" si="245"/>
        <v>0.32536526106514241</v>
      </c>
      <c r="K1511">
        <f t="shared" si="239"/>
        <v>22.5</v>
      </c>
      <c r="L1511">
        <f>0.5*Z1511*K1511/J1511/$B$7</f>
        <v>34.576524743825068</v>
      </c>
      <c r="M1511">
        <f t="shared" si="242"/>
        <v>1.1228068475325188</v>
      </c>
      <c r="N1511" s="21">
        <f t="shared" si="246"/>
        <v>5.0676966383781254E-2</v>
      </c>
      <c r="O1511" s="21">
        <f t="shared" si="247"/>
        <v>35.107454937217334</v>
      </c>
      <c r="P1511">
        <f t="shared" si="243"/>
        <v>1</v>
      </c>
      <c r="Q1511">
        <f t="shared" si="240"/>
        <v>0.32536526106514241</v>
      </c>
      <c r="R1511">
        <f t="shared" si="241"/>
        <v>0.32536526106514241</v>
      </c>
      <c r="T1511" s="21">
        <f>(M1511-M1510)/(H1511-H1510)</f>
        <v>0</v>
      </c>
      <c r="W1511">
        <v>1396</v>
      </c>
      <c r="X1511">
        <v>28.954762999999996</v>
      </c>
      <c r="Y1511">
        <v>1</v>
      </c>
      <c r="Z1511">
        <f t="shared" si="238"/>
        <v>1</v>
      </c>
      <c r="AA1511" s="21">
        <f>IF(X1511&gt;$B$8+$B$9,0,ABS(X1511-O1511)/X1511)</f>
        <v>0</v>
      </c>
      <c r="AB1511">
        <f>IF(OR(Z1508&lt;&gt;Z1514,X1511&gt;$B$8+$B$9),0,((X1514-X1508)/(W1514-W1508)-(O1514-O1508)/(W1514-W1508))^2)</f>
        <v>0</v>
      </c>
    </row>
    <row r="1512" spans="7:28" x14ac:dyDescent="0.2">
      <c r="G1512" s="21"/>
      <c r="H1512" s="21">
        <v>1397</v>
      </c>
      <c r="I1512">
        <f t="shared" si="244"/>
        <v>0.1</v>
      </c>
      <c r="J1512">
        <f t="shared" si="245"/>
        <v>0.32536526106514241</v>
      </c>
      <c r="K1512">
        <f t="shared" si="239"/>
        <v>22.5</v>
      </c>
      <c r="L1512">
        <f>0.5*Z1512*K1512/J1512/$B$7</f>
        <v>34.576524743825068</v>
      </c>
      <c r="M1512">
        <f t="shared" si="242"/>
        <v>1.1228068475325188</v>
      </c>
      <c r="N1512" s="21">
        <f t="shared" si="246"/>
        <v>5.0358093816904238E-2</v>
      </c>
      <c r="O1512" s="21">
        <f t="shared" si="247"/>
        <v>35.207454937217335</v>
      </c>
      <c r="P1512">
        <f t="shared" si="243"/>
        <v>1</v>
      </c>
      <c r="Q1512">
        <f t="shared" si="240"/>
        <v>0.32536526106514241</v>
      </c>
      <c r="R1512">
        <f t="shared" si="241"/>
        <v>0.32536526106514241</v>
      </c>
      <c r="T1512" s="21">
        <f>(M1512-M1511)/(H1512-H1511)</f>
        <v>0</v>
      </c>
      <c r="W1512">
        <v>1397</v>
      </c>
      <c r="X1512">
        <v>28.985589999999998</v>
      </c>
      <c r="Y1512">
        <v>1</v>
      </c>
      <c r="Z1512">
        <f t="shared" si="238"/>
        <v>1</v>
      </c>
      <c r="AA1512" s="21">
        <f>IF(X1512&gt;$B$8+$B$9,0,ABS(X1512-O1512)/X1512)</f>
        <v>0</v>
      </c>
      <c r="AB1512">
        <f>IF(OR(Z1509&lt;&gt;Z1515,X1512&gt;$B$8+$B$9),0,((X1515-X1509)/(W1515-W1509)-(O1515-O1509)/(W1515-W1509))^2)</f>
        <v>0</v>
      </c>
    </row>
    <row r="1513" spans="7:28" x14ac:dyDescent="0.2">
      <c r="G1513" s="21"/>
      <c r="H1513" s="21">
        <v>1398</v>
      </c>
      <c r="I1513">
        <f t="shared" si="244"/>
        <v>0.1</v>
      </c>
      <c r="J1513">
        <f t="shared" si="245"/>
        <v>0.32536526106514241</v>
      </c>
      <c r="K1513">
        <f t="shared" si="239"/>
        <v>22.5</v>
      </c>
      <c r="L1513">
        <f>0.5*Z1513*K1513/J1513/$B$7</f>
        <v>34.576524743825068</v>
      </c>
      <c r="M1513">
        <f t="shared" si="242"/>
        <v>1.1228068475325188</v>
      </c>
      <c r="N1513" s="21">
        <f t="shared" si="246"/>
        <v>5.0039221250027216E-2</v>
      </c>
      <c r="O1513" s="21">
        <f t="shared" si="247"/>
        <v>35.307454937217337</v>
      </c>
      <c r="P1513">
        <f t="shared" si="243"/>
        <v>1</v>
      </c>
      <c r="Q1513">
        <f t="shared" si="240"/>
        <v>0.32536526106514241</v>
      </c>
      <c r="R1513">
        <f t="shared" si="241"/>
        <v>0.32536526106514241</v>
      </c>
      <c r="T1513" s="21">
        <f>(M1513-M1512)/(H1513-H1512)</f>
        <v>0</v>
      </c>
      <c r="W1513">
        <v>1398</v>
      </c>
      <c r="X1513">
        <v>28.996947000000002</v>
      </c>
      <c r="Y1513">
        <v>1</v>
      </c>
      <c r="Z1513">
        <f t="shared" si="238"/>
        <v>1</v>
      </c>
      <c r="AA1513" s="21">
        <f>IF(X1513&gt;$B$8+$B$9,0,ABS(X1513-O1513)/X1513)</f>
        <v>0</v>
      </c>
      <c r="AB1513">
        <f>IF(OR(Z1510&lt;&gt;Z1516,X1513&gt;$B$8+$B$9),0,((X1516-X1510)/(W1516-W1510)-(O1516-O1510)/(W1516-W1510))^2)</f>
        <v>0</v>
      </c>
    </row>
    <row r="1514" spans="7:28" x14ac:dyDescent="0.2">
      <c r="G1514" s="21"/>
      <c r="H1514" s="21">
        <v>1399</v>
      </c>
      <c r="I1514">
        <f t="shared" si="244"/>
        <v>0.1</v>
      </c>
      <c r="J1514">
        <f t="shared" si="245"/>
        <v>0.32536526106514241</v>
      </c>
      <c r="K1514">
        <f t="shared" si="239"/>
        <v>22.5</v>
      </c>
      <c r="L1514">
        <f>0.5*Z1514*K1514/J1514/$B$7</f>
        <v>34.576524743825068</v>
      </c>
      <c r="M1514">
        <f t="shared" si="242"/>
        <v>1.1228068475325188</v>
      </c>
      <c r="N1514" s="21">
        <f t="shared" si="246"/>
        <v>4.9720348683150201E-2</v>
      </c>
      <c r="O1514" s="21">
        <f t="shared" si="247"/>
        <v>35.407454937217338</v>
      </c>
      <c r="P1514">
        <f t="shared" si="243"/>
        <v>1</v>
      </c>
      <c r="Q1514">
        <f t="shared" si="240"/>
        <v>0.32536526106514241</v>
      </c>
      <c r="R1514">
        <f t="shared" si="241"/>
        <v>0.32536526106514241</v>
      </c>
      <c r="T1514" s="21">
        <f>(M1514-M1513)/(H1514-H1513)</f>
        <v>0</v>
      </c>
      <c r="W1514">
        <v>1399</v>
      </c>
      <c r="X1514">
        <v>29.027773999999997</v>
      </c>
      <c r="Y1514">
        <v>1</v>
      </c>
      <c r="Z1514">
        <f t="shared" si="238"/>
        <v>1</v>
      </c>
      <c r="AA1514" s="21">
        <f>IF(X1514&gt;$B$8+$B$9,0,ABS(X1514-O1514)/X1514)</f>
        <v>0</v>
      </c>
      <c r="AB1514">
        <f>IF(OR(Z1511&lt;&gt;Z1517,X1514&gt;$B$8+$B$9),0,((X1517-X1511)/(W1517-W1511)-(O1517-O1511)/(W1517-W1511))^2)</f>
        <v>0</v>
      </c>
    </row>
    <row r="1515" spans="7:28" x14ac:dyDescent="0.2">
      <c r="G1515" s="21"/>
      <c r="H1515" s="21">
        <v>1400</v>
      </c>
      <c r="I1515">
        <f t="shared" si="244"/>
        <v>0.1</v>
      </c>
      <c r="J1515">
        <f t="shared" si="245"/>
        <v>0.32536526106514241</v>
      </c>
      <c r="K1515">
        <f t="shared" si="239"/>
        <v>22.5</v>
      </c>
      <c r="L1515">
        <f>0.5*Z1515*K1515/J1515/$B$7</f>
        <v>34.576524743825068</v>
      </c>
      <c r="M1515">
        <f t="shared" si="242"/>
        <v>1.1228068475325188</v>
      </c>
      <c r="N1515" s="21">
        <f t="shared" si="246"/>
        <v>4.9401476116273185E-2</v>
      </c>
      <c r="O1515" s="21">
        <f t="shared" si="247"/>
        <v>35.507454937217339</v>
      </c>
      <c r="P1515">
        <f t="shared" si="243"/>
        <v>1</v>
      </c>
      <c r="Q1515">
        <f t="shared" si="240"/>
        <v>0.32536526106514241</v>
      </c>
      <c r="R1515">
        <f t="shared" si="241"/>
        <v>0.32536526106514241</v>
      </c>
      <c r="T1515" s="21">
        <f>(M1515-M1514)/(H1515-H1514)</f>
        <v>0</v>
      </c>
      <c r="W1515">
        <v>1400</v>
      </c>
      <c r="X1515">
        <v>29.045621000000001</v>
      </c>
      <c r="Y1515">
        <v>1</v>
      </c>
      <c r="Z1515">
        <f t="shared" si="238"/>
        <v>1</v>
      </c>
      <c r="AA1515" s="21">
        <f>IF(X1515&gt;$B$8+$B$9,0,ABS(X1515-O1515)/X1515)</f>
        <v>0</v>
      </c>
      <c r="AB1515">
        <f>IF(OR(Z1512&lt;&gt;Z1518,X1515&gt;$B$8+$B$9),0,((X1518-X1512)/(W1518-W1512)-(O1518-O1512)/(W1518-W1512))^2)</f>
        <v>0</v>
      </c>
    </row>
    <row r="1516" spans="7:28" x14ac:dyDescent="0.2">
      <c r="G1516" s="21"/>
      <c r="H1516" s="21">
        <v>1401</v>
      </c>
      <c r="I1516">
        <f t="shared" si="244"/>
        <v>0.1</v>
      </c>
      <c r="J1516">
        <f t="shared" si="245"/>
        <v>0.32536526106514241</v>
      </c>
      <c r="K1516">
        <f t="shared" si="239"/>
        <v>22.5</v>
      </c>
      <c r="L1516">
        <f>0.5*Z1516*K1516/J1516/$B$7</f>
        <v>34.576524743825068</v>
      </c>
      <c r="M1516">
        <f t="shared" si="242"/>
        <v>1.1228068475325188</v>
      </c>
      <c r="N1516" s="21">
        <f t="shared" si="246"/>
        <v>4.9082603549396163E-2</v>
      </c>
      <c r="O1516" s="21">
        <f t="shared" si="247"/>
        <v>35.607454937217341</v>
      </c>
      <c r="P1516">
        <f t="shared" si="243"/>
        <v>1</v>
      </c>
      <c r="Q1516">
        <f t="shared" si="240"/>
        <v>0.32536526106514241</v>
      </c>
      <c r="R1516">
        <f t="shared" si="241"/>
        <v>0.32536526106514241</v>
      </c>
      <c r="T1516" s="21">
        <f>(M1516-M1515)/(H1516-H1515)</f>
        <v>0</v>
      </c>
      <c r="W1516">
        <v>1401</v>
      </c>
      <c r="X1516">
        <v>29.076448000000003</v>
      </c>
      <c r="Y1516">
        <v>1</v>
      </c>
      <c r="Z1516">
        <f t="shared" si="238"/>
        <v>1</v>
      </c>
      <c r="AA1516" s="21">
        <f>IF(X1516&gt;$B$8+$B$9,0,ABS(X1516-O1516)/X1516)</f>
        <v>0</v>
      </c>
      <c r="AB1516">
        <f>IF(OR(Z1513&lt;&gt;Z1519,X1516&gt;$B$8+$B$9),0,((X1519-X1513)/(W1519-W1513)-(O1519-O1513)/(W1519-W1513))^2)</f>
        <v>0</v>
      </c>
    </row>
    <row r="1517" spans="7:28" x14ac:dyDescent="0.2">
      <c r="G1517" s="21"/>
      <c r="H1517" s="21">
        <v>1402</v>
      </c>
      <c r="I1517">
        <f t="shared" si="244"/>
        <v>0.1</v>
      </c>
      <c r="J1517">
        <f t="shared" si="245"/>
        <v>0.32536526106514241</v>
      </c>
      <c r="K1517">
        <f t="shared" si="239"/>
        <v>22.5</v>
      </c>
      <c r="L1517">
        <f>0.5*Z1517*K1517/J1517/$B$7</f>
        <v>34.576524743825068</v>
      </c>
      <c r="M1517">
        <f t="shared" si="242"/>
        <v>1.1228068475325188</v>
      </c>
      <c r="N1517" s="21">
        <f t="shared" si="246"/>
        <v>4.8763730982519134E-2</v>
      </c>
      <c r="O1517" s="21">
        <f t="shared" si="247"/>
        <v>35.707454937217342</v>
      </c>
      <c r="P1517">
        <f t="shared" si="243"/>
        <v>1</v>
      </c>
      <c r="Q1517">
        <f t="shared" si="240"/>
        <v>0.32536526106514241</v>
      </c>
      <c r="R1517">
        <f t="shared" si="241"/>
        <v>0.32536526106514241</v>
      </c>
      <c r="T1517" s="21">
        <f>(M1517-M1516)/(H1517-H1516)</f>
        <v>0</v>
      </c>
      <c r="W1517">
        <v>1402</v>
      </c>
      <c r="X1517">
        <v>29.095916999999996</v>
      </c>
      <c r="Y1517">
        <v>1</v>
      </c>
      <c r="Z1517">
        <f t="shared" si="238"/>
        <v>1</v>
      </c>
      <c r="AA1517" s="21">
        <f>IF(X1517&gt;$B$8+$B$9,0,ABS(X1517-O1517)/X1517)</f>
        <v>0</v>
      </c>
      <c r="AB1517">
        <f>IF(OR(Z1514&lt;&gt;Z1520,X1517&gt;$B$8+$B$9),0,((X1520-X1514)/(W1520-W1514)-(O1520-O1514)/(W1520-W1514))^2)</f>
        <v>0</v>
      </c>
    </row>
    <row r="1518" spans="7:28" x14ac:dyDescent="0.2">
      <c r="G1518" s="21"/>
      <c r="H1518" s="21">
        <v>1403</v>
      </c>
      <c r="I1518">
        <f t="shared" si="244"/>
        <v>0.1</v>
      </c>
      <c r="J1518">
        <f t="shared" si="245"/>
        <v>0.32536526106514241</v>
      </c>
      <c r="K1518">
        <f t="shared" si="239"/>
        <v>22.5</v>
      </c>
      <c r="L1518">
        <f>0.5*Z1518*K1518/J1518/$B$7</f>
        <v>34.576524743825068</v>
      </c>
      <c r="M1518">
        <f t="shared" si="242"/>
        <v>1.1228068475325188</v>
      </c>
      <c r="N1518" s="21">
        <f t="shared" si="246"/>
        <v>4.8444858415642118E-2</v>
      </c>
      <c r="O1518" s="21">
        <f t="shared" si="247"/>
        <v>35.807454937217344</v>
      </c>
      <c r="P1518">
        <f t="shared" si="243"/>
        <v>1</v>
      </c>
      <c r="Q1518">
        <f t="shared" si="240"/>
        <v>0.32536526106514241</v>
      </c>
      <c r="R1518">
        <f t="shared" si="241"/>
        <v>0.32536526106514241</v>
      </c>
      <c r="T1518" s="21">
        <f>(M1518-M1517)/(H1518-H1517)</f>
        <v>0</v>
      </c>
      <c r="W1518">
        <v>1403</v>
      </c>
      <c r="X1518">
        <v>29.133233999999998</v>
      </c>
      <c r="Y1518">
        <v>1</v>
      </c>
      <c r="Z1518">
        <f t="shared" si="238"/>
        <v>1</v>
      </c>
      <c r="AA1518" s="21">
        <f>IF(X1518&gt;$B$8+$B$9,0,ABS(X1518-O1518)/X1518)</f>
        <v>0</v>
      </c>
      <c r="AB1518">
        <f>IF(OR(Z1515&lt;&gt;Z1521,X1518&gt;$B$8+$B$9),0,((X1521-X1515)/(W1521-W1515)-(O1521-O1515)/(W1521-W1515))^2)</f>
        <v>0</v>
      </c>
    </row>
    <row r="1519" spans="7:28" x14ac:dyDescent="0.2">
      <c r="G1519" s="21"/>
      <c r="H1519" s="21">
        <v>1404</v>
      </c>
      <c r="I1519">
        <f t="shared" si="244"/>
        <v>0.1</v>
      </c>
      <c r="J1519">
        <f t="shared" si="245"/>
        <v>0.32536526106514241</v>
      </c>
      <c r="K1519">
        <f t="shared" si="239"/>
        <v>22.5</v>
      </c>
      <c r="L1519">
        <f>0.5*Z1519*K1519/J1519/$B$7</f>
        <v>34.576524743825068</v>
      </c>
      <c r="M1519">
        <f t="shared" si="242"/>
        <v>1.1228068475325188</v>
      </c>
      <c r="N1519" s="21">
        <f t="shared" si="246"/>
        <v>4.812598584876511E-2</v>
      </c>
      <c r="O1519" s="21">
        <f t="shared" si="247"/>
        <v>35.907454937217345</v>
      </c>
      <c r="P1519">
        <f t="shared" si="243"/>
        <v>1</v>
      </c>
      <c r="Q1519">
        <f t="shared" si="240"/>
        <v>0.32536526106514241</v>
      </c>
      <c r="R1519">
        <f t="shared" si="241"/>
        <v>0.32536526106514241</v>
      </c>
      <c r="T1519" s="21">
        <f>(M1519-M1518)/(H1519-H1518)</f>
        <v>0</v>
      </c>
      <c r="W1519">
        <v>1404</v>
      </c>
      <c r="X1519">
        <v>29.146213999999997</v>
      </c>
      <c r="Y1519">
        <v>1</v>
      </c>
      <c r="Z1519">
        <f t="shared" si="238"/>
        <v>1</v>
      </c>
      <c r="AA1519" s="21">
        <f>IF(X1519&gt;$B$8+$B$9,0,ABS(X1519-O1519)/X1519)</f>
        <v>0</v>
      </c>
      <c r="AB1519">
        <f>IF(OR(Z1516&lt;&gt;Z1522,X1519&gt;$B$8+$B$9),0,((X1522-X1516)/(W1522-W1516)-(O1522-O1516)/(W1522-W1516))^2)</f>
        <v>0</v>
      </c>
    </row>
    <row r="1520" spans="7:28" x14ac:dyDescent="0.2">
      <c r="G1520" s="21"/>
      <c r="H1520" s="21">
        <v>1405</v>
      </c>
      <c r="I1520">
        <f t="shared" si="244"/>
        <v>0.1</v>
      </c>
      <c r="J1520">
        <f t="shared" si="245"/>
        <v>0.32536526106514241</v>
      </c>
      <c r="K1520">
        <f t="shared" si="239"/>
        <v>22.5</v>
      </c>
      <c r="L1520">
        <f>0.5*Z1520*K1520/J1520/$B$7</f>
        <v>34.576524743825068</v>
      </c>
      <c r="M1520">
        <f t="shared" si="242"/>
        <v>1.1228068475325188</v>
      </c>
      <c r="N1520" s="21">
        <f t="shared" si="246"/>
        <v>4.7807113281888088E-2</v>
      </c>
      <c r="O1520" s="21">
        <f t="shared" si="247"/>
        <v>36.007454937217346</v>
      </c>
      <c r="P1520">
        <f t="shared" si="243"/>
        <v>1</v>
      </c>
      <c r="Q1520">
        <f t="shared" si="240"/>
        <v>0.32536526106514241</v>
      </c>
      <c r="R1520">
        <f t="shared" si="241"/>
        <v>0.32536526106514241</v>
      </c>
      <c r="T1520" s="21">
        <f>(M1520-M1519)/(H1520-H1519)</f>
        <v>0</v>
      </c>
      <c r="W1520">
        <v>1405</v>
      </c>
      <c r="X1520">
        <v>29.183530000000001</v>
      </c>
      <c r="Y1520">
        <v>1</v>
      </c>
      <c r="Z1520">
        <f t="shared" si="238"/>
        <v>1</v>
      </c>
      <c r="AA1520" s="21">
        <f>IF(X1520&gt;$B$8+$B$9,0,ABS(X1520-O1520)/X1520)</f>
        <v>0</v>
      </c>
      <c r="AB1520">
        <f>IF(OR(Z1517&lt;&gt;Z1523,X1520&gt;$B$8+$B$9),0,((X1523-X1517)/(W1523-W1517)-(O1523-O1517)/(W1523-W1517))^2)</f>
        <v>0</v>
      </c>
    </row>
    <row r="1521" spans="7:28" x14ac:dyDescent="0.2">
      <c r="G1521" s="21"/>
      <c r="H1521" s="21">
        <v>1406</v>
      </c>
      <c r="I1521">
        <f t="shared" si="244"/>
        <v>0.1</v>
      </c>
      <c r="J1521">
        <f t="shared" si="245"/>
        <v>0.32536526106514241</v>
      </c>
      <c r="K1521">
        <f t="shared" si="239"/>
        <v>22.5</v>
      </c>
      <c r="L1521">
        <f>0.5*Z1521*K1521/J1521/$B$7</f>
        <v>34.576524743825068</v>
      </c>
      <c r="M1521">
        <f t="shared" si="242"/>
        <v>1.1228068475325188</v>
      </c>
      <c r="N1521" s="21">
        <f t="shared" si="246"/>
        <v>4.7488240715011065E-2</v>
      </c>
      <c r="O1521" s="21">
        <f t="shared" si="247"/>
        <v>36.107454937217348</v>
      </c>
      <c r="P1521">
        <f t="shared" si="243"/>
        <v>1</v>
      </c>
      <c r="Q1521">
        <f t="shared" si="240"/>
        <v>0.32536526106514241</v>
      </c>
      <c r="R1521">
        <f t="shared" si="241"/>
        <v>0.32536526106514241</v>
      </c>
      <c r="T1521" s="21">
        <f>(M1521-M1520)/(H1521-H1520)</f>
        <v>0</v>
      </c>
      <c r="W1521">
        <v>1406</v>
      </c>
      <c r="X1521">
        <v>29.202999999999999</v>
      </c>
      <c r="Y1521">
        <v>1</v>
      </c>
      <c r="Z1521">
        <f t="shared" si="238"/>
        <v>1</v>
      </c>
      <c r="AA1521" s="21">
        <f>IF(X1521&gt;$B$8+$B$9,0,ABS(X1521-O1521)/X1521)</f>
        <v>0</v>
      </c>
      <c r="AB1521">
        <f>IF(OR(Z1518&lt;&gt;Z1524,X1521&gt;$B$8+$B$9),0,((X1524-X1518)/(W1524-W1518)-(O1524-O1518)/(W1524-W1518))^2)</f>
        <v>0</v>
      </c>
    </row>
    <row r="1522" spans="7:28" x14ac:dyDescent="0.2">
      <c r="G1522" s="21"/>
      <c r="H1522" s="21">
        <v>1407</v>
      </c>
      <c r="I1522">
        <f t="shared" si="244"/>
        <v>0.1</v>
      </c>
      <c r="J1522">
        <f t="shared" si="245"/>
        <v>0.32536526106514241</v>
      </c>
      <c r="K1522">
        <f t="shared" si="239"/>
        <v>22.5</v>
      </c>
      <c r="L1522">
        <f>0.5*Z1522*K1522/J1522/$B$7</f>
        <v>34.576524743825068</v>
      </c>
      <c r="M1522">
        <f t="shared" si="242"/>
        <v>1.1228068475325188</v>
      </c>
      <c r="N1522" s="21">
        <f t="shared" si="246"/>
        <v>4.716936814813405E-2</v>
      </c>
      <c r="O1522" s="21">
        <f t="shared" si="247"/>
        <v>36.207454937217349</v>
      </c>
      <c r="P1522">
        <f t="shared" si="243"/>
        <v>1</v>
      </c>
      <c r="Q1522">
        <f t="shared" si="240"/>
        <v>0.32536526106514241</v>
      </c>
      <c r="R1522">
        <f t="shared" si="241"/>
        <v>0.32536526106514241</v>
      </c>
      <c r="T1522" s="21">
        <f>(M1522-M1521)/(H1522-H1521)</f>
        <v>0</v>
      </c>
      <c r="W1522">
        <v>1407</v>
      </c>
      <c r="X1522">
        <v>29.233825999999997</v>
      </c>
      <c r="Y1522">
        <v>1</v>
      </c>
      <c r="Z1522">
        <f t="shared" si="238"/>
        <v>1</v>
      </c>
      <c r="AA1522" s="21">
        <f>IF(X1522&gt;$B$8+$B$9,0,ABS(X1522-O1522)/X1522)</f>
        <v>0</v>
      </c>
      <c r="AB1522">
        <f>IF(OR(Z1519&lt;&gt;Z1525,X1522&gt;$B$8+$B$9),0,((X1525-X1519)/(W1525-W1519)-(O1525-O1519)/(W1525-W1519))^2)</f>
        <v>0</v>
      </c>
    </row>
    <row r="1523" spans="7:28" x14ac:dyDescent="0.2">
      <c r="G1523" s="21"/>
      <c r="H1523" s="21">
        <v>1408</v>
      </c>
      <c r="I1523">
        <f t="shared" si="244"/>
        <v>0.1</v>
      </c>
      <c r="J1523">
        <f t="shared" si="245"/>
        <v>0.32536526106514241</v>
      </c>
      <c r="K1523">
        <f t="shared" si="239"/>
        <v>22.5</v>
      </c>
      <c r="L1523">
        <f>0.5*Z1523*K1523/J1523/$B$7</f>
        <v>34.576524743825068</v>
      </c>
      <c r="M1523">
        <f t="shared" si="242"/>
        <v>1.1228068475325188</v>
      </c>
      <c r="N1523" s="21">
        <f t="shared" si="246"/>
        <v>4.6850495581257028E-2</v>
      </c>
      <c r="O1523" s="21">
        <f t="shared" si="247"/>
        <v>36.307454937217351</v>
      </c>
      <c r="P1523">
        <f t="shared" si="243"/>
        <v>1</v>
      </c>
      <c r="Q1523">
        <f t="shared" si="240"/>
        <v>0.32536526106514241</v>
      </c>
      <c r="R1523">
        <f t="shared" si="241"/>
        <v>0.32536526106514241</v>
      </c>
      <c r="T1523" s="21">
        <f>(M1523-M1522)/(H1523-H1522)</f>
        <v>0</v>
      </c>
      <c r="W1523">
        <v>1408</v>
      </c>
      <c r="X1523">
        <v>29.256541000000002</v>
      </c>
      <c r="Y1523">
        <v>1</v>
      </c>
      <c r="Z1523">
        <f t="shared" si="238"/>
        <v>1</v>
      </c>
      <c r="AA1523" s="21">
        <f>IF(X1523&gt;$B$8+$B$9,0,ABS(X1523-O1523)/X1523)</f>
        <v>0</v>
      </c>
      <c r="AB1523">
        <f>IF(OR(Z1520&lt;&gt;Z1526,X1523&gt;$B$8+$B$9),0,((X1526-X1520)/(W1526-W1520)-(O1526-O1520)/(W1526-W1520))^2)</f>
        <v>0</v>
      </c>
    </row>
    <row r="1524" spans="7:28" x14ac:dyDescent="0.2">
      <c r="G1524" s="21"/>
      <c r="H1524" s="21">
        <v>1409</v>
      </c>
      <c r="I1524">
        <f t="shared" si="244"/>
        <v>0.1</v>
      </c>
      <c r="J1524">
        <f t="shared" si="245"/>
        <v>0.32536526106514241</v>
      </c>
      <c r="K1524">
        <f t="shared" si="239"/>
        <v>22.5</v>
      </c>
      <c r="L1524">
        <f>0.5*Z1524*K1524/J1524/$B$7</f>
        <v>34.576524743825068</v>
      </c>
      <c r="M1524">
        <f t="shared" si="242"/>
        <v>1.1228068475325188</v>
      </c>
      <c r="N1524" s="21">
        <f t="shared" si="246"/>
        <v>4.6531623014380012E-2</v>
      </c>
      <c r="O1524" s="21">
        <f t="shared" si="247"/>
        <v>36.407454937217352</v>
      </c>
      <c r="P1524">
        <f t="shared" si="243"/>
        <v>1</v>
      </c>
      <c r="Q1524">
        <f t="shared" si="240"/>
        <v>0.32536526106514241</v>
      </c>
      <c r="R1524">
        <f t="shared" si="241"/>
        <v>0.32536526106514241</v>
      </c>
      <c r="T1524" s="21">
        <f>(M1524-M1523)/(H1524-H1523)</f>
        <v>0</v>
      </c>
      <c r="W1524">
        <v>1409</v>
      </c>
      <c r="X1524">
        <v>29.284122999999997</v>
      </c>
      <c r="Y1524">
        <v>1</v>
      </c>
      <c r="Z1524">
        <f t="shared" si="238"/>
        <v>1</v>
      </c>
      <c r="AA1524" s="21">
        <f>IF(X1524&gt;$B$8+$B$9,0,ABS(X1524-O1524)/X1524)</f>
        <v>0</v>
      </c>
      <c r="AB1524">
        <f>IF(OR(Z1521&lt;&gt;Z1527,X1524&gt;$B$8+$B$9),0,((X1527-X1521)/(W1527-W1521)-(O1527-O1521)/(W1527-W1521))^2)</f>
        <v>0</v>
      </c>
    </row>
    <row r="1525" spans="7:28" x14ac:dyDescent="0.2">
      <c r="G1525" s="21"/>
      <c r="H1525" s="21">
        <v>1410</v>
      </c>
      <c r="I1525">
        <f t="shared" si="244"/>
        <v>0.1</v>
      </c>
      <c r="J1525">
        <f t="shared" si="245"/>
        <v>0.32536526106514241</v>
      </c>
      <c r="K1525">
        <f t="shared" si="239"/>
        <v>22.5</v>
      </c>
      <c r="L1525">
        <f>0.5*Z1525*K1525/J1525/$B$7</f>
        <v>34.576524743825068</v>
      </c>
      <c r="M1525">
        <f t="shared" si="242"/>
        <v>1.1228068475325188</v>
      </c>
      <c r="N1525" s="21">
        <f t="shared" si="246"/>
        <v>4.621275044750299E-2</v>
      </c>
      <c r="O1525" s="21">
        <f t="shared" si="247"/>
        <v>36.507454937217354</v>
      </c>
      <c r="P1525">
        <f t="shared" si="243"/>
        <v>1</v>
      </c>
      <c r="Q1525">
        <f t="shared" si="240"/>
        <v>0.32536526106514241</v>
      </c>
      <c r="R1525">
        <f t="shared" si="241"/>
        <v>0.32536526106514241</v>
      </c>
      <c r="T1525" s="21">
        <f>(M1525-M1524)/(H1525-H1524)</f>
        <v>0</v>
      </c>
      <c r="W1525">
        <v>1410</v>
      </c>
      <c r="X1525">
        <v>29.310081999999998</v>
      </c>
      <c r="Y1525">
        <v>1</v>
      </c>
      <c r="Z1525">
        <f t="shared" si="238"/>
        <v>1</v>
      </c>
      <c r="AA1525" s="21">
        <f>IF(X1525&gt;$B$8+$B$9,0,ABS(X1525-O1525)/X1525)</f>
        <v>0</v>
      </c>
      <c r="AB1525">
        <f>IF(OR(Z1522&lt;&gt;Z1528,X1525&gt;$B$8+$B$9),0,((X1528-X1522)/(W1528-W1522)-(O1528-O1522)/(W1528-W1522))^2)</f>
        <v>0</v>
      </c>
    </row>
    <row r="1526" spans="7:28" x14ac:dyDescent="0.2">
      <c r="G1526" s="21"/>
      <c r="H1526" s="21">
        <v>1411</v>
      </c>
      <c r="I1526">
        <f t="shared" si="244"/>
        <v>0.1</v>
      </c>
      <c r="J1526">
        <f t="shared" si="245"/>
        <v>0.32536526106514241</v>
      </c>
      <c r="K1526">
        <f t="shared" si="239"/>
        <v>22.5</v>
      </c>
      <c r="L1526">
        <f>0.5*Z1526*K1526/J1526/$B$7</f>
        <v>34.576524743825068</v>
      </c>
      <c r="M1526">
        <f t="shared" si="242"/>
        <v>1.1228068475325188</v>
      </c>
      <c r="N1526" s="21">
        <f t="shared" si="246"/>
        <v>4.5893877880625975E-2</v>
      </c>
      <c r="O1526" s="21">
        <f t="shared" si="247"/>
        <v>36.607454937217355</v>
      </c>
      <c r="P1526">
        <f t="shared" si="243"/>
        <v>1</v>
      </c>
      <c r="Q1526">
        <f t="shared" si="240"/>
        <v>0.32536526106514241</v>
      </c>
      <c r="R1526">
        <f t="shared" si="241"/>
        <v>0.32536526106514241</v>
      </c>
      <c r="T1526" s="21">
        <f>(M1526-M1525)/(H1526-H1525)</f>
        <v>0</v>
      </c>
      <c r="W1526">
        <v>1411</v>
      </c>
      <c r="X1526">
        <v>29.334419</v>
      </c>
      <c r="Y1526">
        <v>1</v>
      </c>
      <c r="Z1526">
        <f t="shared" si="238"/>
        <v>1</v>
      </c>
      <c r="AA1526" s="21">
        <f>IF(X1526&gt;$B$8+$B$9,0,ABS(X1526-O1526)/X1526)</f>
        <v>0</v>
      </c>
      <c r="AB1526">
        <f>IF(OR(Z1523&lt;&gt;Z1529,X1526&gt;$B$8+$B$9),0,((X1529-X1523)/(W1529-W1523)-(O1529-O1523)/(W1529-W1523))^2)</f>
        <v>0</v>
      </c>
    </row>
    <row r="1527" spans="7:28" x14ac:dyDescent="0.2">
      <c r="G1527" s="21"/>
      <c r="H1527" s="21">
        <v>1412</v>
      </c>
      <c r="I1527">
        <f t="shared" si="244"/>
        <v>0.1</v>
      </c>
      <c r="J1527">
        <f t="shared" si="245"/>
        <v>0.32536526106514241</v>
      </c>
      <c r="K1527">
        <f t="shared" si="239"/>
        <v>22.5</v>
      </c>
      <c r="L1527">
        <f>0.5*Z1527*K1527/J1527/$B$7</f>
        <v>34.576524743825068</v>
      </c>
      <c r="M1527">
        <f t="shared" si="242"/>
        <v>1.1228068475325188</v>
      </c>
      <c r="N1527" s="21">
        <f t="shared" si="246"/>
        <v>4.5575005313748959E-2</v>
      </c>
      <c r="O1527" s="21">
        <f t="shared" si="247"/>
        <v>36.707454937217356</v>
      </c>
      <c r="P1527">
        <f t="shared" si="243"/>
        <v>1</v>
      </c>
      <c r="Q1527">
        <f t="shared" si="240"/>
        <v>0.32536526106514241</v>
      </c>
      <c r="R1527">
        <f t="shared" si="241"/>
        <v>0.32536526106514241</v>
      </c>
      <c r="T1527" s="21">
        <f>(M1527-M1526)/(H1527-H1526)</f>
        <v>0</v>
      </c>
      <c r="W1527">
        <v>1412</v>
      </c>
      <c r="X1527">
        <v>29.358755999999996</v>
      </c>
      <c r="Y1527">
        <v>1</v>
      </c>
      <c r="Z1527">
        <f t="shared" si="238"/>
        <v>1</v>
      </c>
      <c r="AA1527" s="21">
        <f>IF(X1527&gt;$B$8+$B$9,0,ABS(X1527-O1527)/X1527)</f>
        <v>0</v>
      </c>
      <c r="AB1527">
        <f>IF(OR(Z1524&lt;&gt;Z1530,X1527&gt;$B$8+$B$9),0,((X1530-X1524)/(W1530-W1524)-(O1530-O1524)/(W1530-W1524))^2)</f>
        <v>0</v>
      </c>
    </row>
    <row r="1528" spans="7:28" x14ac:dyDescent="0.2">
      <c r="G1528" s="21"/>
      <c r="H1528" s="21">
        <v>1413</v>
      </c>
      <c r="I1528">
        <f t="shared" si="244"/>
        <v>0.1</v>
      </c>
      <c r="J1528">
        <f t="shared" si="245"/>
        <v>0.32536526106514241</v>
      </c>
      <c r="K1528">
        <f t="shared" si="239"/>
        <v>22.5</v>
      </c>
      <c r="L1528">
        <f>0.5*Z1528*K1528/J1528/$B$7</f>
        <v>34.576524743825068</v>
      </c>
      <c r="M1528">
        <f t="shared" si="242"/>
        <v>1.1228068475325188</v>
      </c>
      <c r="N1528" s="21">
        <f t="shared" si="246"/>
        <v>4.5256132746871944E-2</v>
      </c>
      <c r="O1528" s="21">
        <f t="shared" si="247"/>
        <v>36.807454937217358</v>
      </c>
      <c r="P1528">
        <f t="shared" si="243"/>
        <v>1</v>
      </c>
      <c r="Q1528">
        <f t="shared" si="240"/>
        <v>0.32536526106514241</v>
      </c>
      <c r="R1528">
        <f t="shared" si="241"/>
        <v>0.32536526106514241</v>
      </c>
      <c r="T1528" s="21">
        <f>(M1528-M1527)/(H1528-H1527)</f>
        <v>0</v>
      </c>
      <c r="W1528">
        <v>1413</v>
      </c>
      <c r="X1528">
        <v>29.392827</v>
      </c>
      <c r="Y1528">
        <v>1</v>
      </c>
      <c r="Z1528">
        <f t="shared" si="238"/>
        <v>1</v>
      </c>
      <c r="AA1528" s="21">
        <f>IF(X1528&gt;$B$8+$B$9,0,ABS(X1528-O1528)/X1528)</f>
        <v>0</v>
      </c>
      <c r="AB1528">
        <f>IF(OR(Z1525&lt;&gt;Z1531,X1528&gt;$B$8+$B$9),0,((X1531-X1525)/(W1531-W1525)-(O1531-O1525)/(W1531-W1525))^2)</f>
        <v>0</v>
      </c>
    </row>
    <row r="1529" spans="7:28" x14ac:dyDescent="0.2">
      <c r="G1529" s="21"/>
      <c r="H1529" s="21">
        <v>1414</v>
      </c>
      <c r="I1529">
        <f t="shared" si="244"/>
        <v>0.1</v>
      </c>
      <c r="J1529">
        <f t="shared" si="245"/>
        <v>0.32536526106514241</v>
      </c>
      <c r="K1529">
        <f t="shared" si="239"/>
        <v>22.5</v>
      </c>
      <c r="L1529">
        <f>0.5*Z1529*K1529/J1529/$B$7</f>
        <v>34.576524743825068</v>
      </c>
      <c r="M1529">
        <f t="shared" si="242"/>
        <v>1.1228068475325188</v>
      </c>
      <c r="N1529" s="21">
        <f t="shared" si="246"/>
        <v>4.4937260179994921E-2</v>
      </c>
      <c r="O1529" s="21">
        <f t="shared" si="247"/>
        <v>36.907454937217359</v>
      </c>
      <c r="P1529">
        <f t="shared" si="243"/>
        <v>1</v>
      </c>
      <c r="Q1529">
        <f t="shared" si="240"/>
        <v>0.32536526106514241</v>
      </c>
      <c r="R1529">
        <f t="shared" si="241"/>
        <v>0.32536526106514241</v>
      </c>
      <c r="T1529" s="21">
        <f>(M1529-M1528)/(H1529-H1528)</f>
        <v>0</v>
      </c>
      <c r="W1529">
        <v>1414</v>
      </c>
      <c r="X1529">
        <v>29.417163999999996</v>
      </c>
      <c r="Y1529">
        <v>1</v>
      </c>
      <c r="Z1529">
        <f t="shared" si="238"/>
        <v>1</v>
      </c>
      <c r="AA1529" s="21">
        <f>IF(X1529&gt;$B$8+$B$9,0,ABS(X1529-O1529)/X1529)</f>
        <v>0</v>
      </c>
      <c r="AB1529">
        <f>IF(OR(Z1526&lt;&gt;Z1532,X1529&gt;$B$8+$B$9),0,((X1532-X1526)/(W1532-W1526)-(O1532-O1526)/(W1532-W1526))^2)</f>
        <v>0</v>
      </c>
    </row>
    <row r="1530" spans="7:28" x14ac:dyDescent="0.2">
      <c r="G1530" s="21"/>
      <c r="H1530" s="21">
        <v>1415</v>
      </c>
      <c r="I1530">
        <f t="shared" si="244"/>
        <v>0.1</v>
      </c>
      <c r="J1530">
        <f t="shared" si="245"/>
        <v>0.32536526106514241</v>
      </c>
      <c r="K1530">
        <f t="shared" si="239"/>
        <v>22.5</v>
      </c>
      <c r="L1530">
        <f>0.5*Z1530*K1530/J1530/$B$7</f>
        <v>34.576524743825068</v>
      </c>
      <c r="M1530">
        <f t="shared" si="242"/>
        <v>1.1228068475325188</v>
      </c>
      <c r="N1530" s="21">
        <f t="shared" si="246"/>
        <v>4.4618387613117899E-2</v>
      </c>
      <c r="O1530" s="21">
        <f t="shared" si="247"/>
        <v>37.007454937217361</v>
      </c>
      <c r="P1530">
        <f t="shared" si="243"/>
        <v>1</v>
      </c>
      <c r="Q1530">
        <f t="shared" si="240"/>
        <v>0.32536526106514241</v>
      </c>
      <c r="R1530">
        <f t="shared" si="241"/>
        <v>0.32536526106514241</v>
      </c>
      <c r="T1530" s="21">
        <f>(M1530-M1529)/(H1530-H1529)</f>
        <v>0</v>
      </c>
      <c r="W1530">
        <v>1415</v>
      </c>
      <c r="X1530">
        <v>29.451235999999998</v>
      </c>
      <c r="Y1530">
        <v>1</v>
      </c>
      <c r="Z1530">
        <f t="shared" si="238"/>
        <v>1</v>
      </c>
      <c r="AA1530" s="21">
        <f>IF(X1530&gt;$B$8+$B$9,0,ABS(X1530-O1530)/X1530)</f>
        <v>0</v>
      </c>
      <c r="AB1530">
        <f>IF(OR(Z1527&lt;&gt;Z1533,X1530&gt;$B$8+$B$9),0,((X1533-X1527)/(W1533-W1527)-(O1533-O1527)/(W1533-W1527))^2)</f>
        <v>0</v>
      </c>
    </row>
    <row r="1531" spans="7:28" x14ac:dyDescent="0.2">
      <c r="G1531" s="21"/>
      <c r="H1531" s="21">
        <v>1416</v>
      </c>
      <c r="I1531">
        <f t="shared" si="244"/>
        <v>0.1</v>
      </c>
      <c r="J1531">
        <f t="shared" si="245"/>
        <v>0.32536526106514241</v>
      </c>
      <c r="K1531">
        <f t="shared" si="239"/>
        <v>22.5</v>
      </c>
      <c r="L1531">
        <f>0.5*Z1531*K1531/J1531/$B$7</f>
        <v>34.576524743825068</v>
      </c>
      <c r="M1531">
        <f t="shared" si="242"/>
        <v>1.1228068475325188</v>
      </c>
      <c r="N1531" s="21">
        <f t="shared" si="246"/>
        <v>4.4299515046240884E-2</v>
      </c>
      <c r="O1531" s="21">
        <f t="shared" si="247"/>
        <v>37.107454937217362</v>
      </c>
      <c r="P1531">
        <f t="shared" si="243"/>
        <v>1</v>
      </c>
      <c r="Q1531">
        <f t="shared" si="240"/>
        <v>0.32536526106514241</v>
      </c>
      <c r="R1531">
        <f t="shared" si="241"/>
        <v>0.32536526106514241</v>
      </c>
      <c r="T1531" s="21">
        <f>(M1531-M1530)/(H1531-H1530)</f>
        <v>0</v>
      </c>
      <c r="W1531">
        <v>1416</v>
      </c>
      <c r="X1531">
        <v>29.473949999999999</v>
      </c>
      <c r="Y1531">
        <v>1</v>
      </c>
      <c r="Z1531">
        <f t="shared" si="238"/>
        <v>1</v>
      </c>
      <c r="AA1531" s="21">
        <f>IF(X1531&gt;$B$8+$B$9,0,ABS(X1531-O1531)/X1531)</f>
        <v>0</v>
      </c>
      <c r="AB1531">
        <f>IF(OR(Z1528&lt;&gt;Z1534,X1531&gt;$B$8+$B$9),0,((X1534-X1528)/(W1534-W1528)-(O1534-O1528)/(W1534-W1528))^2)</f>
        <v>0</v>
      </c>
    </row>
    <row r="1532" spans="7:28" x14ac:dyDescent="0.2">
      <c r="G1532" s="21"/>
      <c r="H1532" s="21">
        <v>1417</v>
      </c>
      <c r="I1532">
        <f t="shared" si="244"/>
        <v>0.1</v>
      </c>
      <c r="J1532">
        <f t="shared" si="245"/>
        <v>0.32536526106514241</v>
      </c>
      <c r="K1532">
        <f t="shared" si="239"/>
        <v>22.5</v>
      </c>
      <c r="L1532">
        <f>0.5*Z1532*K1532/J1532/$B$7</f>
        <v>34.576524743825068</v>
      </c>
      <c r="M1532">
        <f t="shared" si="242"/>
        <v>1.1228068475325188</v>
      </c>
      <c r="N1532" s="21">
        <f t="shared" si="246"/>
        <v>4.3980642479363868E-2</v>
      </c>
      <c r="O1532" s="21">
        <f t="shared" si="247"/>
        <v>37.207454937217364</v>
      </c>
      <c r="P1532">
        <f t="shared" si="243"/>
        <v>1</v>
      </c>
      <c r="Q1532">
        <f t="shared" si="240"/>
        <v>0.32536526106514241</v>
      </c>
      <c r="R1532">
        <f t="shared" si="241"/>
        <v>0.32536526106514241</v>
      </c>
      <c r="T1532" s="21">
        <f>(M1532-M1531)/(H1532-H1531)</f>
        <v>0</v>
      </c>
      <c r="W1532">
        <v>1417</v>
      </c>
      <c r="X1532">
        <v>29.509643999999998</v>
      </c>
      <c r="Y1532">
        <v>1</v>
      </c>
      <c r="Z1532">
        <f t="shared" si="238"/>
        <v>1</v>
      </c>
      <c r="AA1532" s="21">
        <f>IF(X1532&gt;$B$8+$B$9,0,ABS(X1532-O1532)/X1532)</f>
        <v>0</v>
      </c>
      <c r="AB1532">
        <f>IF(OR(Z1529&lt;&gt;Z1535,X1532&gt;$B$8+$B$9),0,((X1535-X1529)/(W1535-W1529)-(O1535-O1529)/(W1535-W1529))^2)</f>
        <v>0</v>
      </c>
    </row>
    <row r="1533" spans="7:28" x14ac:dyDescent="0.2">
      <c r="G1533" s="21"/>
      <c r="H1533" s="21">
        <v>1418</v>
      </c>
      <c r="I1533">
        <f t="shared" si="244"/>
        <v>0.1</v>
      </c>
      <c r="J1533">
        <f t="shared" si="245"/>
        <v>0.32536526106514241</v>
      </c>
      <c r="K1533">
        <f t="shared" si="239"/>
        <v>22.5</v>
      </c>
      <c r="L1533">
        <f>0.5*Z1533*K1533/J1533/$B$7</f>
        <v>34.576524743825068</v>
      </c>
      <c r="M1533">
        <f t="shared" si="242"/>
        <v>1.1228068475325188</v>
      </c>
      <c r="N1533" s="21">
        <f t="shared" si="246"/>
        <v>4.3661769912486853E-2</v>
      </c>
      <c r="O1533" s="21">
        <f t="shared" si="247"/>
        <v>37.307454937217365</v>
      </c>
      <c r="P1533">
        <f t="shared" si="243"/>
        <v>1</v>
      </c>
      <c r="Q1533">
        <f t="shared" si="240"/>
        <v>0.32536526106514241</v>
      </c>
      <c r="R1533">
        <f t="shared" si="241"/>
        <v>0.32536526106514241</v>
      </c>
      <c r="T1533" s="21">
        <f>(M1533-M1532)/(H1533-H1532)</f>
        <v>0</v>
      </c>
      <c r="W1533">
        <v>1418</v>
      </c>
      <c r="X1533">
        <v>29.532358999999996</v>
      </c>
      <c r="Y1533">
        <v>1</v>
      </c>
      <c r="Z1533">
        <f t="shared" si="238"/>
        <v>1</v>
      </c>
      <c r="AA1533" s="21">
        <f>IF(X1533&gt;$B$8+$B$9,0,ABS(X1533-O1533)/X1533)</f>
        <v>0</v>
      </c>
      <c r="AB1533">
        <f>IF(OR(Z1530&lt;&gt;Z1536,X1533&gt;$B$8+$B$9),0,((X1536-X1530)/(W1536-W1530)-(O1536-O1530)/(W1536-W1530))^2)</f>
        <v>0</v>
      </c>
    </row>
    <row r="1534" spans="7:28" x14ac:dyDescent="0.2">
      <c r="G1534" s="21"/>
      <c r="H1534" s="21">
        <v>1419</v>
      </c>
      <c r="I1534">
        <f t="shared" si="244"/>
        <v>0.1</v>
      </c>
      <c r="J1534">
        <f t="shared" si="245"/>
        <v>0.32536526106514241</v>
      </c>
      <c r="K1534">
        <f t="shared" si="239"/>
        <v>22.5</v>
      </c>
      <c r="L1534">
        <f>0.5*Z1534*K1534/J1534/$B$7</f>
        <v>34.576524743825068</v>
      </c>
      <c r="M1534">
        <f t="shared" si="242"/>
        <v>1.1228068475325188</v>
      </c>
      <c r="N1534" s="21">
        <f t="shared" si="246"/>
        <v>4.3342897345609824E-2</v>
      </c>
      <c r="O1534" s="21">
        <f t="shared" si="247"/>
        <v>37.407454937217366</v>
      </c>
      <c r="P1534">
        <f t="shared" si="243"/>
        <v>1</v>
      </c>
      <c r="Q1534">
        <f t="shared" si="240"/>
        <v>0.32536526106514241</v>
      </c>
      <c r="R1534">
        <f t="shared" si="241"/>
        <v>0.32536526106514241</v>
      </c>
      <c r="T1534" s="21">
        <f>(M1534-M1533)/(H1534-H1533)</f>
        <v>0</v>
      </c>
      <c r="W1534">
        <v>1419</v>
      </c>
      <c r="X1534">
        <v>29.555072999999997</v>
      </c>
      <c r="Y1534">
        <v>1</v>
      </c>
      <c r="Z1534">
        <f t="shared" ref="Z1534:Z1597" si="248">Y1534</f>
        <v>1</v>
      </c>
      <c r="AA1534" s="21">
        <f>IF(X1534&gt;$B$8+$B$9,0,ABS(X1534-O1534)/X1534)</f>
        <v>0</v>
      </c>
      <c r="AB1534">
        <f>IF(OR(Z1531&lt;&gt;Z1537,X1534&gt;$B$8+$B$9),0,((X1537-X1531)/(W1537-W1531)-(O1537-O1531)/(W1537-W1531))^2)</f>
        <v>0</v>
      </c>
    </row>
    <row r="1535" spans="7:28" x14ac:dyDescent="0.2">
      <c r="G1535" s="21"/>
      <c r="H1535" s="21">
        <v>1420</v>
      </c>
      <c r="I1535">
        <f t="shared" si="244"/>
        <v>0.1</v>
      </c>
      <c r="J1535">
        <f t="shared" si="245"/>
        <v>0.32536526106514241</v>
      </c>
      <c r="K1535">
        <f t="shared" si="239"/>
        <v>22.5</v>
      </c>
      <c r="L1535">
        <f>0.5*Z1535*K1535/J1535/$B$7</f>
        <v>34.576524743825068</v>
      </c>
      <c r="M1535">
        <f t="shared" si="242"/>
        <v>1.1228068475325188</v>
      </c>
      <c r="N1535" s="21">
        <f t="shared" si="246"/>
        <v>4.3024024778732808E-2</v>
      </c>
      <c r="O1535" s="21">
        <f t="shared" si="247"/>
        <v>37.507454937217368</v>
      </c>
      <c r="P1535">
        <f t="shared" si="243"/>
        <v>1</v>
      </c>
      <c r="Q1535">
        <f t="shared" si="240"/>
        <v>0.32536526106514241</v>
      </c>
      <c r="R1535">
        <f t="shared" si="241"/>
        <v>0.32536526106514241</v>
      </c>
      <c r="T1535" s="21">
        <f>(M1535-M1534)/(H1535-H1534)</f>
        <v>0</v>
      </c>
      <c r="W1535">
        <v>1420</v>
      </c>
      <c r="X1535">
        <v>29.589144999999998</v>
      </c>
      <c r="Y1535">
        <v>1</v>
      </c>
      <c r="Z1535">
        <f t="shared" si="248"/>
        <v>1</v>
      </c>
      <c r="AA1535" s="21">
        <f>IF(X1535&gt;$B$8+$B$9,0,ABS(X1535-O1535)/X1535)</f>
        <v>0</v>
      </c>
      <c r="AB1535">
        <f>IF(OR(Z1532&lt;&gt;Z1538,X1535&gt;$B$8+$B$9),0,((X1538-X1532)/(W1538-W1532)-(O1538-O1532)/(W1538-W1532))^2)</f>
        <v>0</v>
      </c>
    </row>
    <row r="1536" spans="7:28" x14ac:dyDescent="0.2">
      <c r="G1536" s="21"/>
      <c r="H1536" s="21">
        <v>1421</v>
      </c>
      <c r="I1536">
        <f t="shared" si="244"/>
        <v>0.1</v>
      </c>
      <c r="J1536">
        <f t="shared" si="245"/>
        <v>0.32536526106514241</v>
      </c>
      <c r="K1536">
        <f t="shared" si="239"/>
        <v>22.5</v>
      </c>
      <c r="L1536">
        <f>0.5*Z1536*K1536/J1536/$B$7</f>
        <v>34.576524743825068</v>
      </c>
      <c r="M1536">
        <f t="shared" si="242"/>
        <v>1.1228068475325188</v>
      </c>
      <c r="N1536" s="21">
        <f t="shared" si="246"/>
        <v>4.2705152211855793E-2</v>
      </c>
      <c r="O1536" s="21">
        <f t="shared" si="247"/>
        <v>37.607454937217369</v>
      </c>
      <c r="P1536">
        <f t="shared" si="243"/>
        <v>1</v>
      </c>
      <c r="Q1536">
        <f t="shared" si="240"/>
        <v>0.32536526106514241</v>
      </c>
      <c r="R1536">
        <f t="shared" si="241"/>
        <v>0.32536526106514241</v>
      </c>
      <c r="T1536" s="21">
        <f>(M1536-M1535)/(H1536-H1535)</f>
        <v>0</v>
      </c>
      <c r="W1536">
        <v>1421</v>
      </c>
      <c r="X1536">
        <v>29.616727000000001</v>
      </c>
      <c r="Y1536">
        <v>1</v>
      </c>
      <c r="Z1536">
        <f t="shared" si="248"/>
        <v>1</v>
      </c>
      <c r="AA1536" s="21">
        <f>IF(X1536&gt;$B$8+$B$9,0,ABS(X1536-O1536)/X1536)</f>
        <v>0</v>
      </c>
      <c r="AB1536">
        <f>IF(OR(Z1533&lt;&gt;Z1539,X1536&gt;$B$8+$B$9),0,((X1539-X1533)/(W1539-W1533)-(O1539-O1533)/(W1539-W1533))^2)</f>
        <v>0</v>
      </c>
    </row>
    <row r="1537" spans="7:28" x14ac:dyDescent="0.2">
      <c r="G1537" s="21"/>
      <c r="H1537" s="21">
        <v>1422</v>
      </c>
      <c r="I1537">
        <f t="shared" si="244"/>
        <v>0.1</v>
      </c>
      <c r="J1537">
        <f t="shared" si="245"/>
        <v>0.32536526106514241</v>
      </c>
      <c r="K1537">
        <f t="shared" si="239"/>
        <v>22.5</v>
      </c>
      <c r="L1537">
        <f>0.5*Z1537*K1537/J1537/$B$7</f>
        <v>34.576524743825068</v>
      </c>
      <c r="M1537">
        <f t="shared" si="242"/>
        <v>1.1228068475325188</v>
      </c>
      <c r="N1537" s="21">
        <f t="shared" si="246"/>
        <v>4.2386279644978771E-2</v>
      </c>
      <c r="O1537" s="21">
        <f t="shared" si="247"/>
        <v>37.707454937217371</v>
      </c>
      <c r="P1537">
        <f t="shared" si="243"/>
        <v>1</v>
      </c>
      <c r="Q1537">
        <f t="shared" si="240"/>
        <v>0.32536526106514241</v>
      </c>
      <c r="R1537">
        <f t="shared" si="241"/>
        <v>0.32536526106514241</v>
      </c>
      <c r="T1537" s="21">
        <f>(M1537-M1536)/(H1537-H1536)</f>
        <v>0</v>
      </c>
      <c r="W1537">
        <v>1422</v>
      </c>
      <c r="X1537">
        <v>29.647552999999998</v>
      </c>
      <c r="Y1537">
        <v>1</v>
      </c>
      <c r="Z1537">
        <f t="shared" si="248"/>
        <v>1</v>
      </c>
      <c r="AA1537" s="21">
        <f>IF(X1537&gt;$B$8+$B$9,0,ABS(X1537-O1537)/X1537)</f>
        <v>0</v>
      </c>
      <c r="AB1537">
        <f>IF(OR(Z1534&lt;&gt;Z1540,X1537&gt;$B$8+$B$9),0,((X1540-X1534)/(W1540-W1534)-(O1540-O1534)/(W1540-W1534))^2)</f>
        <v>0</v>
      </c>
    </row>
    <row r="1538" spans="7:28" x14ac:dyDescent="0.2">
      <c r="G1538" s="21"/>
      <c r="H1538" s="21">
        <v>1423</v>
      </c>
      <c r="I1538">
        <f t="shared" si="244"/>
        <v>0.1</v>
      </c>
      <c r="J1538">
        <f t="shared" si="245"/>
        <v>0.32536526106514241</v>
      </c>
      <c r="K1538">
        <f t="shared" si="239"/>
        <v>22.5</v>
      </c>
      <c r="L1538">
        <f>0.5*Z1538*K1538/J1538/$B$7</f>
        <v>34.576524743825068</v>
      </c>
      <c r="M1538">
        <f t="shared" si="242"/>
        <v>1.1228068475325188</v>
      </c>
      <c r="N1538" s="21">
        <f t="shared" si="246"/>
        <v>4.2067407078101748E-2</v>
      </c>
      <c r="O1538" s="21">
        <f t="shared" si="247"/>
        <v>37.807454937217372</v>
      </c>
      <c r="P1538">
        <f t="shared" si="243"/>
        <v>1</v>
      </c>
      <c r="Q1538">
        <f t="shared" si="240"/>
        <v>0.32536526106514241</v>
      </c>
      <c r="R1538">
        <f t="shared" si="241"/>
        <v>0.32536526106514241</v>
      </c>
      <c r="T1538" s="21">
        <f>(M1538-M1537)/(H1538-H1537)</f>
        <v>0</v>
      </c>
      <c r="W1538">
        <v>1423</v>
      </c>
      <c r="X1538">
        <v>29.670267999999997</v>
      </c>
      <c r="Y1538">
        <v>1</v>
      </c>
      <c r="Z1538">
        <f t="shared" si="248"/>
        <v>1</v>
      </c>
      <c r="AA1538" s="21">
        <f>IF(X1538&gt;$B$8+$B$9,0,ABS(X1538-O1538)/X1538)</f>
        <v>0</v>
      </c>
      <c r="AB1538">
        <f>IF(OR(Z1535&lt;&gt;Z1541,X1538&gt;$B$8+$B$9),0,((X1541-X1535)/(W1541-W1535)-(O1541-O1535)/(W1541-W1535))^2)</f>
        <v>0</v>
      </c>
    </row>
    <row r="1539" spans="7:28" x14ac:dyDescent="0.2">
      <c r="G1539" s="21"/>
      <c r="H1539" s="21">
        <v>1424</v>
      </c>
      <c r="I1539">
        <f t="shared" si="244"/>
        <v>0.1</v>
      </c>
      <c r="J1539">
        <f t="shared" si="245"/>
        <v>0.32536526106514241</v>
      </c>
      <c r="K1539">
        <f t="shared" ref="K1539:K1602" si="249">IF(O1539&lt;$B$8+$B$9,0.5*(($B$8+$B$9)^2+O1539^2)/O1539-$B$9,$B$8)</f>
        <v>22.5</v>
      </c>
      <c r="L1539">
        <f>0.5*Z1539*K1539/J1539/$B$7</f>
        <v>34.576524743825068</v>
      </c>
      <c r="M1539">
        <f t="shared" si="242"/>
        <v>1.1228068475325188</v>
      </c>
      <c r="N1539" s="21">
        <f t="shared" si="246"/>
        <v>4.1748534511224733E-2</v>
      </c>
      <c r="O1539" s="21">
        <f t="shared" si="247"/>
        <v>37.907454937217373</v>
      </c>
      <c r="P1539">
        <f t="shared" si="243"/>
        <v>1</v>
      </c>
      <c r="Q1539">
        <f t="shared" ref="Q1539:Q1602" si="250">1-B$15*P1539</f>
        <v>0.32536526106514241</v>
      </c>
      <c r="R1539">
        <f t="shared" ref="R1539:R1602" si="251">$E$15/(P1539+$E$16)</f>
        <v>0.32536526106514241</v>
      </c>
      <c r="T1539" s="21">
        <f>(M1539-M1538)/(H1539-H1538)</f>
        <v>0</v>
      </c>
      <c r="W1539">
        <v>1424</v>
      </c>
      <c r="X1539">
        <v>29.69136</v>
      </c>
      <c r="Y1539">
        <v>1</v>
      </c>
      <c r="Z1539">
        <f t="shared" si="248"/>
        <v>1</v>
      </c>
      <c r="AA1539" s="21">
        <f>IF(X1539&gt;$B$8+$B$9,0,ABS(X1539-O1539)/X1539)</f>
        <v>0</v>
      </c>
      <c r="AB1539">
        <f>IF(OR(Z1536&lt;&gt;Z1542,X1539&gt;$B$8+$B$9),0,((X1542-X1536)/(W1542-W1536)-(O1542-O1536)/(W1542-W1536))^2)</f>
        <v>0</v>
      </c>
    </row>
    <row r="1540" spans="7:28" x14ac:dyDescent="0.2">
      <c r="G1540" s="21"/>
      <c r="H1540" s="21">
        <v>1425</v>
      </c>
      <c r="I1540">
        <f t="shared" si="244"/>
        <v>0.1</v>
      </c>
      <c r="J1540">
        <f t="shared" si="245"/>
        <v>0.32536526106514241</v>
      </c>
      <c r="K1540">
        <f t="shared" si="249"/>
        <v>22.5</v>
      </c>
      <c r="L1540">
        <f>0.5*Z1540*K1540/J1540/$B$7</f>
        <v>34.576524743825068</v>
      </c>
      <c r="M1540">
        <f t="shared" ref="M1540:M1603" si="252">-LN(J1540)</f>
        <v>1.1228068475325188</v>
      </c>
      <c r="N1540" s="21">
        <f t="shared" si="246"/>
        <v>4.1429661944347718E-2</v>
      </c>
      <c r="O1540" s="21">
        <f t="shared" si="247"/>
        <v>38.007454937217375</v>
      </c>
      <c r="P1540">
        <f t="shared" ref="P1540:P1603" si="253">MIN(O1540/(K1540+$B$9),1)</f>
        <v>1</v>
      </c>
      <c r="Q1540">
        <f t="shared" si="250"/>
        <v>0.32536526106514241</v>
      </c>
      <c r="R1540">
        <f t="shared" si="251"/>
        <v>0.32536526106514241</v>
      </c>
      <c r="T1540" s="21">
        <f>(M1540-M1539)/(H1540-H1539)</f>
        <v>0</v>
      </c>
      <c r="W1540">
        <v>1425</v>
      </c>
      <c r="X1540">
        <v>29.722185999999997</v>
      </c>
      <c r="Y1540">
        <v>1</v>
      </c>
      <c r="Z1540">
        <f t="shared" si="248"/>
        <v>1</v>
      </c>
      <c r="AA1540" s="21">
        <f>IF(X1540&gt;$B$8+$B$9,0,ABS(X1540-O1540)/X1540)</f>
        <v>0</v>
      </c>
      <c r="AB1540">
        <f>IF(OR(Z1537&lt;&gt;Z1543,X1540&gt;$B$8+$B$9),0,((X1543-X1537)/(W1543-W1537)-(O1543-O1537)/(W1543-W1537))^2)</f>
        <v>0</v>
      </c>
    </row>
    <row r="1541" spans="7:28" x14ac:dyDescent="0.2">
      <c r="G1541" s="21"/>
      <c r="H1541" s="21">
        <v>1426</v>
      </c>
      <c r="I1541">
        <f t="shared" ref="I1541:I1604" si="254">IF(P1540&lt;0.999,MAX(0,MIN(10000000,(L1540/$E$8/M1540^$E$10)^(1/$E$9)/N1540)),0.1)</f>
        <v>0.1</v>
      </c>
      <c r="J1541">
        <f t="shared" ref="J1541:J1604" si="255">Q1541</f>
        <v>0.32536526106514241</v>
      </c>
      <c r="K1541">
        <f t="shared" si="249"/>
        <v>22.5</v>
      </c>
      <c r="L1541">
        <f>0.5*Z1541*K1541/J1541/$B$7</f>
        <v>34.576524743825068</v>
      </c>
      <c r="M1541">
        <f t="shared" si="252"/>
        <v>1.1228068475325188</v>
      </c>
      <c r="N1541" s="21">
        <f t="shared" ref="N1541:N1604" si="256">-$B$15*(O1541-2*(K1541+$B$9))/(K1541+$B$9)^2/J1541</f>
        <v>4.1110789377470702E-2</v>
      </c>
      <c r="O1541" s="21">
        <f t="shared" ref="O1541:O1604" si="257">O1540+I1541*(H1541-H1540)</f>
        <v>38.107454937217376</v>
      </c>
      <c r="P1541">
        <f t="shared" si="253"/>
        <v>1</v>
      </c>
      <c r="Q1541">
        <f t="shared" si="250"/>
        <v>0.32536526106514241</v>
      </c>
      <c r="R1541">
        <f t="shared" si="251"/>
        <v>0.32536526106514241</v>
      </c>
      <c r="T1541" s="21">
        <f>(M1541-M1540)/(H1541-H1540)</f>
        <v>0</v>
      </c>
      <c r="W1541">
        <v>1426</v>
      </c>
      <c r="X1541">
        <v>29.748146000000002</v>
      </c>
      <c r="Y1541">
        <v>1</v>
      </c>
      <c r="Z1541">
        <f t="shared" si="248"/>
        <v>1</v>
      </c>
      <c r="AA1541" s="21">
        <f>IF(X1541&gt;$B$8+$B$9,0,ABS(X1541-O1541)/X1541)</f>
        <v>0</v>
      </c>
      <c r="AB1541">
        <f>IF(OR(Z1538&lt;&gt;Z1544,X1541&gt;$B$8+$B$9),0,((X1544-X1538)/(W1544-W1538)-(O1544-O1538)/(W1544-W1538))^2)</f>
        <v>0</v>
      </c>
    </row>
    <row r="1542" spans="7:28" x14ac:dyDescent="0.2">
      <c r="G1542" s="21"/>
      <c r="H1542" s="21">
        <v>1427</v>
      </c>
      <c r="I1542">
        <f t="shared" si="254"/>
        <v>0.1</v>
      </c>
      <c r="J1542">
        <f t="shared" si="255"/>
        <v>0.32536526106514241</v>
      </c>
      <c r="K1542">
        <f t="shared" si="249"/>
        <v>22.5</v>
      </c>
      <c r="L1542">
        <f>0.5*Z1542*K1542/J1542/$B$7</f>
        <v>34.576524743825068</v>
      </c>
      <c r="M1542">
        <f t="shared" si="252"/>
        <v>1.1228068475325188</v>
      </c>
      <c r="N1542" s="21">
        <f t="shared" si="256"/>
        <v>4.0791916810593673E-2</v>
      </c>
      <c r="O1542" s="21">
        <f t="shared" si="257"/>
        <v>38.207454937217378</v>
      </c>
      <c r="P1542">
        <f t="shared" si="253"/>
        <v>1</v>
      </c>
      <c r="Q1542">
        <f t="shared" si="250"/>
        <v>0.32536526106514241</v>
      </c>
      <c r="R1542">
        <f t="shared" si="251"/>
        <v>0.32536526106514241</v>
      </c>
      <c r="T1542" s="21">
        <f>(M1542-M1541)/(H1542-H1541)</f>
        <v>0</v>
      </c>
      <c r="W1542">
        <v>1427</v>
      </c>
      <c r="X1542">
        <v>29.777350000000002</v>
      </c>
      <c r="Y1542">
        <v>1</v>
      </c>
      <c r="Z1542">
        <f t="shared" si="248"/>
        <v>1</v>
      </c>
      <c r="AA1542" s="21">
        <f>IF(X1542&gt;$B$8+$B$9,0,ABS(X1542-O1542)/X1542)</f>
        <v>0</v>
      </c>
      <c r="AB1542">
        <f>IF(OR(Z1539&lt;&gt;Z1545,X1542&gt;$B$8+$B$9),0,((X1545-X1539)/(W1545-W1539)-(O1545-O1539)/(W1545-W1539))^2)</f>
        <v>0</v>
      </c>
    </row>
    <row r="1543" spans="7:28" x14ac:dyDescent="0.2">
      <c r="G1543" s="21"/>
      <c r="H1543" s="21">
        <v>1428</v>
      </c>
      <c r="I1543">
        <f t="shared" si="254"/>
        <v>0.1</v>
      </c>
      <c r="J1543">
        <f t="shared" si="255"/>
        <v>0.32536526106514241</v>
      </c>
      <c r="K1543">
        <f t="shared" si="249"/>
        <v>22.5</v>
      </c>
      <c r="L1543">
        <f>0.5*Z1543*K1543/J1543/$B$7</f>
        <v>34.576524743825068</v>
      </c>
      <c r="M1543">
        <f t="shared" si="252"/>
        <v>1.1228068475325188</v>
      </c>
      <c r="N1543" s="21">
        <f t="shared" si="256"/>
        <v>4.0473044243716658E-2</v>
      </c>
      <c r="O1543" s="21">
        <f t="shared" si="257"/>
        <v>38.307454937217379</v>
      </c>
      <c r="P1543">
        <f t="shared" si="253"/>
        <v>1</v>
      </c>
      <c r="Q1543">
        <f t="shared" si="250"/>
        <v>0.32536526106514241</v>
      </c>
      <c r="R1543">
        <f t="shared" si="251"/>
        <v>0.32536526106514241</v>
      </c>
      <c r="T1543" s="21">
        <f>(M1543-M1542)/(H1543-H1542)</f>
        <v>0</v>
      </c>
      <c r="W1543">
        <v>1428</v>
      </c>
      <c r="X1543">
        <v>29.816289000000001</v>
      </c>
      <c r="Y1543">
        <v>1</v>
      </c>
      <c r="Z1543">
        <f t="shared" si="248"/>
        <v>1</v>
      </c>
      <c r="AA1543" s="21">
        <f>IF(X1543&gt;$B$8+$B$9,0,ABS(X1543-O1543)/X1543)</f>
        <v>0</v>
      </c>
      <c r="AB1543">
        <f>IF(OR(Z1540&lt;&gt;Z1546,X1543&gt;$B$8+$B$9),0,((X1546-X1540)/(W1546-W1540)-(O1546-O1540)/(W1546-W1540))^2)</f>
        <v>0</v>
      </c>
    </row>
    <row r="1544" spans="7:28" x14ac:dyDescent="0.2">
      <c r="G1544" s="21"/>
      <c r="H1544" s="21">
        <v>1429</v>
      </c>
      <c r="I1544">
        <f t="shared" si="254"/>
        <v>0.1</v>
      </c>
      <c r="J1544">
        <f t="shared" si="255"/>
        <v>0.32536526106514241</v>
      </c>
      <c r="K1544">
        <f t="shared" si="249"/>
        <v>22.5</v>
      </c>
      <c r="L1544">
        <f>0.5*Z1544*K1544/J1544/$B$7</f>
        <v>34.576524743825068</v>
      </c>
      <c r="M1544">
        <f t="shared" si="252"/>
        <v>1.1228068475325188</v>
      </c>
      <c r="N1544" s="21">
        <f t="shared" si="256"/>
        <v>4.0154171676839642E-2</v>
      </c>
      <c r="O1544" s="21">
        <f t="shared" si="257"/>
        <v>38.407454937217381</v>
      </c>
      <c r="P1544">
        <f t="shared" si="253"/>
        <v>1</v>
      </c>
      <c r="Q1544">
        <f t="shared" si="250"/>
        <v>0.32536526106514241</v>
      </c>
      <c r="R1544">
        <f t="shared" si="251"/>
        <v>0.32536526106514241</v>
      </c>
      <c r="T1544" s="21">
        <f>(M1544-M1543)/(H1544-H1543)</f>
        <v>0</v>
      </c>
      <c r="W1544">
        <v>1429</v>
      </c>
      <c r="X1544">
        <v>29.830890999999998</v>
      </c>
      <c r="Y1544">
        <v>1</v>
      </c>
      <c r="Z1544">
        <f t="shared" si="248"/>
        <v>1</v>
      </c>
      <c r="AA1544" s="21">
        <f>IF(X1544&gt;$B$8+$B$9,0,ABS(X1544-O1544)/X1544)</f>
        <v>0</v>
      </c>
      <c r="AB1544">
        <f>IF(OR(Z1541&lt;&gt;Z1547,X1544&gt;$B$8+$B$9),0,((X1547-X1541)/(W1547-W1541)-(O1547-O1541)/(W1547-W1541))^2)</f>
        <v>0</v>
      </c>
    </row>
    <row r="1545" spans="7:28" x14ac:dyDescent="0.2">
      <c r="G1545" s="21"/>
      <c r="H1545" s="21">
        <v>1430</v>
      </c>
      <c r="I1545">
        <f t="shared" si="254"/>
        <v>0.1</v>
      </c>
      <c r="J1545">
        <f t="shared" si="255"/>
        <v>0.32536526106514241</v>
      </c>
      <c r="K1545">
        <f t="shared" si="249"/>
        <v>22.5</v>
      </c>
      <c r="L1545">
        <f>0.5*Z1545*K1545/J1545/$B$7</f>
        <v>34.576524743825068</v>
      </c>
      <c r="M1545">
        <f t="shared" si="252"/>
        <v>1.1228068475325188</v>
      </c>
      <c r="N1545" s="21">
        <f t="shared" si="256"/>
        <v>3.9835299109962627E-2</v>
      </c>
      <c r="O1545" s="21">
        <f t="shared" si="257"/>
        <v>38.507454937217382</v>
      </c>
      <c r="P1545">
        <f t="shared" si="253"/>
        <v>1</v>
      </c>
      <c r="Q1545">
        <f t="shared" si="250"/>
        <v>0.32536526106514241</v>
      </c>
      <c r="R1545">
        <f t="shared" si="251"/>
        <v>0.32536526106514241</v>
      </c>
      <c r="T1545" s="21">
        <f>(M1545-M1544)/(H1545-H1544)</f>
        <v>0</v>
      </c>
      <c r="W1545">
        <v>1430</v>
      </c>
      <c r="X1545">
        <v>29.892545000000002</v>
      </c>
      <c r="Y1545">
        <v>1</v>
      </c>
      <c r="Z1545">
        <f t="shared" si="248"/>
        <v>1</v>
      </c>
      <c r="AA1545" s="21">
        <f>IF(X1545&gt;$B$8+$B$9,0,ABS(X1545-O1545)/X1545)</f>
        <v>0</v>
      </c>
      <c r="AB1545">
        <f>IF(OR(Z1542&lt;&gt;Z1548,X1545&gt;$B$8+$B$9),0,((X1548-X1542)/(W1548-W1542)-(O1548-O1542)/(W1548-W1542))^2)</f>
        <v>0</v>
      </c>
    </row>
    <row r="1546" spans="7:28" x14ac:dyDescent="0.2">
      <c r="G1546" s="21"/>
      <c r="H1546" s="21">
        <v>1431</v>
      </c>
      <c r="I1546">
        <f t="shared" si="254"/>
        <v>0.1</v>
      </c>
      <c r="J1546">
        <f t="shared" si="255"/>
        <v>0.32536526106514241</v>
      </c>
      <c r="K1546">
        <f t="shared" si="249"/>
        <v>22.5</v>
      </c>
      <c r="L1546">
        <f>0.5*Z1546*K1546/J1546/$B$7</f>
        <v>34.576524743825068</v>
      </c>
      <c r="M1546">
        <f t="shared" si="252"/>
        <v>1.1228068475325188</v>
      </c>
      <c r="N1546" s="21">
        <f t="shared" si="256"/>
        <v>3.9516426543085598E-2</v>
      </c>
      <c r="O1546" s="21">
        <f t="shared" si="257"/>
        <v>38.607454937217383</v>
      </c>
      <c r="P1546">
        <f t="shared" si="253"/>
        <v>1</v>
      </c>
      <c r="Q1546">
        <f t="shared" si="250"/>
        <v>0.32536526106514241</v>
      </c>
      <c r="R1546">
        <f t="shared" si="251"/>
        <v>0.32536526106514241</v>
      </c>
      <c r="T1546" s="21">
        <f>(M1546-M1545)/(H1546-H1545)</f>
        <v>0</v>
      </c>
      <c r="W1546">
        <v>1431</v>
      </c>
      <c r="X1546">
        <v>29.903901999999999</v>
      </c>
      <c r="Y1546">
        <v>1</v>
      </c>
      <c r="Z1546">
        <f t="shared" si="248"/>
        <v>1</v>
      </c>
      <c r="AA1546" s="21">
        <f>IF(X1546&gt;$B$8+$B$9,0,ABS(X1546-O1546)/X1546)</f>
        <v>0</v>
      </c>
      <c r="AB1546">
        <f>IF(OR(Z1543&lt;&gt;Z1549,X1546&gt;$B$8+$B$9),0,((X1549-X1543)/(W1549-W1543)-(O1549-O1543)/(W1549-W1543))^2)</f>
        <v>0</v>
      </c>
    </row>
    <row r="1547" spans="7:28" x14ac:dyDescent="0.2">
      <c r="G1547" s="21"/>
      <c r="H1547" s="21">
        <v>1432</v>
      </c>
      <c r="I1547">
        <f t="shared" si="254"/>
        <v>0.1</v>
      </c>
      <c r="J1547">
        <f t="shared" si="255"/>
        <v>0.32536526106514241</v>
      </c>
      <c r="K1547">
        <f t="shared" si="249"/>
        <v>22.5</v>
      </c>
      <c r="L1547">
        <f>0.5*Z1547*K1547/J1547/$B$7</f>
        <v>34.576524743825068</v>
      </c>
      <c r="M1547">
        <f t="shared" si="252"/>
        <v>1.1228068475325188</v>
      </c>
      <c r="N1547" s="21">
        <f t="shared" si="256"/>
        <v>3.9197553976208582E-2</v>
      </c>
      <c r="O1547" s="21">
        <f t="shared" si="257"/>
        <v>38.707454937217385</v>
      </c>
      <c r="P1547">
        <f t="shared" si="253"/>
        <v>1</v>
      </c>
      <c r="Q1547">
        <f t="shared" si="250"/>
        <v>0.32536526106514241</v>
      </c>
      <c r="R1547">
        <f t="shared" si="251"/>
        <v>0.32536526106514241</v>
      </c>
      <c r="T1547" s="21">
        <f>(M1547-M1546)/(H1547-H1546)</f>
        <v>0</v>
      </c>
      <c r="W1547">
        <v>1432</v>
      </c>
      <c r="X1547">
        <v>29.939595999999998</v>
      </c>
      <c r="Y1547">
        <v>1</v>
      </c>
      <c r="Z1547">
        <f t="shared" si="248"/>
        <v>1</v>
      </c>
      <c r="AA1547" s="21">
        <f>IF(X1547&gt;$B$8+$B$9,0,ABS(X1547-O1547)/X1547)</f>
        <v>0</v>
      </c>
      <c r="AB1547">
        <f>IF(OR(Z1544&lt;&gt;Z1550,X1547&gt;$B$8+$B$9),0,((X1550-X1544)/(W1550-W1544)-(O1550-O1544)/(W1550-W1544))^2)</f>
        <v>0</v>
      </c>
    </row>
    <row r="1548" spans="7:28" x14ac:dyDescent="0.2">
      <c r="G1548" s="21"/>
      <c r="H1548" s="21">
        <v>1433</v>
      </c>
      <c r="I1548">
        <f t="shared" si="254"/>
        <v>0.1</v>
      </c>
      <c r="J1548">
        <f t="shared" si="255"/>
        <v>0.32536526106514241</v>
      </c>
      <c r="K1548">
        <f t="shared" si="249"/>
        <v>22.5</v>
      </c>
      <c r="L1548">
        <f>0.5*Z1548*K1548/J1548/$B$7</f>
        <v>34.576524743825068</v>
      </c>
      <c r="M1548">
        <f t="shared" si="252"/>
        <v>1.1228068475325188</v>
      </c>
      <c r="N1548" s="21">
        <f t="shared" si="256"/>
        <v>3.8878681409331574E-2</v>
      </c>
      <c r="O1548" s="21">
        <f t="shared" si="257"/>
        <v>38.807454937217386</v>
      </c>
      <c r="P1548">
        <f t="shared" si="253"/>
        <v>1</v>
      </c>
      <c r="Q1548">
        <f t="shared" si="250"/>
        <v>0.32536526106514241</v>
      </c>
      <c r="R1548">
        <f t="shared" si="251"/>
        <v>0.32536526106514241</v>
      </c>
      <c r="T1548" s="21">
        <f>(M1548-M1547)/(H1548-H1547)</f>
        <v>0</v>
      </c>
      <c r="W1548">
        <v>1433</v>
      </c>
      <c r="X1548">
        <v>29.978534999999997</v>
      </c>
      <c r="Y1548">
        <v>1</v>
      </c>
      <c r="Z1548">
        <f t="shared" si="248"/>
        <v>1</v>
      </c>
      <c r="AA1548" s="21">
        <f>IF(X1548&gt;$B$8+$B$9,0,ABS(X1548-O1548)/X1548)</f>
        <v>0</v>
      </c>
      <c r="AB1548">
        <f>IF(OR(Z1545&lt;&gt;Z1551,X1548&gt;$B$8+$B$9),0,((X1551-X1545)/(W1551-W1545)-(O1551-O1545)/(W1551-W1545))^2)</f>
        <v>0</v>
      </c>
    </row>
    <row r="1549" spans="7:28" x14ac:dyDescent="0.2">
      <c r="G1549" s="21"/>
      <c r="H1549" s="21">
        <v>1434</v>
      </c>
      <c r="I1549">
        <f t="shared" si="254"/>
        <v>0.1</v>
      </c>
      <c r="J1549">
        <f t="shared" si="255"/>
        <v>0.32536526106514241</v>
      </c>
      <c r="K1549">
        <f t="shared" si="249"/>
        <v>22.5</v>
      </c>
      <c r="L1549">
        <f>0.5*Z1549*K1549/J1549/$B$7</f>
        <v>34.576524743825068</v>
      </c>
      <c r="M1549">
        <f t="shared" si="252"/>
        <v>1.1228068475325188</v>
      </c>
      <c r="N1549" s="21">
        <f t="shared" si="256"/>
        <v>3.8559808842454552E-2</v>
      </c>
      <c r="O1549" s="21">
        <f t="shared" si="257"/>
        <v>38.907454937217388</v>
      </c>
      <c r="P1549">
        <f t="shared" si="253"/>
        <v>1</v>
      </c>
      <c r="Q1549">
        <f t="shared" si="250"/>
        <v>0.32536526106514241</v>
      </c>
      <c r="R1549">
        <f t="shared" si="251"/>
        <v>0.32536526106514241</v>
      </c>
      <c r="T1549" s="21">
        <f>(M1549-M1548)/(H1549-H1548)</f>
        <v>0</v>
      </c>
      <c r="W1549">
        <v>1434</v>
      </c>
      <c r="X1549">
        <v>30.002872</v>
      </c>
      <c r="Y1549">
        <v>1</v>
      </c>
      <c r="Z1549">
        <f t="shared" si="248"/>
        <v>1</v>
      </c>
      <c r="AA1549" s="21">
        <f>IF(X1549&gt;$B$8+$B$9,0,ABS(X1549-O1549)/X1549)</f>
        <v>0</v>
      </c>
      <c r="AB1549">
        <f>IF(OR(Z1546&lt;&gt;Z1552,X1549&gt;$B$8+$B$9),0,((X1552-X1546)/(W1552-W1546)-(O1552-O1546)/(W1552-W1546))^2)</f>
        <v>0</v>
      </c>
    </row>
    <row r="1550" spans="7:28" x14ac:dyDescent="0.2">
      <c r="G1550" s="21"/>
      <c r="H1550" s="21">
        <v>1435</v>
      </c>
      <c r="I1550">
        <f t="shared" si="254"/>
        <v>0.1</v>
      </c>
      <c r="J1550">
        <f t="shared" si="255"/>
        <v>0.32536526106514241</v>
      </c>
      <c r="K1550">
        <f t="shared" si="249"/>
        <v>22.5</v>
      </c>
      <c r="L1550">
        <f>0.5*Z1550*K1550/J1550/$B$7</f>
        <v>34.576524743825068</v>
      </c>
      <c r="M1550">
        <f t="shared" si="252"/>
        <v>1.1228068475325188</v>
      </c>
      <c r="N1550" s="21">
        <f t="shared" si="256"/>
        <v>3.8240936275577529E-2</v>
      </c>
      <c r="O1550" s="21">
        <f t="shared" si="257"/>
        <v>39.007454937217389</v>
      </c>
      <c r="P1550">
        <f t="shared" si="253"/>
        <v>1</v>
      </c>
      <c r="Q1550">
        <f t="shared" si="250"/>
        <v>0.32536526106514241</v>
      </c>
      <c r="R1550">
        <f t="shared" si="251"/>
        <v>0.32536526106514241</v>
      </c>
      <c r="T1550" s="21">
        <f>(M1550-M1549)/(H1550-H1549)</f>
        <v>0</v>
      </c>
      <c r="W1550">
        <v>1435</v>
      </c>
      <c r="X1550">
        <v>30.043432999999997</v>
      </c>
      <c r="Y1550">
        <v>1</v>
      </c>
      <c r="Z1550">
        <f t="shared" si="248"/>
        <v>1</v>
      </c>
      <c r="AA1550" s="21">
        <f>IF(X1550&gt;$B$8+$B$9,0,ABS(X1550-O1550)/X1550)</f>
        <v>0</v>
      </c>
      <c r="AB1550">
        <f>IF(OR(Z1547&lt;&gt;Z1553,X1550&gt;$B$8+$B$9),0,((X1553-X1547)/(W1553-W1547)-(O1553-O1547)/(W1553-W1547))^2)</f>
        <v>0</v>
      </c>
    </row>
    <row r="1551" spans="7:28" x14ac:dyDescent="0.2">
      <c r="G1551" s="21"/>
      <c r="H1551" s="21">
        <v>1436</v>
      </c>
      <c r="I1551">
        <f t="shared" si="254"/>
        <v>0.1</v>
      </c>
      <c r="J1551">
        <f t="shared" si="255"/>
        <v>0.32536526106514241</v>
      </c>
      <c r="K1551">
        <f t="shared" si="249"/>
        <v>22.5</v>
      </c>
      <c r="L1551">
        <f>0.5*Z1551*K1551/J1551/$B$7</f>
        <v>34.576524743825068</v>
      </c>
      <c r="M1551">
        <f t="shared" si="252"/>
        <v>1.1228068475325188</v>
      </c>
      <c r="N1551" s="21">
        <f t="shared" si="256"/>
        <v>3.7922063708700514E-2</v>
      </c>
      <c r="O1551" s="21">
        <f t="shared" si="257"/>
        <v>39.107454937217391</v>
      </c>
      <c r="P1551">
        <f t="shared" si="253"/>
        <v>1</v>
      </c>
      <c r="Q1551">
        <f t="shared" si="250"/>
        <v>0.32536526106514241</v>
      </c>
      <c r="R1551">
        <f t="shared" si="251"/>
        <v>0.32536526106514241</v>
      </c>
      <c r="T1551" s="21">
        <f>(M1551-M1550)/(H1551-H1550)</f>
        <v>0</v>
      </c>
      <c r="W1551">
        <v>1436</v>
      </c>
      <c r="X1551">
        <v>30.062903000000002</v>
      </c>
      <c r="Y1551">
        <v>1</v>
      </c>
      <c r="Z1551">
        <f t="shared" si="248"/>
        <v>1</v>
      </c>
      <c r="AA1551" s="21">
        <f>IF(X1551&gt;$B$8+$B$9,0,ABS(X1551-O1551)/X1551)</f>
        <v>0</v>
      </c>
      <c r="AB1551">
        <f>IF(OR(Z1548&lt;&gt;Z1554,X1551&gt;$B$8+$B$9),0,((X1554-X1548)/(W1554-W1548)-(O1554-O1548)/(W1554-W1548))^2)</f>
        <v>0</v>
      </c>
    </row>
    <row r="1552" spans="7:28" x14ac:dyDescent="0.2">
      <c r="G1552" s="21"/>
      <c r="H1552" s="21">
        <v>1437</v>
      </c>
      <c r="I1552">
        <f t="shared" si="254"/>
        <v>0.1</v>
      </c>
      <c r="J1552">
        <f t="shared" si="255"/>
        <v>0.32536526106514241</v>
      </c>
      <c r="K1552">
        <f t="shared" si="249"/>
        <v>22.5</v>
      </c>
      <c r="L1552">
        <f>0.5*Z1552*K1552/J1552/$B$7</f>
        <v>34.576524743825068</v>
      </c>
      <c r="M1552">
        <f t="shared" si="252"/>
        <v>1.1228068475325188</v>
      </c>
      <c r="N1552" s="21">
        <f t="shared" si="256"/>
        <v>3.7603191141823492E-2</v>
      </c>
      <c r="O1552" s="21">
        <f t="shared" si="257"/>
        <v>39.207454937217392</v>
      </c>
      <c r="P1552">
        <f t="shared" si="253"/>
        <v>1</v>
      </c>
      <c r="Q1552">
        <f t="shared" si="250"/>
        <v>0.32536526106514241</v>
      </c>
      <c r="R1552">
        <f t="shared" si="251"/>
        <v>0.32536526106514241</v>
      </c>
      <c r="T1552" s="21">
        <f>(M1552-M1551)/(H1552-H1551)</f>
        <v>0</v>
      </c>
      <c r="W1552">
        <v>1437</v>
      </c>
      <c r="X1552">
        <v>30.100218999999999</v>
      </c>
      <c r="Y1552">
        <v>1</v>
      </c>
      <c r="Z1552">
        <f t="shared" si="248"/>
        <v>1</v>
      </c>
      <c r="AA1552" s="21">
        <f>IF(X1552&gt;$B$8+$B$9,0,ABS(X1552-O1552)/X1552)</f>
        <v>0</v>
      </c>
      <c r="AB1552">
        <f>IF(OR(Z1549&lt;&gt;Z1555,X1552&gt;$B$8+$B$9),0,((X1555-X1549)/(W1555-W1549)-(O1555-O1549)/(W1555-W1549))^2)</f>
        <v>0</v>
      </c>
    </row>
    <row r="1553" spans="7:28" x14ac:dyDescent="0.2">
      <c r="G1553" s="21"/>
      <c r="H1553" s="21">
        <v>1438</v>
      </c>
      <c r="I1553">
        <f t="shared" si="254"/>
        <v>0.1</v>
      </c>
      <c r="J1553">
        <f t="shared" si="255"/>
        <v>0.32536526106514241</v>
      </c>
      <c r="K1553">
        <f t="shared" si="249"/>
        <v>22.5</v>
      </c>
      <c r="L1553">
        <f>0.5*Z1553*K1553/J1553/$B$7</f>
        <v>34.576524743825068</v>
      </c>
      <c r="M1553">
        <f t="shared" si="252"/>
        <v>1.1228068475325188</v>
      </c>
      <c r="N1553" s="21">
        <f t="shared" si="256"/>
        <v>3.7284318574946476E-2</v>
      </c>
      <c r="O1553" s="21">
        <f t="shared" si="257"/>
        <v>39.307454937217393</v>
      </c>
      <c r="P1553">
        <f t="shared" si="253"/>
        <v>1</v>
      </c>
      <c r="Q1553">
        <f t="shared" si="250"/>
        <v>0.32536526106514241</v>
      </c>
      <c r="R1553">
        <f t="shared" si="251"/>
        <v>0.32536526106514241</v>
      </c>
      <c r="T1553" s="21">
        <f>(M1553-M1552)/(H1553-H1552)</f>
        <v>0</v>
      </c>
      <c r="W1553">
        <v>1438</v>
      </c>
      <c r="X1553">
        <v>30.126178999999997</v>
      </c>
      <c r="Y1553">
        <v>1</v>
      </c>
      <c r="Z1553">
        <f t="shared" si="248"/>
        <v>1</v>
      </c>
      <c r="AA1553" s="21">
        <f>IF(X1553&gt;$B$8+$B$9,0,ABS(X1553-O1553)/X1553)</f>
        <v>0</v>
      </c>
      <c r="AB1553">
        <f>IF(OR(Z1550&lt;&gt;Z1556,X1553&gt;$B$8+$B$9),0,((X1556-X1550)/(W1556-W1550)-(O1556-O1550)/(W1556-W1550))^2)</f>
        <v>0</v>
      </c>
    </row>
    <row r="1554" spans="7:28" x14ac:dyDescent="0.2">
      <c r="G1554" s="21"/>
      <c r="H1554" s="21">
        <v>1439</v>
      </c>
      <c r="I1554">
        <f t="shared" si="254"/>
        <v>0.1</v>
      </c>
      <c r="J1554">
        <f t="shared" si="255"/>
        <v>0.32536526106514241</v>
      </c>
      <c r="K1554">
        <f t="shared" si="249"/>
        <v>22.5</v>
      </c>
      <c r="L1554">
        <f>0.5*Z1554*K1554/J1554/$B$7</f>
        <v>34.576524743825068</v>
      </c>
      <c r="M1554">
        <f t="shared" si="252"/>
        <v>1.1228068475325188</v>
      </c>
      <c r="N1554" s="21">
        <f t="shared" si="256"/>
        <v>3.6965446008069454E-2</v>
      </c>
      <c r="O1554" s="21">
        <f t="shared" si="257"/>
        <v>39.407454937217395</v>
      </c>
      <c r="P1554">
        <f t="shared" si="253"/>
        <v>1</v>
      </c>
      <c r="Q1554">
        <f t="shared" si="250"/>
        <v>0.32536526106514241</v>
      </c>
      <c r="R1554">
        <f t="shared" si="251"/>
        <v>0.32536526106514241</v>
      </c>
      <c r="T1554" s="21">
        <f>(M1554-M1553)/(H1554-H1553)</f>
        <v>0</v>
      </c>
      <c r="W1554">
        <v>1439</v>
      </c>
      <c r="X1554">
        <v>30.161872999999996</v>
      </c>
      <c r="Y1554">
        <v>1</v>
      </c>
      <c r="Z1554">
        <f t="shared" si="248"/>
        <v>1</v>
      </c>
      <c r="AA1554" s="21">
        <f>IF(X1554&gt;$B$8+$B$9,0,ABS(X1554-O1554)/X1554)</f>
        <v>0</v>
      </c>
      <c r="AB1554">
        <f>IF(OR(Z1551&lt;&gt;Z1557,X1554&gt;$B$8+$B$9),0,((X1557-X1551)/(W1557-W1551)-(O1557-O1551)/(W1557-W1551))^2)</f>
        <v>0</v>
      </c>
    </row>
    <row r="1555" spans="7:28" x14ac:dyDescent="0.2">
      <c r="G1555" s="21"/>
      <c r="H1555" s="21">
        <v>1440</v>
      </c>
      <c r="I1555">
        <f t="shared" si="254"/>
        <v>0.1</v>
      </c>
      <c r="J1555">
        <f t="shared" si="255"/>
        <v>0.32536526106514241</v>
      </c>
      <c r="K1555">
        <f t="shared" si="249"/>
        <v>22.5</v>
      </c>
      <c r="L1555">
        <f>0.5*Z1555*K1555/J1555/$B$7</f>
        <v>34.576524743825068</v>
      </c>
      <c r="M1555">
        <f t="shared" si="252"/>
        <v>1.1228068475325188</v>
      </c>
      <c r="N1555" s="21">
        <f t="shared" si="256"/>
        <v>3.6646573441192432E-2</v>
      </c>
      <c r="O1555" s="21">
        <f t="shared" si="257"/>
        <v>39.507454937217396</v>
      </c>
      <c r="P1555">
        <f t="shared" si="253"/>
        <v>1</v>
      </c>
      <c r="Q1555">
        <f t="shared" si="250"/>
        <v>0.32536526106514241</v>
      </c>
      <c r="R1555">
        <f t="shared" si="251"/>
        <v>0.32536526106514241</v>
      </c>
      <c r="T1555" s="21">
        <f>(M1555-M1554)/(H1555-H1554)</f>
        <v>0</v>
      </c>
      <c r="W1555">
        <v>1440</v>
      </c>
      <c r="X1555">
        <v>30.189454000000001</v>
      </c>
      <c r="Y1555">
        <v>1</v>
      </c>
      <c r="Z1555">
        <f t="shared" si="248"/>
        <v>1</v>
      </c>
      <c r="AA1555" s="21">
        <f>IF(X1555&gt;$B$8+$B$9,0,ABS(X1555-O1555)/X1555)</f>
        <v>0</v>
      </c>
      <c r="AB1555">
        <f>IF(OR(Z1552&lt;&gt;Z1558,X1555&gt;$B$8+$B$9),0,((X1558-X1552)/(W1558-W1552)-(O1558-O1552)/(W1558-W1552))^2)</f>
        <v>0</v>
      </c>
    </row>
    <row r="1556" spans="7:28" x14ac:dyDescent="0.2">
      <c r="G1556" s="21"/>
      <c r="H1556" s="21">
        <v>1441</v>
      </c>
      <c r="I1556">
        <f t="shared" si="254"/>
        <v>0.1</v>
      </c>
      <c r="J1556">
        <f t="shared" si="255"/>
        <v>0.32536526106514241</v>
      </c>
      <c r="K1556">
        <f t="shared" si="249"/>
        <v>22.5</v>
      </c>
      <c r="L1556">
        <f>0.5*Z1556*K1556/J1556/$B$7</f>
        <v>34.576524743825068</v>
      </c>
      <c r="M1556">
        <f t="shared" si="252"/>
        <v>1.1228068475325188</v>
      </c>
      <c r="N1556" s="21">
        <f t="shared" si="256"/>
        <v>3.6327700874315423E-2</v>
      </c>
      <c r="O1556" s="21">
        <f t="shared" si="257"/>
        <v>39.607454937217398</v>
      </c>
      <c r="P1556">
        <f t="shared" si="253"/>
        <v>1</v>
      </c>
      <c r="Q1556">
        <f t="shared" si="250"/>
        <v>0.32536526106514241</v>
      </c>
      <c r="R1556">
        <f t="shared" si="251"/>
        <v>0.32536526106514241</v>
      </c>
      <c r="T1556" s="21">
        <f>(M1556-M1555)/(H1556-H1555)</f>
        <v>0</v>
      </c>
      <c r="W1556">
        <v>1441</v>
      </c>
      <c r="X1556">
        <v>30.218658999999999</v>
      </c>
      <c r="Y1556">
        <v>1</v>
      </c>
      <c r="Z1556">
        <f t="shared" si="248"/>
        <v>1</v>
      </c>
      <c r="AA1556" s="21">
        <f>IF(X1556&gt;$B$8+$B$9,0,ABS(X1556-O1556)/X1556)</f>
        <v>0</v>
      </c>
      <c r="AB1556">
        <f>IF(OR(Z1553&lt;&gt;Z1559,X1556&gt;$B$8+$B$9),0,((X1559-X1553)/(W1559-W1553)-(O1559-O1553)/(W1559-W1553))^2)</f>
        <v>0</v>
      </c>
    </row>
    <row r="1557" spans="7:28" x14ac:dyDescent="0.2">
      <c r="G1557" s="21"/>
      <c r="H1557" s="21">
        <v>1442</v>
      </c>
      <c r="I1557">
        <f t="shared" si="254"/>
        <v>0.1</v>
      </c>
      <c r="J1557">
        <f t="shared" si="255"/>
        <v>0.32536526106514241</v>
      </c>
      <c r="K1557">
        <f t="shared" si="249"/>
        <v>22.5</v>
      </c>
      <c r="L1557">
        <f>0.5*Z1557*K1557/J1557/$B$7</f>
        <v>34.576524743825068</v>
      </c>
      <c r="M1557">
        <f t="shared" si="252"/>
        <v>1.1228068475325188</v>
      </c>
      <c r="N1557" s="21">
        <f t="shared" si="256"/>
        <v>3.6008828307438401E-2</v>
      </c>
      <c r="O1557" s="21">
        <f t="shared" si="257"/>
        <v>39.707454937217399</v>
      </c>
      <c r="P1557">
        <f t="shared" si="253"/>
        <v>1</v>
      </c>
      <c r="Q1557">
        <f t="shared" si="250"/>
        <v>0.32536526106514241</v>
      </c>
      <c r="R1557">
        <f t="shared" si="251"/>
        <v>0.32536526106514241</v>
      </c>
      <c r="T1557" s="21">
        <f>(M1557-M1556)/(H1557-H1556)</f>
        <v>0</v>
      </c>
      <c r="W1557">
        <v>1442</v>
      </c>
      <c r="X1557">
        <v>30.260842999999998</v>
      </c>
      <c r="Y1557">
        <v>1</v>
      </c>
      <c r="Z1557">
        <f t="shared" si="248"/>
        <v>1</v>
      </c>
      <c r="AA1557" s="21">
        <f>IF(X1557&gt;$B$8+$B$9,0,ABS(X1557-O1557)/X1557)</f>
        <v>0</v>
      </c>
      <c r="AB1557">
        <f>IF(OR(Z1554&lt;&gt;Z1560,X1557&gt;$B$8+$B$9),0,((X1560-X1554)/(W1560-W1554)-(O1560-O1554)/(W1560-W1554))^2)</f>
        <v>0</v>
      </c>
    </row>
    <row r="1558" spans="7:28" x14ac:dyDescent="0.2">
      <c r="G1558" s="21"/>
      <c r="H1558" s="21">
        <v>1443</v>
      </c>
      <c r="I1558">
        <f t="shared" si="254"/>
        <v>0.1</v>
      </c>
      <c r="J1558">
        <f t="shared" si="255"/>
        <v>0.32536526106514241</v>
      </c>
      <c r="K1558">
        <f t="shared" si="249"/>
        <v>22.5</v>
      </c>
      <c r="L1558">
        <f>0.5*Z1558*K1558/J1558/$B$7</f>
        <v>34.576524743825068</v>
      </c>
      <c r="M1558">
        <f t="shared" si="252"/>
        <v>1.1228068475325188</v>
      </c>
      <c r="N1558" s="21">
        <f t="shared" si="256"/>
        <v>3.5689955740561378E-2</v>
      </c>
      <c r="O1558" s="21">
        <f t="shared" si="257"/>
        <v>39.8074549372174</v>
      </c>
      <c r="P1558">
        <f t="shared" si="253"/>
        <v>1</v>
      </c>
      <c r="Q1558">
        <f t="shared" si="250"/>
        <v>0.32536526106514241</v>
      </c>
      <c r="R1558">
        <f t="shared" si="251"/>
        <v>0.32536526106514241</v>
      </c>
      <c r="T1558" s="21">
        <f>(M1558-M1557)/(H1558-H1557)</f>
        <v>0</v>
      </c>
      <c r="W1558">
        <v>1443</v>
      </c>
      <c r="X1558">
        <v>30.291669000000002</v>
      </c>
      <c r="Y1558">
        <v>1</v>
      </c>
      <c r="Z1558">
        <f t="shared" si="248"/>
        <v>1</v>
      </c>
      <c r="AA1558" s="21">
        <f>IF(X1558&gt;$B$8+$B$9,0,ABS(X1558-O1558)/X1558)</f>
        <v>0</v>
      </c>
      <c r="AB1558">
        <f>IF(OR(Z1555&lt;&gt;Z1561,X1558&gt;$B$8+$B$9),0,((X1561-X1555)/(W1561-W1555)-(O1561-O1555)/(W1561-W1555))^2)</f>
        <v>0</v>
      </c>
    </row>
    <row r="1559" spans="7:28" x14ac:dyDescent="0.2">
      <c r="G1559" s="21"/>
      <c r="H1559" s="21">
        <v>1444</v>
      </c>
      <c r="I1559">
        <f t="shared" si="254"/>
        <v>0.1</v>
      </c>
      <c r="J1559">
        <f t="shared" si="255"/>
        <v>0.32536526106514241</v>
      </c>
      <c r="K1559">
        <f t="shared" si="249"/>
        <v>22.5</v>
      </c>
      <c r="L1559">
        <f>0.5*Z1559*K1559/J1559/$B$7</f>
        <v>34.576524743825068</v>
      </c>
      <c r="M1559">
        <f t="shared" si="252"/>
        <v>1.1228068475325188</v>
      </c>
      <c r="N1559" s="21">
        <f t="shared" si="256"/>
        <v>3.5371083173684363E-2</v>
      </c>
      <c r="O1559" s="21">
        <f t="shared" si="257"/>
        <v>39.907454937217402</v>
      </c>
      <c r="P1559">
        <f t="shared" si="253"/>
        <v>1</v>
      </c>
      <c r="Q1559">
        <f t="shared" si="250"/>
        <v>0.32536526106514241</v>
      </c>
      <c r="R1559">
        <f t="shared" si="251"/>
        <v>0.32536526106514241</v>
      </c>
      <c r="T1559" s="21">
        <f>(M1559-M1558)/(H1559-H1558)</f>
        <v>0</v>
      </c>
      <c r="W1559">
        <v>1444</v>
      </c>
      <c r="X1559">
        <v>30.314384</v>
      </c>
      <c r="Y1559">
        <v>1</v>
      </c>
      <c r="Z1559">
        <f t="shared" si="248"/>
        <v>1</v>
      </c>
      <c r="AA1559" s="21">
        <f>IF(X1559&gt;$B$8+$B$9,0,ABS(X1559-O1559)/X1559)</f>
        <v>0</v>
      </c>
      <c r="AB1559">
        <f>IF(OR(Z1556&lt;&gt;Z1562,X1559&gt;$B$8+$B$9),0,((X1562-X1556)/(W1562-W1556)-(O1562-O1556)/(W1562-W1556))^2)</f>
        <v>0</v>
      </c>
    </row>
    <row r="1560" spans="7:28" x14ac:dyDescent="0.2">
      <c r="G1560" s="21"/>
      <c r="H1560" s="21">
        <v>1445</v>
      </c>
      <c r="I1560">
        <f t="shared" si="254"/>
        <v>0.1</v>
      </c>
      <c r="J1560">
        <f t="shared" si="255"/>
        <v>0.32536526106514241</v>
      </c>
      <c r="K1560">
        <f t="shared" si="249"/>
        <v>22.5</v>
      </c>
      <c r="L1560">
        <f>0.5*Z1560*K1560/J1560/$B$7</f>
        <v>34.576524743825068</v>
      </c>
      <c r="M1560">
        <f t="shared" si="252"/>
        <v>1.1228068475325188</v>
      </c>
      <c r="N1560" s="21">
        <f t="shared" si="256"/>
        <v>3.5052210606807341E-2</v>
      </c>
      <c r="O1560" s="21">
        <f t="shared" si="257"/>
        <v>40.007454937217403</v>
      </c>
      <c r="P1560">
        <f t="shared" si="253"/>
        <v>1</v>
      </c>
      <c r="Q1560">
        <f t="shared" si="250"/>
        <v>0.32536526106514241</v>
      </c>
      <c r="R1560">
        <f t="shared" si="251"/>
        <v>0.32536526106514241</v>
      </c>
      <c r="T1560" s="21">
        <f>(M1560-M1559)/(H1560-H1559)</f>
        <v>0</v>
      </c>
      <c r="W1560">
        <v>1445</v>
      </c>
      <c r="X1560">
        <v>30.350078</v>
      </c>
      <c r="Y1560">
        <v>1</v>
      </c>
      <c r="Z1560">
        <f t="shared" si="248"/>
        <v>1</v>
      </c>
      <c r="AA1560" s="21">
        <f>IF(X1560&gt;$B$8+$B$9,0,ABS(X1560-O1560)/X1560)</f>
        <v>0</v>
      </c>
      <c r="AB1560">
        <f>IF(OR(Z1557&lt;&gt;Z1563,X1560&gt;$B$8+$B$9),0,((X1563-X1557)/(W1563-W1557)-(O1563-O1557)/(W1563-W1557))^2)</f>
        <v>0</v>
      </c>
    </row>
    <row r="1561" spans="7:28" x14ac:dyDescent="0.2">
      <c r="G1561" s="21"/>
      <c r="H1561" s="21">
        <v>1446</v>
      </c>
      <c r="I1561">
        <f t="shared" si="254"/>
        <v>0.1</v>
      </c>
      <c r="J1561">
        <f t="shared" si="255"/>
        <v>0.32536526106514241</v>
      </c>
      <c r="K1561">
        <f t="shared" si="249"/>
        <v>22.5</v>
      </c>
      <c r="L1561">
        <f>0.5*Z1561*K1561/J1561/$B$7</f>
        <v>34.576524743825068</v>
      </c>
      <c r="M1561">
        <f t="shared" si="252"/>
        <v>1.1228068475325188</v>
      </c>
      <c r="N1561" s="21">
        <f t="shared" si="256"/>
        <v>3.4733338039930325E-2</v>
      </c>
      <c r="O1561" s="21">
        <f t="shared" si="257"/>
        <v>40.107454937217405</v>
      </c>
      <c r="P1561">
        <f t="shared" si="253"/>
        <v>1</v>
      </c>
      <c r="Q1561">
        <f t="shared" si="250"/>
        <v>0.32536526106514241</v>
      </c>
      <c r="R1561">
        <f t="shared" si="251"/>
        <v>0.32536526106514241</v>
      </c>
      <c r="T1561" s="21">
        <f>(M1561-M1560)/(H1561-H1560)</f>
        <v>0</v>
      </c>
      <c r="W1561">
        <v>1446</v>
      </c>
      <c r="X1561">
        <v>30.376037</v>
      </c>
      <c r="Y1561">
        <v>1</v>
      </c>
      <c r="Z1561">
        <f t="shared" si="248"/>
        <v>1</v>
      </c>
      <c r="AA1561" s="21">
        <f>IF(X1561&gt;$B$8+$B$9,0,ABS(X1561-O1561)/X1561)</f>
        <v>0</v>
      </c>
      <c r="AB1561">
        <f>IF(OR(Z1558&lt;&gt;Z1564,X1561&gt;$B$8+$B$9),0,((X1564-X1558)/(W1564-W1558)-(O1564-O1558)/(W1564-W1558))^2)</f>
        <v>0</v>
      </c>
    </row>
    <row r="1562" spans="7:28" x14ac:dyDescent="0.2">
      <c r="G1562" s="21"/>
      <c r="H1562" s="21">
        <v>1447</v>
      </c>
      <c r="I1562">
        <f t="shared" si="254"/>
        <v>0.1</v>
      </c>
      <c r="J1562">
        <f t="shared" si="255"/>
        <v>0.32536526106514241</v>
      </c>
      <c r="K1562">
        <f t="shared" si="249"/>
        <v>22.5</v>
      </c>
      <c r="L1562">
        <f>0.5*Z1562*K1562/J1562/$B$7</f>
        <v>34.576524743825068</v>
      </c>
      <c r="M1562">
        <f t="shared" si="252"/>
        <v>1.1228068475325188</v>
      </c>
      <c r="N1562" s="21">
        <f t="shared" si="256"/>
        <v>3.441446547305331E-2</v>
      </c>
      <c r="O1562" s="21">
        <f t="shared" si="257"/>
        <v>40.207454937217406</v>
      </c>
      <c r="P1562">
        <f t="shared" si="253"/>
        <v>1</v>
      </c>
      <c r="Q1562">
        <f t="shared" si="250"/>
        <v>0.32536526106514241</v>
      </c>
      <c r="R1562">
        <f t="shared" si="251"/>
        <v>0.32536526106514241</v>
      </c>
      <c r="T1562" s="21">
        <f>(M1562-M1561)/(H1562-H1561)</f>
        <v>0</v>
      </c>
      <c r="W1562">
        <v>1447</v>
      </c>
      <c r="X1562">
        <v>30.406864000000002</v>
      </c>
      <c r="Y1562">
        <v>1</v>
      </c>
      <c r="Z1562">
        <f t="shared" si="248"/>
        <v>1</v>
      </c>
      <c r="AA1562" s="21">
        <f>IF(X1562&gt;$B$8+$B$9,0,ABS(X1562-O1562)/X1562)</f>
        <v>0</v>
      </c>
      <c r="AB1562">
        <f>IF(OR(Z1559&lt;&gt;Z1565,X1562&gt;$B$8+$B$9),0,((X1565-X1559)/(W1565-W1559)-(O1565-O1559)/(W1565-W1559))^2)</f>
        <v>0</v>
      </c>
    </row>
    <row r="1563" spans="7:28" x14ac:dyDescent="0.2">
      <c r="G1563" s="21"/>
      <c r="H1563" s="21">
        <v>1448</v>
      </c>
      <c r="I1563">
        <f t="shared" si="254"/>
        <v>0.1</v>
      </c>
      <c r="J1563">
        <f t="shared" si="255"/>
        <v>0.32536526106514241</v>
      </c>
      <c r="K1563">
        <f t="shared" si="249"/>
        <v>22.5</v>
      </c>
      <c r="L1563">
        <f>0.5*Z1563*K1563/J1563/$B$7</f>
        <v>34.576524743825068</v>
      </c>
      <c r="M1563">
        <f t="shared" si="252"/>
        <v>1.1228068475325188</v>
      </c>
      <c r="N1563" s="21">
        <f t="shared" si="256"/>
        <v>3.4095592906176288E-2</v>
      </c>
      <c r="O1563" s="21">
        <f t="shared" si="257"/>
        <v>40.307454937217408</v>
      </c>
      <c r="P1563">
        <f t="shared" si="253"/>
        <v>1</v>
      </c>
      <c r="Q1563">
        <f t="shared" si="250"/>
        <v>0.32536526106514241</v>
      </c>
      <c r="R1563">
        <f t="shared" si="251"/>
        <v>0.32536526106514241</v>
      </c>
      <c r="T1563" s="21">
        <f>(M1563-M1562)/(H1563-H1562)</f>
        <v>0</v>
      </c>
      <c r="W1563">
        <v>1448</v>
      </c>
      <c r="X1563">
        <v>30.442558000000002</v>
      </c>
      <c r="Y1563">
        <v>1</v>
      </c>
      <c r="Z1563">
        <f t="shared" si="248"/>
        <v>1</v>
      </c>
      <c r="AA1563" s="21">
        <f>IF(X1563&gt;$B$8+$B$9,0,ABS(X1563-O1563)/X1563)</f>
        <v>0</v>
      </c>
      <c r="AB1563">
        <f>IF(OR(Z1560&lt;&gt;Z1566,X1563&gt;$B$8+$B$9),0,((X1566-X1560)/(W1566-W1560)-(O1566-O1560)/(W1566-W1560))^2)</f>
        <v>0</v>
      </c>
    </row>
    <row r="1564" spans="7:28" x14ac:dyDescent="0.2">
      <c r="G1564" s="21"/>
      <c r="H1564" s="21">
        <v>1449</v>
      </c>
      <c r="I1564">
        <f t="shared" si="254"/>
        <v>0.1</v>
      </c>
      <c r="J1564">
        <f t="shared" si="255"/>
        <v>0.32536526106514241</v>
      </c>
      <c r="K1564">
        <f t="shared" si="249"/>
        <v>22.5</v>
      </c>
      <c r="L1564">
        <f>0.5*Z1564*K1564/J1564/$B$7</f>
        <v>34.576524743825068</v>
      </c>
      <c r="M1564">
        <f t="shared" si="252"/>
        <v>1.1228068475325188</v>
      </c>
      <c r="N1564" s="21">
        <f t="shared" si="256"/>
        <v>3.3776720339299272E-2</v>
      </c>
      <c r="O1564" s="21">
        <f t="shared" si="257"/>
        <v>40.407454937217409</v>
      </c>
      <c r="P1564">
        <f t="shared" si="253"/>
        <v>1</v>
      </c>
      <c r="Q1564">
        <f t="shared" si="250"/>
        <v>0.32536526106514241</v>
      </c>
      <c r="R1564">
        <f t="shared" si="251"/>
        <v>0.32536526106514241</v>
      </c>
      <c r="T1564" s="21">
        <f>(M1564-M1563)/(H1564-H1563)</f>
        <v>0</v>
      </c>
      <c r="W1564">
        <v>1449</v>
      </c>
      <c r="X1564">
        <v>30.463649999999998</v>
      </c>
      <c r="Y1564">
        <v>1</v>
      </c>
      <c r="Z1564">
        <f t="shared" si="248"/>
        <v>1</v>
      </c>
      <c r="AA1564" s="21">
        <f>IF(X1564&gt;$B$8+$B$9,0,ABS(X1564-O1564)/X1564)</f>
        <v>0</v>
      </c>
      <c r="AB1564">
        <f>IF(OR(Z1561&lt;&gt;Z1567,X1564&gt;$B$8+$B$9),0,((X1567-X1561)/(W1567-W1561)-(O1567-O1561)/(W1567-W1561))^2)</f>
        <v>0</v>
      </c>
    </row>
    <row r="1565" spans="7:28" x14ac:dyDescent="0.2">
      <c r="G1565" s="21"/>
      <c r="H1565" s="21">
        <v>1450</v>
      </c>
      <c r="I1565">
        <f t="shared" si="254"/>
        <v>0.1</v>
      </c>
      <c r="J1565">
        <f t="shared" si="255"/>
        <v>0.32536526106514241</v>
      </c>
      <c r="K1565">
        <f t="shared" si="249"/>
        <v>22.5</v>
      </c>
      <c r="L1565">
        <f>0.5*Z1565*K1565/J1565/$B$7</f>
        <v>34.576524743825068</v>
      </c>
      <c r="M1565">
        <f t="shared" si="252"/>
        <v>1.1228068475325188</v>
      </c>
      <c r="N1565" s="21">
        <f t="shared" si="256"/>
        <v>3.345784777242225E-2</v>
      </c>
      <c r="O1565" s="21">
        <f t="shared" si="257"/>
        <v>40.50745493721741</v>
      </c>
      <c r="P1565">
        <f t="shared" si="253"/>
        <v>1</v>
      </c>
      <c r="Q1565">
        <f t="shared" si="250"/>
        <v>0.32536526106514241</v>
      </c>
      <c r="R1565">
        <f t="shared" si="251"/>
        <v>0.32536526106514241</v>
      </c>
      <c r="T1565" s="21">
        <f>(M1565-M1564)/(H1565-H1564)</f>
        <v>0</v>
      </c>
      <c r="W1565">
        <v>1450</v>
      </c>
      <c r="X1565">
        <v>30.500966000000002</v>
      </c>
      <c r="Y1565">
        <v>1</v>
      </c>
      <c r="Z1565">
        <f t="shared" si="248"/>
        <v>1</v>
      </c>
      <c r="AA1565" s="21">
        <f>IF(X1565&gt;$B$8+$B$9,0,ABS(X1565-O1565)/X1565)</f>
        <v>0</v>
      </c>
      <c r="AB1565">
        <f>IF(OR(Z1562&lt;&gt;Z1568,X1565&gt;$B$8+$B$9),0,((X1568-X1562)/(W1568-W1562)-(O1568-O1562)/(W1568-W1562))^2)</f>
        <v>0</v>
      </c>
    </row>
    <row r="1566" spans="7:28" x14ac:dyDescent="0.2">
      <c r="G1566" s="21"/>
      <c r="H1566" s="21">
        <v>1451</v>
      </c>
      <c r="I1566">
        <f t="shared" si="254"/>
        <v>0.1</v>
      </c>
      <c r="J1566">
        <f t="shared" si="255"/>
        <v>0.32536526106514241</v>
      </c>
      <c r="K1566">
        <f t="shared" si="249"/>
        <v>22.5</v>
      </c>
      <c r="L1566">
        <f>0.5*Z1566*K1566/J1566/$B$7</f>
        <v>34.576524743825068</v>
      </c>
      <c r="M1566">
        <f t="shared" si="252"/>
        <v>1.1228068475325188</v>
      </c>
      <c r="N1566" s="21">
        <f t="shared" si="256"/>
        <v>3.3138975205545235E-2</v>
      </c>
      <c r="O1566" s="21">
        <f t="shared" si="257"/>
        <v>40.607454937217412</v>
      </c>
      <c r="P1566">
        <f t="shared" si="253"/>
        <v>1</v>
      </c>
      <c r="Q1566">
        <f t="shared" si="250"/>
        <v>0.32536526106514241</v>
      </c>
      <c r="R1566">
        <f t="shared" si="251"/>
        <v>0.32536526106514241</v>
      </c>
      <c r="T1566" s="21">
        <f>(M1566-M1565)/(H1566-H1565)</f>
        <v>0</v>
      </c>
      <c r="W1566">
        <v>1451</v>
      </c>
      <c r="X1566">
        <v>30.536660000000001</v>
      </c>
      <c r="Y1566">
        <v>1</v>
      </c>
      <c r="Z1566">
        <f t="shared" si="248"/>
        <v>1</v>
      </c>
      <c r="AA1566" s="21">
        <f>IF(X1566&gt;$B$8+$B$9,0,ABS(X1566-O1566)/X1566)</f>
        <v>0</v>
      </c>
      <c r="AB1566">
        <f>IF(OR(Z1563&lt;&gt;Z1569,X1566&gt;$B$8+$B$9),0,((X1569-X1563)/(W1569-W1563)-(O1569-O1563)/(W1569-W1563))^2)</f>
        <v>0</v>
      </c>
    </row>
    <row r="1567" spans="7:28" x14ac:dyDescent="0.2">
      <c r="G1567" s="21"/>
      <c r="H1567" s="21">
        <v>1452</v>
      </c>
      <c r="I1567">
        <f t="shared" si="254"/>
        <v>0.1</v>
      </c>
      <c r="J1567">
        <f t="shared" si="255"/>
        <v>0.32536526106514241</v>
      </c>
      <c r="K1567">
        <f t="shared" si="249"/>
        <v>22.5</v>
      </c>
      <c r="L1567">
        <f>0.5*Z1567*K1567/J1567/$B$7</f>
        <v>34.576524743825068</v>
      </c>
      <c r="M1567">
        <f t="shared" si="252"/>
        <v>1.1228068475325188</v>
      </c>
      <c r="N1567" s="21">
        <f t="shared" si="256"/>
        <v>3.2820102638668212E-2</v>
      </c>
      <c r="O1567" s="21">
        <f t="shared" si="257"/>
        <v>40.707454937217413</v>
      </c>
      <c r="P1567">
        <f t="shared" si="253"/>
        <v>1</v>
      </c>
      <c r="Q1567">
        <f t="shared" si="250"/>
        <v>0.32536526106514241</v>
      </c>
      <c r="R1567">
        <f t="shared" si="251"/>
        <v>0.32536526106514241</v>
      </c>
      <c r="T1567" s="21">
        <f>(M1567-M1566)/(H1567-H1566)</f>
        <v>0</v>
      </c>
      <c r="W1567">
        <v>1452</v>
      </c>
      <c r="X1567">
        <v>30.603181000000003</v>
      </c>
      <c r="Y1567">
        <v>1</v>
      </c>
      <c r="Z1567">
        <f t="shared" si="248"/>
        <v>1</v>
      </c>
      <c r="AA1567" s="21">
        <f>IF(X1567&gt;$B$8+$B$9,0,ABS(X1567-O1567)/X1567)</f>
        <v>0</v>
      </c>
      <c r="AB1567">
        <f>IF(OR(Z1564&lt;&gt;Z1570,X1567&gt;$B$8+$B$9),0,((X1570-X1564)/(W1570-W1564)-(O1570-O1564)/(W1570-W1564))^2)</f>
        <v>0</v>
      </c>
    </row>
    <row r="1568" spans="7:28" x14ac:dyDescent="0.2">
      <c r="G1568" s="21"/>
      <c r="H1568" s="21">
        <v>1453</v>
      </c>
      <c r="I1568">
        <f t="shared" si="254"/>
        <v>0.1</v>
      </c>
      <c r="J1568">
        <f t="shared" si="255"/>
        <v>0.32536526106514241</v>
      </c>
      <c r="K1568">
        <f t="shared" si="249"/>
        <v>22.5</v>
      </c>
      <c r="L1568">
        <f>0.5*Z1568*K1568/J1568/$B$7</f>
        <v>34.576524743825068</v>
      </c>
      <c r="M1568">
        <f t="shared" si="252"/>
        <v>1.1228068475325188</v>
      </c>
      <c r="N1568" s="21">
        <f t="shared" si="256"/>
        <v>3.2501230071791197E-2</v>
      </c>
      <c r="O1568" s="21">
        <f t="shared" si="257"/>
        <v>40.807454937217415</v>
      </c>
      <c r="P1568">
        <f t="shared" si="253"/>
        <v>1</v>
      </c>
      <c r="Q1568">
        <f t="shared" si="250"/>
        <v>0.32536526106514241</v>
      </c>
      <c r="R1568">
        <f t="shared" si="251"/>
        <v>0.32536526106514241</v>
      </c>
      <c r="T1568" s="21">
        <f>(M1568-M1567)/(H1568-H1567)</f>
        <v>0</v>
      </c>
      <c r="W1568">
        <v>1453</v>
      </c>
      <c r="X1568">
        <v>30.595068999999999</v>
      </c>
      <c r="Y1568">
        <v>1</v>
      </c>
      <c r="Z1568">
        <f t="shared" si="248"/>
        <v>1</v>
      </c>
      <c r="AA1568" s="21">
        <f>IF(X1568&gt;$B$8+$B$9,0,ABS(X1568-O1568)/X1568)</f>
        <v>0</v>
      </c>
      <c r="AB1568">
        <f>IF(OR(Z1565&lt;&gt;Z1571,X1568&gt;$B$8+$B$9),0,((X1571-X1565)/(W1571-W1565)-(O1571-O1565)/(W1571-W1565))^2)</f>
        <v>0</v>
      </c>
    </row>
    <row r="1569" spans="7:28" x14ac:dyDescent="0.2">
      <c r="G1569" s="21"/>
      <c r="H1569" s="21">
        <v>1454</v>
      </c>
      <c r="I1569">
        <f t="shared" si="254"/>
        <v>0.1</v>
      </c>
      <c r="J1569">
        <f t="shared" si="255"/>
        <v>0.32536526106514241</v>
      </c>
      <c r="K1569">
        <f t="shared" si="249"/>
        <v>22.5</v>
      </c>
      <c r="L1569">
        <f>0.5*Z1569*K1569/J1569/$B$7</f>
        <v>34.576524743825068</v>
      </c>
      <c r="M1569">
        <f t="shared" si="252"/>
        <v>1.1228068475325188</v>
      </c>
      <c r="N1569" s="21">
        <f t="shared" si="256"/>
        <v>3.2182357504914175E-2</v>
      </c>
      <c r="O1569" s="21">
        <f t="shared" si="257"/>
        <v>40.907454937217416</v>
      </c>
      <c r="P1569">
        <f t="shared" si="253"/>
        <v>1</v>
      </c>
      <c r="Q1569">
        <f t="shared" si="250"/>
        <v>0.32536526106514241</v>
      </c>
      <c r="R1569">
        <f t="shared" si="251"/>
        <v>0.32536526106514241</v>
      </c>
      <c r="T1569" s="21">
        <f>(M1569-M1568)/(H1569-H1568)</f>
        <v>0</v>
      </c>
      <c r="W1569">
        <v>1454</v>
      </c>
      <c r="X1569">
        <v>30.640497999999997</v>
      </c>
      <c r="Y1569">
        <v>1</v>
      </c>
      <c r="Z1569">
        <f t="shared" si="248"/>
        <v>1</v>
      </c>
      <c r="AA1569" s="21">
        <f>IF(X1569&gt;$B$8+$B$9,0,ABS(X1569-O1569)/X1569)</f>
        <v>0</v>
      </c>
      <c r="AB1569">
        <f>IF(OR(Z1566&lt;&gt;Z1572,X1569&gt;$B$8+$B$9),0,((X1572-X1566)/(W1572-W1566)-(O1572-O1566)/(W1572-W1566))^2)</f>
        <v>0</v>
      </c>
    </row>
    <row r="1570" spans="7:28" x14ac:dyDescent="0.2">
      <c r="G1570" s="21"/>
      <c r="H1570" s="21">
        <v>1455</v>
      </c>
      <c r="I1570">
        <f t="shared" si="254"/>
        <v>0.1</v>
      </c>
      <c r="J1570">
        <f t="shared" si="255"/>
        <v>0.32536526106514241</v>
      </c>
      <c r="K1570">
        <f t="shared" si="249"/>
        <v>22.5</v>
      </c>
      <c r="L1570">
        <f>0.5*Z1570*K1570/J1570/$B$7</f>
        <v>34.576524743825068</v>
      </c>
      <c r="M1570">
        <f t="shared" si="252"/>
        <v>1.1228068475325188</v>
      </c>
      <c r="N1570" s="21">
        <f t="shared" si="256"/>
        <v>3.1863484938037159E-2</v>
      </c>
      <c r="O1570" s="21">
        <f t="shared" si="257"/>
        <v>41.007454937217418</v>
      </c>
      <c r="P1570">
        <f t="shared" si="253"/>
        <v>1</v>
      </c>
      <c r="Q1570">
        <f t="shared" si="250"/>
        <v>0.32536526106514241</v>
      </c>
      <c r="R1570">
        <f t="shared" si="251"/>
        <v>0.32536526106514241</v>
      </c>
      <c r="T1570" s="21">
        <f>(M1570-M1569)/(H1570-H1569)</f>
        <v>0</v>
      </c>
      <c r="W1570">
        <v>1455</v>
      </c>
      <c r="X1570">
        <v>30.656721999999998</v>
      </c>
      <c r="Y1570">
        <v>1</v>
      </c>
      <c r="Z1570">
        <f t="shared" si="248"/>
        <v>1</v>
      </c>
      <c r="AA1570" s="21">
        <f>IF(X1570&gt;$B$8+$B$9,0,ABS(X1570-O1570)/X1570)</f>
        <v>0</v>
      </c>
      <c r="AB1570">
        <f>IF(OR(Z1567&lt;&gt;Z1573,X1570&gt;$B$8+$B$9),0,((X1573-X1567)/(W1573-W1567)-(O1573-O1567)/(W1573-W1567))^2)</f>
        <v>0</v>
      </c>
    </row>
    <row r="1571" spans="7:28" x14ac:dyDescent="0.2">
      <c r="G1571" s="21"/>
      <c r="H1571" s="21">
        <v>1456</v>
      </c>
      <c r="I1571">
        <f t="shared" si="254"/>
        <v>0.1</v>
      </c>
      <c r="J1571">
        <f t="shared" si="255"/>
        <v>0.32536526106514241</v>
      </c>
      <c r="K1571">
        <f t="shared" si="249"/>
        <v>22.5</v>
      </c>
      <c r="L1571">
        <f>0.5*Z1571*K1571/J1571/$B$7</f>
        <v>34.576524743825068</v>
      </c>
      <c r="M1571">
        <f t="shared" si="252"/>
        <v>1.1228068475325188</v>
      </c>
      <c r="N1571" s="21">
        <f t="shared" si="256"/>
        <v>3.1544612371160137E-2</v>
      </c>
      <c r="O1571" s="21">
        <f t="shared" si="257"/>
        <v>41.107454937217419</v>
      </c>
      <c r="P1571">
        <f t="shared" si="253"/>
        <v>1</v>
      </c>
      <c r="Q1571">
        <f t="shared" si="250"/>
        <v>0.32536526106514241</v>
      </c>
      <c r="R1571">
        <f t="shared" si="251"/>
        <v>0.32536526106514241</v>
      </c>
      <c r="T1571" s="21">
        <f>(M1571-M1570)/(H1571-H1570)</f>
        <v>0</v>
      </c>
      <c r="W1571">
        <v>1456</v>
      </c>
      <c r="X1571">
        <v>30.705395999999997</v>
      </c>
      <c r="Y1571">
        <v>1</v>
      </c>
      <c r="Z1571">
        <f t="shared" si="248"/>
        <v>1</v>
      </c>
      <c r="AA1571" s="21">
        <f>IF(X1571&gt;$B$8+$B$9,0,ABS(X1571-O1571)/X1571)</f>
        <v>0</v>
      </c>
      <c r="AB1571">
        <f>IF(OR(Z1568&lt;&gt;Z1574,X1571&gt;$B$8+$B$9),0,((X1574-X1568)/(W1574-W1568)-(O1574-O1568)/(W1574-W1568))^2)</f>
        <v>0</v>
      </c>
    </row>
    <row r="1572" spans="7:28" x14ac:dyDescent="0.2">
      <c r="G1572" s="21"/>
      <c r="H1572" s="21">
        <v>1457</v>
      </c>
      <c r="I1572">
        <f t="shared" si="254"/>
        <v>0.1</v>
      </c>
      <c r="J1572">
        <f t="shared" si="255"/>
        <v>0.32536526106514241</v>
      </c>
      <c r="K1572">
        <f t="shared" si="249"/>
        <v>22.5</v>
      </c>
      <c r="L1572">
        <f>0.5*Z1572*K1572/J1572/$B$7</f>
        <v>34.576524743825068</v>
      </c>
      <c r="M1572">
        <f t="shared" si="252"/>
        <v>1.1228068475325188</v>
      </c>
      <c r="N1572" s="21">
        <f t="shared" si="256"/>
        <v>3.1225739804283122E-2</v>
      </c>
      <c r="O1572" s="21">
        <f t="shared" si="257"/>
        <v>41.20745493721742</v>
      </c>
      <c r="P1572">
        <f t="shared" si="253"/>
        <v>1</v>
      </c>
      <c r="Q1572">
        <f t="shared" si="250"/>
        <v>0.32536526106514241</v>
      </c>
      <c r="R1572">
        <f t="shared" si="251"/>
        <v>0.32536526106514241</v>
      </c>
      <c r="T1572" s="21">
        <f>(M1572-M1571)/(H1572-H1571)</f>
        <v>0</v>
      </c>
      <c r="W1572">
        <v>1457</v>
      </c>
      <c r="X1572">
        <v>30.723243</v>
      </c>
      <c r="Y1572">
        <v>1</v>
      </c>
      <c r="Z1572">
        <f t="shared" si="248"/>
        <v>1</v>
      </c>
      <c r="AA1572" s="21">
        <f>IF(X1572&gt;$B$8+$B$9,0,ABS(X1572-O1572)/X1572)</f>
        <v>0</v>
      </c>
      <c r="AB1572">
        <f>IF(OR(Z1569&lt;&gt;Z1575,X1572&gt;$B$8+$B$9),0,((X1575-X1569)/(W1575-W1569)-(O1575-O1569)/(W1575-W1569))^2)</f>
        <v>0</v>
      </c>
    </row>
    <row r="1573" spans="7:28" x14ac:dyDescent="0.2">
      <c r="G1573" s="21"/>
      <c r="H1573" s="21">
        <v>1458</v>
      </c>
      <c r="I1573">
        <f t="shared" si="254"/>
        <v>0.1</v>
      </c>
      <c r="J1573">
        <f t="shared" si="255"/>
        <v>0.32536526106514241</v>
      </c>
      <c r="K1573">
        <f t="shared" si="249"/>
        <v>22.5</v>
      </c>
      <c r="L1573">
        <f>0.5*Z1573*K1573/J1573/$B$7</f>
        <v>34.576524743825068</v>
      </c>
      <c r="M1573">
        <f t="shared" si="252"/>
        <v>1.1228068475325188</v>
      </c>
      <c r="N1573" s="21">
        <f t="shared" si="256"/>
        <v>3.0906867237406099E-2</v>
      </c>
      <c r="O1573" s="21">
        <f t="shared" si="257"/>
        <v>41.307454937217422</v>
      </c>
      <c r="P1573">
        <f t="shared" si="253"/>
        <v>1</v>
      </c>
      <c r="Q1573">
        <f t="shared" si="250"/>
        <v>0.32536526106514241</v>
      </c>
      <c r="R1573">
        <f t="shared" si="251"/>
        <v>0.32536526106514241</v>
      </c>
      <c r="T1573" s="21">
        <f>(M1573-M1572)/(H1573-H1572)</f>
        <v>0</v>
      </c>
      <c r="W1573">
        <v>1458</v>
      </c>
      <c r="X1573">
        <v>30.763805000000001</v>
      </c>
      <c r="Y1573">
        <v>1</v>
      </c>
      <c r="Z1573">
        <f t="shared" si="248"/>
        <v>1</v>
      </c>
      <c r="AA1573" s="21">
        <f>IF(X1573&gt;$B$8+$B$9,0,ABS(X1573-O1573)/X1573)</f>
        <v>0</v>
      </c>
      <c r="AB1573">
        <f>IF(OR(Z1570&lt;&gt;Z1576,X1573&gt;$B$8+$B$9),0,((X1576-X1570)/(W1576-W1570)-(O1576-O1570)/(W1576-W1570))^2)</f>
        <v>0</v>
      </c>
    </row>
    <row r="1574" spans="7:28" x14ac:dyDescent="0.2">
      <c r="G1574" s="21"/>
      <c r="H1574" s="21">
        <v>1459</v>
      </c>
      <c r="I1574">
        <f t="shared" si="254"/>
        <v>0.1</v>
      </c>
      <c r="J1574">
        <f t="shared" si="255"/>
        <v>0.32536526106514241</v>
      </c>
      <c r="K1574">
        <f t="shared" si="249"/>
        <v>22.5</v>
      </c>
      <c r="L1574">
        <f>0.5*Z1574*K1574/J1574/$B$7</f>
        <v>34.576524743825068</v>
      </c>
      <c r="M1574">
        <f t="shared" si="252"/>
        <v>1.1228068475325188</v>
      </c>
      <c r="N1574" s="21">
        <f t="shared" si="256"/>
        <v>3.058799467052908E-2</v>
      </c>
      <c r="O1574" s="21">
        <f t="shared" si="257"/>
        <v>41.407454937217423</v>
      </c>
      <c r="P1574">
        <f t="shared" si="253"/>
        <v>1</v>
      </c>
      <c r="Q1574">
        <f t="shared" si="250"/>
        <v>0.32536526106514241</v>
      </c>
      <c r="R1574">
        <f t="shared" si="251"/>
        <v>0.32536526106514241</v>
      </c>
      <c r="T1574" s="21">
        <f>(M1574-M1573)/(H1574-H1573)</f>
        <v>0</v>
      </c>
      <c r="W1574">
        <v>1459</v>
      </c>
      <c r="X1574">
        <v>30.802744000000001</v>
      </c>
      <c r="Y1574">
        <v>1</v>
      </c>
      <c r="Z1574">
        <f t="shared" si="248"/>
        <v>1</v>
      </c>
      <c r="AA1574" s="21">
        <f>IF(X1574&gt;$B$8+$B$9,0,ABS(X1574-O1574)/X1574)</f>
        <v>0</v>
      </c>
      <c r="AB1574">
        <f>IF(OR(Z1571&lt;&gt;Z1577,X1574&gt;$B$8+$B$9),0,((X1577-X1571)/(W1577-W1571)-(O1577-O1571)/(W1577-W1571))^2)</f>
        <v>0</v>
      </c>
    </row>
    <row r="1575" spans="7:28" x14ac:dyDescent="0.2">
      <c r="G1575" s="21"/>
      <c r="H1575" s="21">
        <v>1460</v>
      </c>
      <c r="I1575">
        <f t="shared" si="254"/>
        <v>0.1</v>
      </c>
      <c r="J1575">
        <f t="shared" si="255"/>
        <v>0.32536526106514241</v>
      </c>
      <c r="K1575">
        <f t="shared" si="249"/>
        <v>22.5</v>
      </c>
      <c r="L1575">
        <f>0.5*Z1575*K1575/J1575/$B$7</f>
        <v>34.576524743825068</v>
      </c>
      <c r="M1575">
        <f t="shared" si="252"/>
        <v>1.1228068475325188</v>
      </c>
      <c r="N1575" s="21">
        <f t="shared" si="256"/>
        <v>3.0269122103652062E-2</v>
      </c>
      <c r="O1575" s="21">
        <f t="shared" si="257"/>
        <v>41.507454937217425</v>
      </c>
      <c r="P1575">
        <f t="shared" si="253"/>
        <v>1</v>
      </c>
      <c r="Q1575">
        <f t="shared" si="250"/>
        <v>0.32536526106514241</v>
      </c>
      <c r="R1575">
        <f t="shared" si="251"/>
        <v>0.32536526106514241</v>
      </c>
      <c r="T1575" s="21">
        <f>(M1575-M1574)/(H1575-H1574)</f>
        <v>0</v>
      </c>
      <c r="W1575">
        <v>1460</v>
      </c>
      <c r="X1575">
        <v>30.831948000000001</v>
      </c>
      <c r="Y1575">
        <v>1</v>
      </c>
      <c r="Z1575">
        <f t="shared" si="248"/>
        <v>1</v>
      </c>
      <c r="AA1575" s="21">
        <f>IF(X1575&gt;$B$8+$B$9,0,ABS(X1575-O1575)/X1575)</f>
        <v>0</v>
      </c>
      <c r="AB1575">
        <f>IF(OR(Z1572&lt;&gt;Z1578,X1575&gt;$B$8+$B$9),0,((X1578-X1572)/(W1578-W1572)-(O1578-O1572)/(W1578-W1572))^2)</f>
        <v>0</v>
      </c>
    </row>
    <row r="1576" spans="7:28" x14ac:dyDescent="0.2">
      <c r="G1576" s="21"/>
      <c r="H1576" s="21">
        <v>1461</v>
      </c>
      <c r="I1576">
        <f t="shared" si="254"/>
        <v>0.1</v>
      </c>
      <c r="J1576">
        <f t="shared" si="255"/>
        <v>0.32536526106514241</v>
      </c>
      <c r="K1576">
        <f t="shared" si="249"/>
        <v>22.5</v>
      </c>
      <c r="L1576">
        <f>0.5*Z1576*K1576/J1576/$B$7</f>
        <v>34.576524743825068</v>
      </c>
      <c r="M1576">
        <f t="shared" si="252"/>
        <v>1.1228068475325188</v>
      </c>
      <c r="N1576" s="21">
        <f t="shared" si="256"/>
        <v>2.9950249536775046E-2</v>
      </c>
      <c r="O1576" s="21">
        <f t="shared" si="257"/>
        <v>41.607454937217426</v>
      </c>
      <c r="P1576">
        <f t="shared" si="253"/>
        <v>1</v>
      </c>
      <c r="Q1576">
        <f t="shared" si="250"/>
        <v>0.32536526106514241</v>
      </c>
      <c r="R1576">
        <f t="shared" si="251"/>
        <v>0.32536526106514241</v>
      </c>
      <c r="T1576" s="21">
        <f>(M1576-M1575)/(H1576-H1575)</f>
        <v>0</v>
      </c>
      <c r="W1576">
        <v>1461</v>
      </c>
      <c r="X1576">
        <v>30.869263999999998</v>
      </c>
      <c r="Y1576">
        <v>1</v>
      </c>
      <c r="Z1576">
        <f t="shared" si="248"/>
        <v>1</v>
      </c>
      <c r="AA1576" s="21">
        <f>IF(X1576&gt;$B$8+$B$9,0,ABS(X1576-O1576)/X1576)</f>
        <v>0</v>
      </c>
      <c r="AB1576">
        <f>IF(OR(Z1573&lt;&gt;Z1579,X1576&gt;$B$8+$B$9),0,((X1579-X1573)/(W1579-W1573)-(O1579-O1573)/(W1579-W1573))^2)</f>
        <v>0</v>
      </c>
    </row>
    <row r="1577" spans="7:28" x14ac:dyDescent="0.2">
      <c r="G1577" s="21"/>
      <c r="H1577" s="21">
        <v>1462</v>
      </c>
      <c r="I1577">
        <f t="shared" si="254"/>
        <v>0.1</v>
      </c>
      <c r="J1577">
        <f t="shared" si="255"/>
        <v>0.32536526106514241</v>
      </c>
      <c r="K1577">
        <f t="shared" si="249"/>
        <v>22.5</v>
      </c>
      <c r="L1577">
        <f>0.5*Z1577*K1577/J1577/$B$7</f>
        <v>34.576524743825068</v>
      </c>
      <c r="M1577">
        <f t="shared" si="252"/>
        <v>1.1228068475325188</v>
      </c>
      <c r="N1577" s="21">
        <f t="shared" si="256"/>
        <v>2.9631376969898024E-2</v>
      </c>
      <c r="O1577" s="21">
        <f t="shared" si="257"/>
        <v>41.707454937217427</v>
      </c>
      <c r="P1577">
        <f t="shared" si="253"/>
        <v>1</v>
      </c>
      <c r="Q1577">
        <f t="shared" si="250"/>
        <v>0.32536526106514241</v>
      </c>
      <c r="R1577">
        <f t="shared" si="251"/>
        <v>0.32536526106514241</v>
      </c>
      <c r="T1577" s="21">
        <f>(M1577-M1576)/(H1577-H1576)</f>
        <v>0</v>
      </c>
      <c r="W1577">
        <v>1462</v>
      </c>
      <c r="X1577">
        <v>30.903335999999999</v>
      </c>
      <c r="Y1577">
        <v>1</v>
      </c>
      <c r="Z1577">
        <f t="shared" si="248"/>
        <v>1</v>
      </c>
      <c r="AA1577" s="21">
        <f>IF(X1577&gt;$B$8+$B$9,0,ABS(X1577-O1577)/X1577)</f>
        <v>0</v>
      </c>
      <c r="AB1577">
        <f>IF(OR(Z1574&lt;&gt;Z1580,X1577&gt;$B$8+$B$9),0,((X1580-X1574)/(W1580-W1574)-(O1580-O1574)/(W1580-W1574))^2)</f>
        <v>0</v>
      </c>
    </row>
    <row r="1578" spans="7:28" x14ac:dyDescent="0.2">
      <c r="G1578" s="21"/>
      <c r="H1578" s="21">
        <v>1463</v>
      </c>
      <c r="I1578">
        <f t="shared" si="254"/>
        <v>0.1</v>
      </c>
      <c r="J1578">
        <f t="shared" si="255"/>
        <v>0.32536526106514241</v>
      </c>
      <c r="K1578">
        <f t="shared" si="249"/>
        <v>22.5</v>
      </c>
      <c r="L1578">
        <f>0.5*Z1578*K1578/J1578/$B$7</f>
        <v>34.576524743825068</v>
      </c>
      <c r="M1578">
        <f t="shared" si="252"/>
        <v>1.1228068475325188</v>
      </c>
      <c r="N1578" s="21">
        <f t="shared" si="256"/>
        <v>2.9312504403021009E-2</v>
      </c>
      <c r="O1578" s="21">
        <f t="shared" si="257"/>
        <v>41.807454937217429</v>
      </c>
      <c r="P1578">
        <f t="shared" si="253"/>
        <v>1</v>
      </c>
      <c r="Q1578">
        <f t="shared" si="250"/>
        <v>0.32536526106514241</v>
      </c>
      <c r="R1578">
        <f t="shared" si="251"/>
        <v>0.32536526106514241</v>
      </c>
      <c r="T1578" s="21">
        <f>(M1578-M1577)/(H1578-H1577)</f>
        <v>0</v>
      </c>
      <c r="W1578">
        <v>1463</v>
      </c>
      <c r="X1578">
        <v>30.934163000000002</v>
      </c>
      <c r="Y1578">
        <v>1</v>
      </c>
      <c r="Z1578">
        <f t="shared" si="248"/>
        <v>1</v>
      </c>
      <c r="AA1578" s="21">
        <f>IF(X1578&gt;$B$8+$B$9,0,ABS(X1578-O1578)/X1578)</f>
        <v>0</v>
      </c>
      <c r="AB1578">
        <f>IF(OR(Z1575&lt;&gt;Z1581,X1578&gt;$B$8+$B$9),0,((X1581-X1575)/(W1581-W1575)-(O1581-O1575)/(W1581-W1575))^2)</f>
        <v>0</v>
      </c>
    </row>
    <row r="1579" spans="7:28" x14ac:dyDescent="0.2">
      <c r="G1579" s="21"/>
      <c r="H1579" s="21">
        <v>1464</v>
      </c>
      <c r="I1579">
        <f t="shared" si="254"/>
        <v>0.1</v>
      </c>
      <c r="J1579">
        <f t="shared" si="255"/>
        <v>0.32536526106514241</v>
      </c>
      <c r="K1579">
        <f t="shared" si="249"/>
        <v>22.5</v>
      </c>
      <c r="L1579">
        <f>0.5*Z1579*K1579/J1579/$B$7</f>
        <v>34.576524743825068</v>
      </c>
      <c r="M1579">
        <f t="shared" si="252"/>
        <v>1.1228068475325188</v>
      </c>
      <c r="N1579" s="21">
        <f t="shared" si="256"/>
        <v>2.899363183614399E-2</v>
      </c>
      <c r="O1579" s="21">
        <f t="shared" si="257"/>
        <v>41.90745493721743</v>
      </c>
      <c r="P1579">
        <f t="shared" si="253"/>
        <v>1</v>
      </c>
      <c r="Q1579">
        <f t="shared" si="250"/>
        <v>0.32536526106514241</v>
      </c>
      <c r="R1579">
        <f t="shared" si="251"/>
        <v>0.32536526106514241</v>
      </c>
      <c r="T1579" s="21">
        <f>(M1579-M1578)/(H1579-H1578)</f>
        <v>0</v>
      </c>
      <c r="W1579">
        <v>1464</v>
      </c>
      <c r="X1579">
        <v>30.964988999999999</v>
      </c>
      <c r="Y1579">
        <v>1</v>
      </c>
      <c r="Z1579">
        <f t="shared" si="248"/>
        <v>1</v>
      </c>
      <c r="AA1579" s="21">
        <f>IF(X1579&gt;$B$8+$B$9,0,ABS(X1579-O1579)/X1579)</f>
        <v>0</v>
      </c>
      <c r="AB1579">
        <f>IF(OR(Z1576&lt;&gt;Z1582,X1579&gt;$B$8+$B$9),0,((X1582-X1576)/(W1582-W1576)-(O1582-O1576)/(W1582-W1576))^2)</f>
        <v>0</v>
      </c>
    </row>
    <row r="1580" spans="7:28" x14ac:dyDescent="0.2">
      <c r="G1580" s="21"/>
      <c r="H1580" s="21">
        <v>1465</v>
      </c>
      <c r="I1580">
        <f t="shared" si="254"/>
        <v>0.1</v>
      </c>
      <c r="J1580">
        <f t="shared" si="255"/>
        <v>0.32536526106514241</v>
      </c>
      <c r="K1580">
        <f t="shared" si="249"/>
        <v>22.5</v>
      </c>
      <c r="L1580">
        <f>0.5*Z1580*K1580/J1580/$B$7</f>
        <v>34.576524743825068</v>
      </c>
      <c r="M1580">
        <f t="shared" si="252"/>
        <v>1.1228068475325188</v>
      </c>
      <c r="N1580" s="21">
        <f t="shared" si="256"/>
        <v>2.8674759269266971E-2</v>
      </c>
      <c r="O1580" s="21">
        <f t="shared" si="257"/>
        <v>42.007454937217432</v>
      </c>
      <c r="P1580">
        <f t="shared" si="253"/>
        <v>1</v>
      </c>
      <c r="Q1580">
        <f t="shared" si="250"/>
        <v>0.32536526106514241</v>
      </c>
      <c r="R1580">
        <f t="shared" si="251"/>
        <v>0.32536526106514241</v>
      </c>
      <c r="T1580" s="21">
        <f>(M1580-M1579)/(H1580-H1579)</f>
        <v>0</v>
      </c>
      <c r="W1580">
        <v>1465</v>
      </c>
      <c r="X1580">
        <v>30.999061000000001</v>
      </c>
      <c r="Y1580">
        <v>1</v>
      </c>
      <c r="Z1580">
        <f t="shared" si="248"/>
        <v>1</v>
      </c>
      <c r="AA1580" s="21">
        <f>IF(X1580&gt;$B$8+$B$9,0,ABS(X1580-O1580)/X1580)</f>
        <v>0</v>
      </c>
      <c r="AB1580">
        <f>IF(OR(Z1577&lt;&gt;Z1583,X1580&gt;$B$8+$B$9),0,((X1583-X1577)/(W1583-W1577)-(O1583-O1577)/(W1583-W1577))^2)</f>
        <v>0</v>
      </c>
    </row>
    <row r="1581" spans="7:28" x14ac:dyDescent="0.2">
      <c r="G1581" s="21"/>
      <c r="H1581" s="21">
        <v>1466</v>
      </c>
      <c r="I1581">
        <f t="shared" si="254"/>
        <v>0.1</v>
      </c>
      <c r="J1581">
        <f t="shared" si="255"/>
        <v>0.32536526106514241</v>
      </c>
      <c r="K1581">
        <f t="shared" si="249"/>
        <v>22.5</v>
      </c>
      <c r="L1581">
        <f>0.5*Z1581*K1581/J1581/$B$7</f>
        <v>34.576524743825068</v>
      </c>
      <c r="M1581">
        <f t="shared" si="252"/>
        <v>1.1228068475325188</v>
      </c>
      <c r="N1581" s="21">
        <f t="shared" si="256"/>
        <v>2.8355886702389952E-2</v>
      </c>
      <c r="O1581" s="21">
        <f t="shared" si="257"/>
        <v>42.107454937217433</v>
      </c>
      <c r="P1581">
        <f t="shared" si="253"/>
        <v>1</v>
      </c>
      <c r="Q1581">
        <f t="shared" si="250"/>
        <v>0.32536526106514241</v>
      </c>
      <c r="R1581">
        <f t="shared" si="251"/>
        <v>0.32536526106514241</v>
      </c>
      <c r="T1581" s="21">
        <f>(M1581-M1580)/(H1581-H1580)</f>
        <v>0</v>
      </c>
      <c r="W1581">
        <v>1466</v>
      </c>
      <c r="X1581">
        <v>31.036376999999998</v>
      </c>
      <c r="Y1581">
        <v>1</v>
      </c>
      <c r="Z1581">
        <f t="shared" si="248"/>
        <v>1</v>
      </c>
      <c r="AA1581" s="21">
        <f>IF(X1581&gt;$B$8+$B$9,0,ABS(X1581-O1581)/X1581)</f>
        <v>0</v>
      </c>
      <c r="AB1581">
        <f>IF(OR(Z1578&lt;&gt;Z1584,X1581&gt;$B$8+$B$9),0,((X1584-X1578)/(W1584-W1578)-(O1584-O1578)/(W1584-W1578))^2)</f>
        <v>0</v>
      </c>
    </row>
    <row r="1582" spans="7:28" x14ac:dyDescent="0.2">
      <c r="G1582" s="21"/>
      <c r="H1582" s="21">
        <v>1467</v>
      </c>
      <c r="I1582">
        <f t="shared" si="254"/>
        <v>0.1</v>
      </c>
      <c r="J1582">
        <f t="shared" si="255"/>
        <v>0.32536526106514241</v>
      </c>
      <c r="K1582">
        <f t="shared" si="249"/>
        <v>22.5</v>
      </c>
      <c r="L1582">
        <f>0.5*Z1582*K1582/J1582/$B$7</f>
        <v>34.576524743825068</v>
      </c>
      <c r="M1582">
        <f t="shared" si="252"/>
        <v>1.1228068475325188</v>
      </c>
      <c r="N1582" s="21">
        <f t="shared" si="256"/>
        <v>2.8037014135512937E-2</v>
      </c>
      <c r="O1582" s="21">
        <f t="shared" si="257"/>
        <v>42.207454937217435</v>
      </c>
      <c r="P1582">
        <f t="shared" si="253"/>
        <v>1</v>
      </c>
      <c r="Q1582">
        <f t="shared" si="250"/>
        <v>0.32536526106514241</v>
      </c>
      <c r="R1582">
        <f t="shared" si="251"/>
        <v>0.32536526106514241</v>
      </c>
      <c r="T1582" s="21">
        <f>(M1582-M1581)/(H1582-H1581)</f>
        <v>0</v>
      </c>
      <c r="W1582">
        <v>1467</v>
      </c>
      <c r="X1582">
        <v>31.070449</v>
      </c>
      <c r="Y1582">
        <v>1</v>
      </c>
      <c r="Z1582">
        <f t="shared" si="248"/>
        <v>1</v>
      </c>
      <c r="AA1582" s="21">
        <f>IF(X1582&gt;$B$8+$B$9,0,ABS(X1582-O1582)/X1582)</f>
        <v>0</v>
      </c>
      <c r="AB1582">
        <f>IF(OR(Z1579&lt;&gt;Z1585,X1582&gt;$B$8+$B$9),0,((X1585-X1579)/(W1585-W1579)-(O1585-O1579)/(W1585-W1579))^2)</f>
        <v>0</v>
      </c>
    </row>
    <row r="1583" spans="7:28" x14ac:dyDescent="0.2">
      <c r="G1583" s="21"/>
      <c r="H1583" s="21">
        <v>1468</v>
      </c>
      <c r="I1583">
        <f t="shared" si="254"/>
        <v>0.1</v>
      </c>
      <c r="J1583">
        <f t="shared" si="255"/>
        <v>0.32536526106514241</v>
      </c>
      <c r="K1583">
        <f t="shared" si="249"/>
        <v>22.5</v>
      </c>
      <c r="L1583">
        <f>0.5*Z1583*K1583/J1583/$B$7</f>
        <v>34.576524743825068</v>
      </c>
      <c r="M1583">
        <f t="shared" si="252"/>
        <v>1.1228068475325188</v>
      </c>
      <c r="N1583" s="21">
        <f t="shared" si="256"/>
        <v>2.7718141568635911E-2</v>
      </c>
      <c r="O1583" s="21">
        <f t="shared" si="257"/>
        <v>42.307454937217436</v>
      </c>
      <c r="P1583">
        <f t="shared" si="253"/>
        <v>1</v>
      </c>
      <c r="Q1583">
        <f t="shared" si="250"/>
        <v>0.32536526106514241</v>
      </c>
      <c r="R1583">
        <f t="shared" si="251"/>
        <v>0.32536526106514241</v>
      </c>
      <c r="T1583" s="21">
        <f>(M1583-M1582)/(H1583-H1582)</f>
        <v>0</v>
      </c>
      <c r="W1583">
        <v>1468</v>
      </c>
      <c r="X1583">
        <v>31.112632999999999</v>
      </c>
      <c r="Y1583">
        <v>1</v>
      </c>
      <c r="Z1583">
        <f t="shared" si="248"/>
        <v>1</v>
      </c>
      <c r="AA1583" s="21">
        <f>IF(X1583&gt;$B$8+$B$9,0,ABS(X1583-O1583)/X1583)</f>
        <v>0</v>
      </c>
      <c r="AB1583">
        <f>IF(OR(Z1580&lt;&gt;Z1586,X1583&gt;$B$8+$B$9),0,((X1586-X1580)/(W1586-W1580)-(O1586-O1580)/(W1586-W1580))^2)</f>
        <v>0</v>
      </c>
    </row>
    <row r="1584" spans="7:28" x14ac:dyDescent="0.2">
      <c r="G1584" s="21"/>
      <c r="H1584" s="21">
        <v>1469</v>
      </c>
      <c r="I1584">
        <f t="shared" si="254"/>
        <v>0.1</v>
      </c>
      <c r="J1584">
        <f t="shared" si="255"/>
        <v>0.32536526106514241</v>
      </c>
      <c r="K1584">
        <f t="shared" si="249"/>
        <v>22.5</v>
      </c>
      <c r="L1584">
        <f>0.5*Z1584*K1584/J1584/$B$7</f>
        <v>34.576524743825068</v>
      </c>
      <c r="M1584">
        <f t="shared" si="252"/>
        <v>1.1228068475325188</v>
      </c>
      <c r="N1584" s="21">
        <f t="shared" si="256"/>
        <v>2.7399269001758899E-2</v>
      </c>
      <c r="O1584" s="21">
        <f t="shared" si="257"/>
        <v>42.407454937217437</v>
      </c>
      <c r="P1584">
        <f t="shared" si="253"/>
        <v>1</v>
      </c>
      <c r="Q1584">
        <f t="shared" si="250"/>
        <v>0.32536526106514241</v>
      </c>
      <c r="R1584">
        <f t="shared" si="251"/>
        <v>0.32536526106514241</v>
      </c>
      <c r="T1584" s="21">
        <f>(M1584-M1583)/(H1584-H1583)</f>
        <v>0</v>
      </c>
      <c r="W1584">
        <v>1469</v>
      </c>
      <c r="X1584">
        <v>31.146703999999996</v>
      </c>
      <c r="Y1584">
        <v>1</v>
      </c>
      <c r="Z1584">
        <f t="shared" si="248"/>
        <v>1</v>
      </c>
      <c r="AA1584" s="21">
        <f>IF(X1584&gt;$B$8+$B$9,0,ABS(X1584-O1584)/X1584)</f>
        <v>0</v>
      </c>
      <c r="AB1584">
        <f>IF(OR(Z1581&lt;&gt;Z1587,X1584&gt;$B$8+$B$9),0,((X1587-X1581)/(W1587-W1581)-(O1587-O1581)/(W1587-W1581))^2)</f>
        <v>0</v>
      </c>
    </row>
    <row r="1585" spans="7:28" x14ac:dyDescent="0.2">
      <c r="G1585" s="21"/>
      <c r="H1585" s="21">
        <v>1470</v>
      </c>
      <c r="I1585">
        <f t="shared" si="254"/>
        <v>0.1</v>
      </c>
      <c r="J1585">
        <f t="shared" si="255"/>
        <v>0.32536526106514241</v>
      </c>
      <c r="K1585">
        <f t="shared" si="249"/>
        <v>22.5</v>
      </c>
      <c r="L1585">
        <f>0.5*Z1585*K1585/J1585/$B$7</f>
        <v>34.576524743825068</v>
      </c>
      <c r="M1585">
        <f t="shared" si="252"/>
        <v>1.1228068475325188</v>
      </c>
      <c r="N1585" s="21">
        <f t="shared" si="256"/>
        <v>2.708039643488188E-2</v>
      </c>
      <c r="O1585" s="21">
        <f t="shared" si="257"/>
        <v>42.507454937217439</v>
      </c>
      <c r="P1585">
        <f t="shared" si="253"/>
        <v>1</v>
      </c>
      <c r="Q1585">
        <f t="shared" si="250"/>
        <v>0.32536526106514241</v>
      </c>
      <c r="R1585">
        <f t="shared" si="251"/>
        <v>0.32536526106514241</v>
      </c>
      <c r="T1585" s="21">
        <f>(M1585-M1584)/(H1585-H1584)</f>
        <v>0</v>
      </c>
      <c r="W1585">
        <v>1470</v>
      </c>
      <c r="X1585">
        <v>31.184020999999998</v>
      </c>
      <c r="Y1585">
        <v>1</v>
      </c>
      <c r="Z1585">
        <f t="shared" si="248"/>
        <v>1</v>
      </c>
      <c r="AA1585" s="21">
        <f>IF(X1585&gt;$B$8+$B$9,0,ABS(X1585-O1585)/X1585)</f>
        <v>0</v>
      </c>
      <c r="AB1585">
        <f>IF(OR(Z1582&lt;&gt;Z1588,X1585&gt;$B$8+$B$9),0,((X1588-X1582)/(W1588-W1582)-(O1588-O1582)/(W1588-W1582))^2)</f>
        <v>0</v>
      </c>
    </row>
    <row r="1586" spans="7:28" x14ac:dyDescent="0.2">
      <c r="G1586" s="21"/>
      <c r="H1586" s="21">
        <v>1471</v>
      </c>
      <c r="I1586">
        <f t="shared" si="254"/>
        <v>0.1</v>
      </c>
      <c r="J1586">
        <f t="shared" si="255"/>
        <v>0.32536526106514241</v>
      </c>
      <c r="K1586">
        <f t="shared" si="249"/>
        <v>22.5</v>
      </c>
      <c r="L1586">
        <f>0.5*Z1586*K1586/J1586/$B$7</f>
        <v>34.576524743825068</v>
      </c>
      <c r="M1586">
        <f t="shared" si="252"/>
        <v>1.1228068475325188</v>
      </c>
      <c r="N1586" s="21">
        <f t="shared" si="256"/>
        <v>2.6761523868004858E-2</v>
      </c>
      <c r="O1586" s="21">
        <f t="shared" si="257"/>
        <v>42.60745493721744</v>
      </c>
      <c r="P1586">
        <f t="shared" si="253"/>
        <v>1</v>
      </c>
      <c r="Q1586">
        <f t="shared" si="250"/>
        <v>0.32536526106514241</v>
      </c>
      <c r="R1586">
        <f t="shared" si="251"/>
        <v>0.32536526106514241</v>
      </c>
      <c r="T1586" s="21">
        <f>(M1586-M1585)/(H1586-H1585)</f>
        <v>0</v>
      </c>
      <c r="W1586">
        <v>1471</v>
      </c>
      <c r="X1586">
        <v>31.231072000000001</v>
      </c>
      <c r="Y1586">
        <v>1</v>
      </c>
      <c r="Z1586">
        <f t="shared" si="248"/>
        <v>1</v>
      </c>
      <c r="AA1586" s="21">
        <f>IF(X1586&gt;$B$8+$B$9,0,ABS(X1586-O1586)/X1586)</f>
        <v>0</v>
      </c>
      <c r="AB1586">
        <f>IF(OR(Z1583&lt;&gt;Z1589,X1586&gt;$B$8+$B$9),0,((X1589-X1583)/(W1589-W1583)-(O1589-O1583)/(W1589-W1583))^2)</f>
        <v>0</v>
      </c>
    </row>
    <row r="1587" spans="7:28" x14ac:dyDescent="0.2">
      <c r="G1587" s="21"/>
      <c r="H1587" s="21">
        <v>1472</v>
      </c>
      <c r="I1587">
        <f t="shared" si="254"/>
        <v>0.1</v>
      </c>
      <c r="J1587">
        <f t="shared" si="255"/>
        <v>0.32536526106514241</v>
      </c>
      <c r="K1587">
        <f t="shared" si="249"/>
        <v>22.5</v>
      </c>
      <c r="L1587">
        <f>0.5*Z1587*K1587/J1587/$B$7</f>
        <v>34.576524743825068</v>
      </c>
      <c r="M1587">
        <f t="shared" si="252"/>
        <v>1.1228068475325188</v>
      </c>
      <c r="N1587" s="21">
        <f t="shared" si="256"/>
        <v>2.6442651301127839E-2</v>
      </c>
      <c r="O1587" s="21">
        <f t="shared" si="257"/>
        <v>42.707454937217442</v>
      </c>
      <c r="P1587">
        <f t="shared" si="253"/>
        <v>1</v>
      </c>
      <c r="Q1587">
        <f t="shared" si="250"/>
        <v>0.32536526106514241</v>
      </c>
      <c r="R1587">
        <f t="shared" si="251"/>
        <v>0.32536526106514241</v>
      </c>
      <c r="T1587" s="21">
        <f>(M1587-M1586)/(H1587-H1586)</f>
        <v>0</v>
      </c>
      <c r="W1587">
        <v>1472</v>
      </c>
      <c r="X1587">
        <v>31.257031999999999</v>
      </c>
      <c r="Y1587">
        <v>1</v>
      </c>
      <c r="Z1587">
        <f t="shared" si="248"/>
        <v>1</v>
      </c>
      <c r="AA1587" s="21">
        <f>IF(X1587&gt;$B$8+$B$9,0,ABS(X1587-O1587)/X1587)</f>
        <v>0</v>
      </c>
      <c r="AB1587">
        <f>IF(OR(Z1584&lt;&gt;Z1590,X1587&gt;$B$8+$B$9),0,((X1590-X1584)/(W1590-W1584)-(O1590-O1584)/(W1590-W1584))^2)</f>
        <v>0</v>
      </c>
    </row>
    <row r="1588" spans="7:28" x14ac:dyDescent="0.2">
      <c r="G1588" s="21"/>
      <c r="H1588" s="21">
        <v>1473</v>
      </c>
      <c r="I1588">
        <f t="shared" si="254"/>
        <v>0.1</v>
      </c>
      <c r="J1588">
        <f t="shared" si="255"/>
        <v>0.32536526106514241</v>
      </c>
      <c r="K1588">
        <f t="shared" si="249"/>
        <v>22.5</v>
      </c>
      <c r="L1588">
        <f>0.5*Z1588*K1588/J1588/$B$7</f>
        <v>34.576524743825068</v>
      </c>
      <c r="M1588">
        <f t="shared" si="252"/>
        <v>1.1228068475325188</v>
      </c>
      <c r="N1588" s="21">
        <f t="shared" si="256"/>
        <v>2.612377873425082E-2</v>
      </c>
      <c r="O1588" s="21">
        <f t="shared" si="257"/>
        <v>42.807454937217443</v>
      </c>
      <c r="P1588">
        <f t="shared" si="253"/>
        <v>1</v>
      </c>
      <c r="Q1588">
        <f t="shared" si="250"/>
        <v>0.32536526106514241</v>
      </c>
      <c r="R1588">
        <f t="shared" si="251"/>
        <v>0.32536526106514241</v>
      </c>
      <c r="T1588" s="21">
        <f>(M1588-M1587)/(H1588-H1587)</f>
        <v>0</v>
      </c>
      <c r="W1588">
        <v>1473</v>
      </c>
      <c r="X1588">
        <v>31.310573000000002</v>
      </c>
      <c r="Y1588">
        <v>1</v>
      </c>
      <c r="Z1588">
        <f t="shared" si="248"/>
        <v>1</v>
      </c>
      <c r="AA1588" s="21">
        <f>IF(X1588&gt;$B$8+$B$9,0,ABS(X1588-O1588)/X1588)</f>
        <v>0</v>
      </c>
      <c r="AB1588">
        <f>IF(OR(Z1585&lt;&gt;Z1591,X1588&gt;$B$8+$B$9),0,((X1591-X1585)/(W1591-W1585)-(O1591-O1585)/(W1591-W1585))^2)</f>
        <v>0</v>
      </c>
    </row>
    <row r="1589" spans="7:28" x14ac:dyDescent="0.2">
      <c r="G1589" s="21"/>
      <c r="H1589" s="21">
        <v>1474</v>
      </c>
      <c r="I1589">
        <f t="shared" si="254"/>
        <v>0.1</v>
      </c>
      <c r="J1589">
        <f t="shared" si="255"/>
        <v>0.32536526106514241</v>
      </c>
      <c r="K1589">
        <f t="shared" si="249"/>
        <v>22.5</v>
      </c>
      <c r="L1589">
        <f>0.5*Z1589*K1589/J1589/$B$7</f>
        <v>34.576524743825068</v>
      </c>
      <c r="M1589">
        <f t="shared" si="252"/>
        <v>1.1228068475325188</v>
      </c>
      <c r="N1589" s="21">
        <f t="shared" si="256"/>
        <v>2.5804906167373801E-2</v>
      </c>
      <c r="O1589" s="21">
        <f t="shared" si="257"/>
        <v>42.907454937217445</v>
      </c>
      <c r="P1589">
        <f t="shared" si="253"/>
        <v>1</v>
      </c>
      <c r="Q1589">
        <f t="shared" si="250"/>
        <v>0.32536526106514241</v>
      </c>
      <c r="R1589">
        <f t="shared" si="251"/>
        <v>0.32536526106514241</v>
      </c>
      <c r="T1589" s="21">
        <f>(M1589-M1588)/(H1589-H1588)</f>
        <v>0</v>
      </c>
      <c r="W1589">
        <v>1474</v>
      </c>
      <c r="X1589">
        <v>31.341398999999999</v>
      </c>
      <c r="Y1589">
        <v>1</v>
      </c>
      <c r="Z1589">
        <f t="shared" si="248"/>
        <v>1</v>
      </c>
      <c r="AA1589" s="21">
        <f>IF(X1589&gt;$B$8+$B$9,0,ABS(X1589-O1589)/X1589)</f>
        <v>0</v>
      </c>
      <c r="AB1589">
        <f>IF(OR(Z1586&lt;&gt;Z1592,X1589&gt;$B$8+$B$9),0,((X1592-X1586)/(W1592-W1586)-(O1592-O1586)/(W1592-W1586))^2)</f>
        <v>0</v>
      </c>
    </row>
    <row r="1590" spans="7:28" x14ac:dyDescent="0.2">
      <c r="G1590" s="21"/>
      <c r="H1590" s="21">
        <v>1475</v>
      </c>
      <c r="I1590">
        <f t="shared" si="254"/>
        <v>0.1</v>
      </c>
      <c r="J1590">
        <f t="shared" si="255"/>
        <v>0.32536526106514241</v>
      </c>
      <c r="K1590">
        <f t="shared" si="249"/>
        <v>22.5</v>
      </c>
      <c r="L1590">
        <f>0.5*Z1590*K1590/J1590/$B$7</f>
        <v>34.576524743825068</v>
      </c>
      <c r="M1590">
        <f t="shared" si="252"/>
        <v>1.1228068475325188</v>
      </c>
      <c r="N1590" s="21">
        <f t="shared" si="256"/>
        <v>2.5486033600496786E-2</v>
      </c>
      <c r="O1590" s="21">
        <f t="shared" si="257"/>
        <v>43.007454937217446</v>
      </c>
      <c r="P1590">
        <f t="shared" si="253"/>
        <v>1</v>
      </c>
      <c r="Q1590">
        <f t="shared" si="250"/>
        <v>0.32536526106514241</v>
      </c>
      <c r="R1590">
        <f t="shared" si="251"/>
        <v>0.32536526106514241</v>
      </c>
      <c r="T1590" s="21">
        <f>(M1590-M1589)/(H1590-H1589)</f>
        <v>0</v>
      </c>
      <c r="W1590">
        <v>1475</v>
      </c>
      <c r="X1590">
        <v>31.383582999999998</v>
      </c>
      <c r="Y1590">
        <v>1</v>
      </c>
      <c r="Z1590">
        <f t="shared" si="248"/>
        <v>1</v>
      </c>
      <c r="AA1590" s="21">
        <f>IF(X1590&gt;$B$8+$B$9,0,ABS(X1590-O1590)/X1590)</f>
        <v>0</v>
      </c>
      <c r="AB1590">
        <f>IF(OR(Z1587&lt;&gt;Z1593,X1590&gt;$B$8+$B$9),0,((X1593-X1587)/(W1593-W1587)-(O1593-O1587)/(W1593-W1587))^2)</f>
        <v>0</v>
      </c>
    </row>
    <row r="1591" spans="7:28" x14ac:dyDescent="0.2">
      <c r="G1591" s="21"/>
      <c r="H1591" s="21">
        <v>1476</v>
      </c>
      <c r="I1591">
        <f t="shared" si="254"/>
        <v>0.1</v>
      </c>
      <c r="J1591">
        <f t="shared" si="255"/>
        <v>0.32536526106514241</v>
      </c>
      <c r="K1591">
        <f t="shared" si="249"/>
        <v>22.5</v>
      </c>
      <c r="L1591">
        <f>0.5*Z1591*K1591/J1591/$B$7</f>
        <v>34.576524743825068</v>
      </c>
      <c r="M1591">
        <f t="shared" si="252"/>
        <v>1.1228068475325188</v>
      </c>
      <c r="N1591" s="21">
        <f t="shared" si="256"/>
        <v>2.5167161033619767E-2</v>
      </c>
      <c r="O1591" s="21">
        <f t="shared" si="257"/>
        <v>43.107454937217447</v>
      </c>
      <c r="P1591">
        <f t="shared" si="253"/>
        <v>1</v>
      </c>
      <c r="Q1591">
        <f t="shared" si="250"/>
        <v>0.32536526106514241</v>
      </c>
      <c r="R1591">
        <f t="shared" si="251"/>
        <v>0.32536526106514241</v>
      </c>
      <c r="T1591" s="21">
        <f>(M1591-M1590)/(H1591-H1590)</f>
        <v>0</v>
      </c>
      <c r="W1591">
        <v>1476</v>
      </c>
      <c r="X1591">
        <v>31.425766999999997</v>
      </c>
      <c r="Y1591">
        <v>1</v>
      </c>
      <c r="Z1591">
        <f t="shared" si="248"/>
        <v>1</v>
      </c>
      <c r="AA1591" s="21">
        <f>IF(X1591&gt;$B$8+$B$9,0,ABS(X1591-O1591)/X1591)</f>
        <v>0</v>
      </c>
      <c r="AB1591">
        <f>IF(OR(Z1588&lt;&gt;Z1594,X1591&gt;$B$8+$B$9),0,((X1594-X1588)/(W1594-W1588)-(O1594-O1588)/(W1594-W1588))^2)</f>
        <v>0</v>
      </c>
    </row>
    <row r="1592" spans="7:28" x14ac:dyDescent="0.2">
      <c r="G1592" s="21"/>
      <c r="H1592" s="21">
        <v>1477</v>
      </c>
      <c r="I1592">
        <f t="shared" si="254"/>
        <v>0.1</v>
      </c>
      <c r="J1592">
        <f t="shared" si="255"/>
        <v>0.32536526106514241</v>
      </c>
      <c r="K1592">
        <f t="shared" si="249"/>
        <v>22.5</v>
      </c>
      <c r="L1592">
        <f>0.5*Z1592*K1592/J1592/$B$7</f>
        <v>34.576524743825068</v>
      </c>
      <c r="M1592">
        <f t="shared" si="252"/>
        <v>1.1228068475325188</v>
      </c>
      <c r="N1592" s="21">
        <f t="shared" si="256"/>
        <v>2.4848288466742748E-2</v>
      </c>
      <c r="O1592" s="21">
        <f t="shared" si="257"/>
        <v>43.207454937217449</v>
      </c>
      <c r="P1592">
        <f t="shared" si="253"/>
        <v>1</v>
      </c>
      <c r="Q1592">
        <f t="shared" si="250"/>
        <v>0.32536526106514241</v>
      </c>
      <c r="R1592">
        <f t="shared" si="251"/>
        <v>0.32536526106514241</v>
      </c>
      <c r="T1592" s="21">
        <f>(M1592-M1591)/(H1592-H1591)</f>
        <v>0</v>
      </c>
      <c r="W1592">
        <v>1477</v>
      </c>
      <c r="X1592">
        <v>31.453348999999999</v>
      </c>
      <c r="Y1592">
        <v>1</v>
      </c>
      <c r="Z1592">
        <f t="shared" si="248"/>
        <v>1</v>
      </c>
      <c r="AA1592" s="21">
        <f>IF(X1592&gt;$B$8+$B$9,0,ABS(X1592-O1592)/X1592)</f>
        <v>0</v>
      </c>
      <c r="AB1592">
        <f>IF(OR(Z1589&lt;&gt;Z1595,X1592&gt;$B$8+$B$9),0,((X1595-X1589)/(W1595-W1589)-(O1595-O1589)/(W1595-W1589))^2)</f>
        <v>0</v>
      </c>
    </row>
    <row r="1593" spans="7:28" x14ac:dyDescent="0.2">
      <c r="G1593" s="21"/>
      <c r="H1593" s="21">
        <v>1478</v>
      </c>
      <c r="I1593">
        <f t="shared" si="254"/>
        <v>0.1</v>
      </c>
      <c r="J1593">
        <f t="shared" si="255"/>
        <v>0.32536526106514241</v>
      </c>
      <c r="K1593">
        <f t="shared" si="249"/>
        <v>22.5</v>
      </c>
      <c r="L1593">
        <f>0.5*Z1593*K1593/J1593/$B$7</f>
        <v>34.576524743825068</v>
      </c>
      <c r="M1593">
        <f t="shared" si="252"/>
        <v>1.1228068475325188</v>
      </c>
      <c r="N1593" s="21">
        <f t="shared" si="256"/>
        <v>2.4529415899865733E-2</v>
      </c>
      <c r="O1593" s="21">
        <f t="shared" si="257"/>
        <v>43.30745493721745</v>
      </c>
      <c r="P1593">
        <f t="shared" si="253"/>
        <v>1</v>
      </c>
      <c r="Q1593">
        <f t="shared" si="250"/>
        <v>0.32536526106514241</v>
      </c>
      <c r="R1593">
        <f t="shared" si="251"/>
        <v>0.32536526106514241</v>
      </c>
      <c r="T1593" s="21">
        <f>(M1593-M1592)/(H1593-H1592)</f>
        <v>0</v>
      </c>
      <c r="W1593">
        <v>1478</v>
      </c>
      <c r="X1593">
        <v>31.503645000000002</v>
      </c>
      <c r="Y1593">
        <v>1</v>
      </c>
      <c r="Z1593">
        <f t="shared" si="248"/>
        <v>1</v>
      </c>
      <c r="AA1593" s="21">
        <f>IF(X1593&gt;$B$8+$B$9,0,ABS(X1593-O1593)/X1593)</f>
        <v>0</v>
      </c>
      <c r="AB1593">
        <f>IF(OR(Z1590&lt;&gt;Z1596,X1593&gt;$B$8+$B$9),0,((X1596-X1590)/(W1596-W1590)-(O1596-O1590)/(W1596-W1590))^2)</f>
        <v>0</v>
      </c>
    </row>
    <row r="1594" spans="7:28" x14ac:dyDescent="0.2">
      <c r="G1594" s="21"/>
      <c r="H1594" s="21">
        <v>1479</v>
      </c>
      <c r="I1594">
        <f t="shared" si="254"/>
        <v>0.1</v>
      </c>
      <c r="J1594">
        <f t="shared" si="255"/>
        <v>0.32536526106514241</v>
      </c>
      <c r="K1594">
        <f t="shared" si="249"/>
        <v>22.5</v>
      </c>
      <c r="L1594">
        <f>0.5*Z1594*K1594/J1594/$B$7</f>
        <v>34.576524743825068</v>
      </c>
      <c r="M1594">
        <f t="shared" si="252"/>
        <v>1.1228068475325188</v>
      </c>
      <c r="N1594" s="21">
        <f t="shared" si="256"/>
        <v>2.4210543332988711E-2</v>
      </c>
      <c r="O1594" s="21">
        <f t="shared" si="257"/>
        <v>43.407454937217452</v>
      </c>
      <c r="P1594">
        <f t="shared" si="253"/>
        <v>1</v>
      </c>
      <c r="Q1594">
        <f t="shared" si="250"/>
        <v>0.32536526106514241</v>
      </c>
      <c r="R1594">
        <f t="shared" si="251"/>
        <v>0.32536526106514241</v>
      </c>
      <c r="T1594" s="21">
        <f>(M1594-M1593)/(H1594-H1593)</f>
        <v>0</v>
      </c>
      <c r="W1594">
        <v>1479</v>
      </c>
      <c r="X1594">
        <v>31.534471999999997</v>
      </c>
      <c r="Y1594">
        <v>1</v>
      </c>
      <c r="Z1594">
        <f t="shared" si="248"/>
        <v>1</v>
      </c>
      <c r="AA1594" s="21">
        <f>IF(X1594&gt;$B$8+$B$9,0,ABS(X1594-O1594)/X1594)</f>
        <v>0</v>
      </c>
      <c r="AB1594">
        <f>IF(OR(Z1591&lt;&gt;Z1597,X1594&gt;$B$8+$B$9),0,((X1597-X1591)/(W1597-W1591)-(O1597-O1591)/(W1597-W1591))^2)</f>
        <v>0</v>
      </c>
    </row>
    <row r="1595" spans="7:28" x14ac:dyDescent="0.2">
      <c r="G1595" s="21"/>
      <c r="H1595" s="21">
        <v>1480</v>
      </c>
      <c r="I1595">
        <f t="shared" si="254"/>
        <v>0.1</v>
      </c>
      <c r="J1595">
        <f t="shared" si="255"/>
        <v>0.32536526106514241</v>
      </c>
      <c r="K1595">
        <f t="shared" si="249"/>
        <v>22.5</v>
      </c>
      <c r="L1595">
        <f>0.5*Z1595*K1595/J1595/$B$7</f>
        <v>34.576524743825068</v>
      </c>
      <c r="M1595">
        <f t="shared" si="252"/>
        <v>1.1228068475325188</v>
      </c>
      <c r="N1595" s="21">
        <f t="shared" si="256"/>
        <v>2.3891670766111695E-2</v>
      </c>
      <c r="O1595" s="21">
        <f t="shared" si="257"/>
        <v>43.507454937217453</v>
      </c>
      <c r="P1595">
        <f t="shared" si="253"/>
        <v>1</v>
      </c>
      <c r="Q1595">
        <f t="shared" si="250"/>
        <v>0.32536526106514241</v>
      </c>
      <c r="R1595">
        <f t="shared" si="251"/>
        <v>0.32536526106514241</v>
      </c>
      <c r="T1595" s="21">
        <f>(M1595-M1594)/(H1595-H1594)</f>
        <v>0</v>
      </c>
      <c r="W1595">
        <v>1480</v>
      </c>
      <c r="X1595">
        <v>31.594503</v>
      </c>
      <c r="Y1595">
        <v>1</v>
      </c>
      <c r="Z1595">
        <f t="shared" si="248"/>
        <v>1</v>
      </c>
      <c r="AA1595" s="21">
        <f>IF(X1595&gt;$B$8+$B$9,0,ABS(X1595-O1595)/X1595)</f>
        <v>0</v>
      </c>
      <c r="AB1595">
        <f>IF(OR(Z1592&lt;&gt;Z1598,X1595&gt;$B$8+$B$9),0,((X1598-X1592)/(W1598-W1592)-(O1598-O1592)/(W1598-W1592))^2)</f>
        <v>0</v>
      </c>
    </row>
    <row r="1596" spans="7:28" x14ac:dyDescent="0.2">
      <c r="G1596" s="21"/>
      <c r="H1596" s="21">
        <v>1481</v>
      </c>
      <c r="I1596">
        <f t="shared" si="254"/>
        <v>0.1</v>
      </c>
      <c r="J1596">
        <f t="shared" si="255"/>
        <v>0.32536526106514241</v>
      </c>
      <c r="K1596">
        <f t="shared" si="249"/>
        <v>22.5</v>
      </c>
      <c r="L1596">
        <f>0.5*Z1596*K1596/J1596/$B$7</f>
        <v>34.576524743825068</v>
      </c>
      <c r="M1596">
        <f t="shared" si="252"/>
        <v>1.1228068475325188</v>
      </c>
      <c r="N1596" s="21">
        <f t="shared" si="256"/>
        <v>2.3572798199234673E-2</v>
      </c>
      <c r="O1596" s="21">
        <f t="shared" si="257"/>
        <v>43.607454937217454</v>
      </c>
      <c r="P1596">
        <f t="shared" si="253"/>
        <v>1</v>
      </c>
      <c r="Q1596">
        <f t="shared" si="250"/>
        <v>0.32536526106514241</v>
      </c>
      <c r="R1596">
        <f t="shared" si="251"/>
        <v>0.32536526106514241</v>
      </c>
      <c r="T1596" s="21">
        <f>(M1596-M1595)/(H1596-H1595)</f>
        <v>0</v>
      </c>
      <c r="W1596">
        <v>1481</v>
      </c>
      <c r="X1596">
        <v>31.630196999999999</v>
      </c>
      <c r="Y1596">
        <v>1</v>
      </c>
      <c r="Z1596">
        <f t="shared" si="248"/>
        <v>1</v>
      </c>
      <c r="AA1596" s="21">
        <f>IF(X1596&gt;$B$8+$B$9,0,ABS(X1596-O1596)/X1596)</f>
        <v>0</v>
      </c>
      <c r="AB1596">
        <f>IF(OR(Z1593&lt;&gt;Z1599,X1596&gt;$B$8+$B$9),0,((X1599-X1593)/(W1599-W1593)-(O1599-O1593)/(W1599-W1593))^2)</f>
        <v>0</v>
      </c>
    </row>
    <row r="1597" spans="7:28" x14ac:dyDescent="0.2">
      <c r="G1597" s="21"/>
      <c r="H1597" s="21">
        <v>1482</v>
      </c>
      <c r="I1597">
        <f t="shared" si="254"/>
        <v>0.1</v>
      </c>
      <c r="J1597">
        <f t="shared" si="255"/>
        <v>0.32536526106514241</v>
      </c>
      <c r="K1597">
        <f t="shared" si="249"/>
        <v>22.5</v>
      </c>
      <c r="L1597">
        <f>0.5*Z1597*K1597/J1597/$B$7</f>
        <v>34.576524743825068</v>
      </c>
      <c r="M1597">
        <f t="shared" si="252"/>
        <v>1.1228068475325188</v>
      </c>
      <c r="N1597" s="21">
        <f t="shared" si="256"/>
        <v>2.3253925632357657E-2</v>
      </c>
      <c r="O1597" s="21">
        <f t="shared" si="257"/>
        <v>43.707454937217456</v>
      </c>
      <c r="P1597">
        <f t="shared" si="253"/>
        <v>1</v>
      </c>
      <c r="Q1597">
        <f t="shared" si="250"/>
        <v>0.32536526106514241</v>
      </c>
      <c r="R1597">
        <f t="shared" si="251"/>
        <v>0.32536526106514241</v>
      </c>
      <c r="T1597" s="21">
        <f>(M1597-M1596)/(H1597-H1596)</f>
        <v>0</v>
      </c>
      <c r="W1597">
        <v>1482</v>
      </c>
      <c r="X1597">
        <v>31.657777999999997</v>
      </c>
      <c r="Y1597">
        <v>1</v>
      </c>
      <c r="Z1597">
        <f t="shared" si="248"/>
        <v>1</v>
      </c>
      <c r="AA1597" s="21">
        <f>IF(X1597&gt;$B$8+$B$9,0,ABS(X1597-O1597)/X1597)</f>
        <v>0</v>
      </c>
      <c r="AB1597">
        <f>IF(OR(Z1594&lt;&gt;Z1600,X1597&gt;$B$8+$B$9),0,((X1600-X1594)/(W1600-W1594)-(O1600-O1594)/(W1600-W1594))^2)</f>
        <v>0</v>
      </c>
    </row>
    <row r="1598" spans="7:28" x14ac:dyDescent="0.2">
      <c r="G1598" s="21"/>
      <c r="H1598" s="21">
        <v>1483</v>
      </c>
      <c r="I1598">
        <f t="shared" si="254"/>
        <v>0.1</v>
      </c>
      <c r="J1598">
        <f t="shared" si="255"/>
        <v>0.32536526106514241</v>
      </c>
      <c r="K1598">
        <f t="shared" si="249"/>
        <v>22.5</v>
      </c>
      <c r="L1598">
        <f>0.5*Z1598*K1598/J1598/$B$7</f>
        <v>34.576524743825068</v>
      </c>
      <c r="M1598">
        <f t="shared" si="252"/>
        <v>1.1228068475325188</v>
      </c>
      <c r="N1598" s="21">
        <f t="shared" si="256"/>
        <v>2.2935053065480635E-2</v>
      </c>
      <c r="O1598" s="21">
        <f t="shared" si="257"/>
        <v>43.807454937217457</v>
      </c>
      <c r="P1598">
        <f t="shared" si="253"/>
        <v>1</v>
      </c>
      <c r="Q1598">
        <f t="shared" si="250"/>
        <v>0.32536526106514241</v>
      </c>
      <c r="R1598">
        <f t="shared" si="251"/>
        <v>0.32536526106514241</v>
      </c>
      <c r="T1598" s="21">
        <f>(M1598-M1597)/(H1598-H1597)</f>
        <v>0</v>
      </c>
      <c r="W1598">
        <v>1483</v>
      </c>
      <c r="X1598">
        <v>31.709697000000002</v>
      </c>
      <c r="Y1598">
        <v>1</v>
      </c>
      <c r="Z1598">
        <f t="shared" ref="Z1598:Z1661" si="258">Y1598</f>
        <v>1</v>
      </c>
      <c r="AA1598" s="21">
        <f>IF(X1598&gt;$B$8+$B$9,0,ABS(X1598-O1598)/X1598)</f>
        <v>0</v>
      </c>
      <c r="AB1598">
        <f>IF(OR(Z1595&lt;&gt;Z1601,X1598&gt;$B$8+$B$9),0,((X1601-X1595)/(W1601-W1595)-(O1601-O1595)/(W1601-W1595))^2)</f>
        <v>0</v>
      </c>
    </row>
    <row r="1599" spans="7:28" x14ac:dyDescent="0.2">
      <c r="G1599" s="21"/>
      <c r="H1599" s="21">
        <v>1484</v>
      </c>
      <c r="I1599">
        <f t="shared" si="254"/>
        <v>0.1</v>
      </c>
      <c r="J1599">
        <f t="shared" si="255"/>
        <v>0.32536526106514241</v>
      </c>
      <c r="K1599">
        <f t="shared" si="249"/>
        <v>22.5</v>
      </c>
      <c r="L1599">
        <f>0.5*Z1599*K1599/J1599/$B$7</f>
        <v>34.576524743825068</v>
      </c>
      <c r="M1599">
        <f t="shared" si="252"/>
        <v>1.1228068475325188</v>
      </c>
      <c r="N1599" s="21">
        <f t="shared" si="256"/>
        <v>2.261618049860362E-2</v>
      </c>
      <c r="O1599" s="21">
        <f t="shared" si="257"/>
        <v>43.907454937217459</v>
      </c>
      <c r="P1599">
        <f t="shared" si="253"/>
        <v>1</v>
      </c>
      <c r="Q1599">
        <f t="shared" si="250"/>
        <v>0.32536526106514241</v>
      </c>
      <c r="R1599">
        <f t="shared" si="251"/>
        <v>0.32536526106514241</v>
      </c>
      <c r="T1599" s="21">
        <f>(M1599-M1598)/(H1599-H1598)</f>
        <v>0</v>
      </c>
      <c r="W1599">
        <v>1484</v>
      </c>
      <c r="X1599">
        <v>31.730788999999998</v>
      </c>
      <c r="Y1599">
        <v>1</v>
      </c>
      <c r="Z1599">
        <f t="shared" si="258"/>
        <v>1</v>
      </c>
      <c r="AA1599" s="21">
        <f>IF(X1599&gt;$B$8+$B$9,0,ABS(X1599-O1599)/X1599)</f>
        <v>0</v>
      </c>
      <c r="AB1599">
        <f>IF(OR(Z1596&lt;&gt;Z1602,X1599&gt;$B$8+$B$9),0,((X1602-X1596)/(W1602-W1596)-(O1602-O1596)/(W1602-W1596))^2)</f>
        <v>0</v>
      </c>
    </row>
    <row r="1600" spans="7:28" x14ac:dyDescent="0.2">
      <c r="G1600" s="21"/>
      <c r="H1600" s="21">
        <v>1485</v>
      </c>
      <c r="I1600">
        <f t="shared" si="254"/>
        <v>0.1</v>
      </c>
      <c r="J1600">
        <f t="shared" si="255"/>
        <v>0.32536526106514241</v>
      </c>
      <c r="K1600">
        <f t="shared" si="249"/>
        <v>22.5</v>
      </c>
      <c r="L1600">
        <f>0.5*Z1600*K1600/J1600/$B$7</f>
        <v>34.576524743825068</v>
      </c>
      <c r="M1600">
        <f t="shared" si="252"/>
        <v>1.1228068475325188</v>
      </c>
      <c r="N1600" s="21">
        <f t="shared" si="256"/>
        <v>2.2297307931726601E-2</v>
      </c>
      <c r="O1600" s="21">
        <f t="shared" si="257"/>
        <v>44.00745493721746</v>
      </c>
      <c r="P1600">
        <f t="shared" si="253"/>
        <v>1</v>
      </c>
      <c r="Q1600">
        <f t="shared" si="250"/>
        <v>0.32536526106514241</v>
      </c>
      <c r="R1600">
        <f t="shared" si="251"/>
        <v>0.32536526106514241</v>
      </c>
      <c r="T1600" s="21">
        <f>(M1600-M1599)/(H1600-H1599)</f>
        <v>0</v>
      </c>
      <c r="W1600">
        <v>1485</v>
      </c>
      <c r="X1600">
        <v>31.805421999999997</v>
      </c>
      <c r="Y1600">
        <v>1</v>
      </c>
      <c r="Z1600">
        <f t="shared" si="258"/>
        <v>1</v>
      </c>
      <c r="AA1600" s="21">
        <f>IF(X1600&gt;$B$8+$B$9,0,ABS(X1600-O1600)/X1600)</f>
        <v>0</v>
      </c>
      <c r="AB1600">
        <f>IF(OR(Z1597&lt;&gt;Z1603,X1600&gt;$B$8+$B$9),0,((X1603-X1597)/(W1603-W1597)-(O1603-O1597)/(W1603-W1597))^2)</f>
        <v>0</v>
      </c>
    </row>
    <row r="1601" spans="7:28" x14ac:dyDescent="0.2">
      <c r="G1601" s="21"/>
      <c r="H1601" s="21">
        <v>1486</v>
      </c>
      <c r="I1601">
        <f t="shared" si="254"/>
        <v>0.1</v>
      </c>
      <c r="J1601">
        <f t="shared" si="255"/>
        <v>0.32536526106514241</v>
      </c>
      <c r="K1601">
        <f t="shared" si="249"/>
        <v>22.5</v>
      </c>
      <c r="L1601">
        <f>0.5*Z1601*K1601/J1601/$B$7</f>
        <v>34.576524743825068</v>
      </c>
      <c r="M1601">
        <f t="shared" si="252"/>
        <v>1.1228068475325188</v>
      </c>
      <c r="N1601" s="21">
        <f t="shared" si="256"/>
        <v>2.1978435364849582E-2</v>
      </c>
      <c r="O1601" s="21">
        <f t="shared" si="257"/>
        <v>44.107454937217462</v>
      </c>
      <c r="P1601">
        <f t="shared" si="253"/>
        <v>1</v>
      </c>
      <c r="Q1601">
        <f t="shared" si="250"/>
        <v>0.32536526106514241</v>
      </c>
      <c r="R1601">
        <f t="shared" si="251"/>
        <v>0.32536526106514241</v>
      </c>
      <c r="T1601" s="21">
        <f>(M1601-M1600)/(H1601-H1600)</f>
        <v>0</v>
      </c>
      <c r="W1601">
        <v>1486</v>
      </c>
      <c r="X1601">
        <v>31.841115999999996</v>
      </c>
      <c r="Y1601">
        <v>1</v>
      </c>
      <c r="Z1601">
        <f t="shared" si="258"/>
        <v>1</v>
      </c>
      <c r="AA1601" s="21">
        <f>IF(X1601&gt;$B$8+$B$9,0,ABS(X1601-O1601)/X1601)</f>
        <v>0</v>
      </c>
      <c r="AB1601">
        <f>IF(OR(Z1598&lt;&gt;Z1604,X1601&gt;$B$8+$B$9),0,((X1604-X1598)/(W1604-W1598)-(O1604-O1598)/(W1604-W1598))^2)</f>
        <v>0</v>
      </c>
    </row>
    <row r="1602" spans="7:28" x14ac:dyDescent="0.2">
      <c r="G1602" s="21"/>
      <c r="H1602" s="21">
        <v>1487</v>
      </c>
      <c r="I1602">
        <f t="shared" si="254"/>
        <v>0.1</v>
      </c>
      <c r="J1602">
        <f t="shared" si="255"/>
        <v>0.32536526106514241</v>
      </c>
      <c r="K1602">
        <f t="shared" si="249"/>
        <v>22.5</v>
      </c>
      <c r="L1602">
        <f>0.5*Z1602*K1602/J1602/$B$7</f>
        <v>34.576524743825068</v>
      </c>
      <c r="M1602">
        <f t="shared" si="252"/>
        <v>1.1228068475325188</v>
      </c>
      <c r="N1602" s="21">
        <f t="shared" si="256"/>
        <v>2.1659562797972563E-2</v>
      </c>
      <c r="O1602" s="21">
        <f t="shared" si="257"/>
        <v>44.207454937217463</v>
      </c>
      <c r="P1602">
        <f t="shared" si="253"/>
        <v>1</v>
      </c>
      <c r="Q1602">
        <f t="shared" si="250"/>
        <v>0.32536526106514241</v>
      </c>
      <c r="R1602">
        <f t="shared" si="251"/>
        <v>0.32536526106514241</v>
      </c>
      <c r="T1602" s="21">
        <f>(M1602-M1601)/(H1602-H1601)</f>
        <v>0</v>
      </c>
      <c r="W1602">
        <v>1487</v>
      </c>
      <c r="X1602">
        <v>31.876810000000003</v>
      </c>
      <c r="Y1602">
        <v>1</v>
      </c>
      <c r="Z1602">
        <f t="shared" si="258"/>
        <v>1</v>
      </c>
      <c r="AA1602" s="21">
        <f>IF(X1602&gt;$B$8+$B$9,0,ABS(X1602-O1602)/X1602)</f>
        <v>0</v>
      </c>
      <c r="AB1602">
        <f>IF(OR(Z1599&lt;&gt;Z1605,X1602&gt;$B$8+$B$9),0,((X1605-X1599)/(W1605-W1599)-(O1605-O1599)/(W1605-W1599))^2)</f>
        <v>0</v>
      </c>
    </row>
    <row r="1603" spans="7:28" x14ac:dyDescent="0.2">
      <c r="G1603" s="21"/>
      <c r="H1603" s="21">
        <v>1488</v>
      </c>
      <c r="I1603">
        <f t="shared" si="254"/>
        <v>0.1</v>
      </c>
      <c r="J1603">
        <f t="shared" si="255"/>
        <v>0.32536526106514241</v>
      </c>
      <c r="K1603">
        <f t="shared" ref="K1603:K1666" si="259">IF(O1603&lt;$B$8+$B$9,0.5*(($B$8+$B$9)^2+O1603^2)/O1603-$B$9,$B$8)</f>
        <v>22.5</v>
      </c>
      <c r="L1603">
        <f>0.5*Z1603*K1603/J1603/$B$7</f>
        <v>34.576524743825068</v>
      </c>
      <c r="M1603">
        <f t="shared" si="252"/>
        <v>1.1228068475325188</v>
      </c>
      <c r="N1603" s="21">
        <f t="shared" si="256"/>
        <v>2.1340690231095544E-2</v>
      </c>
      <c r="O1603" s="21">
        <f t="shared" si="257"/>
        <v>44.307454937217464</v>
      </c>
      <c r="P1603">
        <f t="shared" si="253"/>
        <v>1</v>
      </c>
      <c r="Q1603">
        <f t="shared" ref="Q1603:Q1666" si="260">1-B$15*P1603</f>
        <v>0.32536526106514241</v>
      </c>
      <c r="R1603">
        <f t="shared" ref="R1603:R1666" si="261">$E$15/(P1603+$E$16)</f>
        <v>0.32536526106514241</v>
      </c>
      <c r="T1603" s="21">
        <f>(M1603-M1602)/(H1603-H1602)</f>
        <v>0</v>
      </c>
      <c r="W1603">
        <v>1488</v>
      </c>
      <c r="X1603">
        <v>31.927105999999998</v>
      </c>
      <c r="Y1603">
        <v>1</v>
      </c>
      <c r="Z1603">
        <f t="shared" si="258"/>
        <v>1</v>
      </c>
      <c r="AA1603" s="21">
        <f>IF(X1603&gt;$B$8+$B$9,0,ABS(X1603-O1603)/X1603)</f>
        <v>0</v>
      </c>
      <c r="AB1603">
        <f>IF(OR(Z1600&lt;&gt;Z1606,X1603&gt;$B$8+$B$9),0,((X1606-X1600)/(W1606-W1600)-(O1606-O1600)/(W1606-W1600))^2)</f>
        <v>0</v>
      </c>
    </row>
    <row r="1604" spans="7:28" x14ac:dyDescent="0.2">
      <c r="G1604" s="21"/>
      <c r="H1604" s="21">
        <v>1489</v>
      </c>
      <c r="I1604">
        <f t="shared" si="254"/>
        <v>0.1</v>
      </c>
      <c r="J1604">
        <f t="shared" si="255"/>
        <v>0.32536526106514241</v>
      </c>
      <c r="K1604">
        <f t="shared" si="259"/>
        <v>22.5</v>
      </c>
      <c r="L1604">
        <f>0.5*Z1604*K1604/J1604/$B$7</f>
        <v>34.576524743825068</v>
      </c>
      <c r="M1604">
        <f t="shared" ref="M1604:M1667" si="262">-LN(J1604)</f>
        <v>1.1228068475325188</v>
      </c>
      <c r="N1604" s="21">
        <f t="shared" si="256"/>
        <v>2.1021817664218526E-2</v>
      </c>
      <c r="O1604" s="21">
        <f t="shared" si="257"/>
        <v>44.407454937217466</v>
      </c>
      <c r="P1604">
        <f t="shared" ref="P1604:P1667" si="263">MIN(O1604/(K1604+$B$9),1)</f>
        <v>1</v>
      </c>
      <c r="Q1604">
        <f t="shared" si="260"/>
        <v>0.32536526106514241</v>
      </c>
      <c r="R1604">
        <f t="shared" si="261"/>
        <v>0.32536526106514241</v>
      </c>
      <c r="T1604" s="21">
        <f>(M1604-M1603)/(H1604-H1603)</f>
        <v>0</v>
      </c>
      <c r="W1604">
        <v>1489</v>
      </c>
      <c r="X1604">
        <v>31.972534999999997</v>
      </c>
      <c r="Y1604">
        <v>1</v>
      </c>
      <c r="Z1604">
        <f t="shared" si="258"/>
        <v>1</v>
      </c>
      <c r="AA1604" s="21">
        <f>IF(X1604&gt;$B$8+$B$9,0,ABS(X1604-O1604)/X1604)</f>
        <v>0</v>
      </c>
      <c r="AB1604">
        <f>IF(OR(Z1601&lt;&gt;Z1607,X1604&gt;$B$8+$B$9),0,((X1607-X1601)/(W1607-W1601)-(O1607-O1601)/(W1607-W1601))^2)</f>
        <v>0</v>
      </c>
    </row>
    <row r="1605" spans="7:28" x14ac:dyDescent="0.2">
      <c r="G1605" s="21"/>
      <c r="H1605" s="21">
        <v>1490</v>
      </c>
      <c r="I1605">
        <f t="shared" ref="I1605:I1668" si="264">IF(P1604&lt;0.999,MAX(0,MIN(10000000,(L1604/$E$8/M1604^$E$10)^(1/$E$9)/N1604)),0.1)</f>
        <v>0.1</v>
      </c>
      <c r="J1605">
        <f t="shared" ref="J1605:J1668" si="265">Q1605</f>
        <v>0.32536526106514241</v>
      </c>
      <c r="K1605">
        <f t="shared" si="259"/>
        <v>22.5</v>
      </c>
      <c r="L1605">
        <f>0.5*Z1605*K1605/J1605/$B$7</f>
        <v>34.576524743825068</v>
      </c>
      <c r="M1605">
        <f t="shared" si="262"/>
        <v>1.1228068475325188</v>
      </c>
      <c r="N1605" s="21">
        <f t="shared" ref="N1605:N1668" si="266">-$B$15*(O1605-2*(K1605+$B$9))/(K1605+$B$9)^2/J1605</f>
        <v>2.070294509734151E-2</v>
      </c>
      <c r="O1605" s="21">
        <f t="shared" ref="O1605:O1668" si="267">O1604+I1605*(H1605-H1604)</f>
        <v>44.507454937217467</v>
      </c>
      <c r="P1605">
        <f t="shared" si="263"/>
        <v>1</v>
      </c>
      <c r="Q1605">
        <f t="shared" si="260"/>
        <v>0.32536526106514241</v>
      </c>
      <c r="R1605">
        <f t="shared" si="261"/>
        <v>0.32536526106514241</v>
      </c>
      <c r="T1605" s="21">
        <f>(M1605-M1604)/(H1605-H1604)</f>
        <v>0</v>
      </c>
      <c r="W1605">
        <v>1490</v>
      </c>
      <c r="X1605">
        <v>32.013096000000004</v>
      </c>
      <c r="Y1605">
        <v>1</v>
      </c>
      <c r="Z1605">
        <f t="shared" si="258"/>
        <v>1</v>
      </c>
      <c r="AA1605" s="21">
        <f>IF(X1605&gt;$B$8+$B$9,0,ABS(X1605-O1605)/X1605)</f>
        <v>0</v>
      </c>
      <c r="AB1605">
        <f>IF(OR(Z1602&lt;&gt;Z1608,X1605&gt;$B$8+$B$9),0,((X1608-X1602)/(W1608-W1602)-(O1608-O1602)/(W1608-W1602))^2)</f>
        <v>0</v>
      </c>
    </row>
    <row r="1606" spans="7:28" x14ac:dyDescent="0.2">
      <c r="G1606" s="21"/>
      <c r="H1606" s="21">
        <v>1491</v>
      </c>
      <c r="I1606">
        <f t="shared" si="264"/>
        <v>0.1</v>
      </c>
      <c r="J1606">
        <f t="shared" si="265"/>
        <v>0.32536526106514241</v>
      </c>
      <c r="K1606">
        <f t="shared" si="259"/>
        <v>22.5</v>
      </c>
      <c r="L1606">
        <f>0.5*Z1606*K1606/J1606/$B$7</f>
        <v>34.576524743825068</v>
      </c>
      <c r="M1606">
        <f t="shared" si="262"/>
        <v>1.1228068475325188</v>
      </c>
      <c r="N1606" s="21">
        <f t="shared" si="266"/>
        <v>2.0384072530464488E-2</v>
      </c>
      <c r="O1606" s="21">
        <f t="shared" si="267"/>
        <v>44.607454937217469</v>
      </c>
      <c r="P1606">
        <f t="shared" si="263"/>
        <v>1</v>
      </c>
      <c r="Q1606">
        <f t="shared" si="260"/>
        <v>0.32536526106514241</v>
      </c>
      <c r="R1606">
        <f t="shared" si="261"/>
        <v>0.32536526106514241</v>
      </c>
      <c r="T1606" s="21">
        <f>(M1606-M1605)/(H1606-H1605)</f>
        <v>0</v>
      </c>
      <c r="W1606">
        <v>1491</v>
      </c>
      <c r="X1606">
        <v>32.052035000000004</v>
      </c>
      <c r="Y1606">
        <v>1</v>
      </c>
      <c r="Z1606">
        <f t="shared" si="258"/>
        <v>1</v>
      </c>
      <c r="AA1606" s="21">
        <f>IF(X1606&gt;$B$8+$B$9,0,ABS(X1606-O1606)/X1606)</f>
        <v>0</v>
      </c>
      <c r="AB1606">
        <f>IF(OR(Z1603&lt;&gt;Z1609,X1606&gt;$B$8+$B$9),0,((X1609-X1603)/(W1609-W1603)-(O1609-O1603)/(W1609-W1603))^2)</f>
        <v>0</v>
      </c>
    </row>
    <row r="1607" spans="7:28" x14ac:dyDescent="0.2">
      <c r="G1607" s="21"/>
      <c r="H1607" s="21">
        <v>1492</v>
      </c>
      <c r="I1607">
        <f t="shared" si="264"/>
        <v>0.1</v>
      </c>
      <c r="J1607">
        <f t="shared" si="265"/>
        <v>0.32536526106514241</v>
      </c>
      <c r="K1607">
        <f t="shared" si="259"/>
        <v>22.5</v>
      </c>
      <c r="L1607">
        <f>0.5*Z1607*K1607/J1607/$B$7</f>
        <v>34.576524743825068</v>
      </c>
      <c r="M1607">
        <f t="shared" si="262"/>
        <v>1.1228068475325188</v>
      </c>
      <c r="N1607" s="21">
        <f t="shared" si="266"/>
        <v>2.0065199963587469E-2</v>
      </c>
      <c r="O1607" s="21">
        <f t="shared" si="267"/>
        <v>44.70745493721747</v>
      </c>
      <c r="P1607">
        <f t="shared" si="263"/>
        <v>1</v>
      </c>
      <c r="Q1607">
        <f t="shared" si="260"/>
        <v>0.32536526106514241</v>
      </c>
      <c r="R1607">
        <f t="shared" si="261"/>
        <v>0.32536526106514241</v>
      </c>
      <c r="T1607" s="21">
        <f>(M1607-M1606)/(H1607-H1606)</f>
        <v>0</v>
      </c>
      <c r="W1607">
        <v>1492</v>
      </c>
      <c r="X1607">
        <v>32.108821000000006</v>
      </c>
      <c r="Y1607">
        <v>1</v>
      </c>
      <c r="Z1607">
        <f t="shared" si="258"/>
        <v>1</v>
      </c>
      <c r="AA1607" s="21">
        <f>IF(X1607&gt;$B$8+$B$9,0,ABS(X1607-O1607)/X1607)</f>
        <v>0</v>
      </c>
      <c r="AB1607">
        <f>IF(OR(Z1604&lt;&gt;Z1610,X1607&gt;$B$8+$B$9),0,((X1610-X1604)/(W1610-W1604)-(O1610-O1604)/(W1610-W1604))^2)</f>
        <v>0</v>
      </c>
    </row>
    <row r="1608" spans="7:28" x14ac:dyDescent="0.2">
      <c r="G1608" s="21"/>
      <c r="H1608" s="21">
        <v>1493</v>
      </c>
      <c r="I1608">
        <f t="shared" si="264"/>
        <v>0.1</v>
      </c>
      <c r="J1608">
        <f t="shared" si="265"/>
        <v>0.32536526106514241</v>
      </c>
      <c r="K1608">
        <f t="shared" si="259"/>
        <v>22.5</v>
      </c>
      <c r="L1608">
        <f>0.5*Z1608*K1608/J1608/$B$7</f>
        <v>34.576524743825068</v>
      </c>
      <c r="M1608">
        <f t="shared" si="262"/>
        <v>1.1228068475325188</v>
      </c>
      <c r="N1608" s="21">
        <f t="shared" si="266"/>
        <v>1.974632739671045E-2</v>
      </c>
      <c r="O1608" s="21">
        <f t="shared" si="267"/>
        <v>44.807454937217472</v>
      </c>
      <c r="P1608">
        <f t="shared" si="263"/>
        <v>1</v>
      </c>
      <c r="Q1608">
        <f t="shared" si="260"/>
        <v>0.32536526106514241</v>
      </c>
      <c r="R1608">
        <f t="shared" si="261"/>
        <v>0.32536526106514241</v>
      </c>
      <c r="T1608" s="21">
        <f>(M1608-M1607)/(H1608-H1607)</f>
        <v>0</v>
      </c>
      <c r="W1608">
        <v>1493</v>
      </c>
      <c r="X1608">
        <v>32.129913000000002</v>
      </c>
      <c r="Y1608">
        <v>1</v>
      </c>
      <c r="Z1608">
        <f t="shared" si="258"/>
        <v>1</v>
      </c>
      <c r="AA1608" s="21">
        <f>IF(X1608&gt;$B$8+$B$9,0,ABS(X1608-O1608)/X1608)</f>
        <v>0</v>
      </c>
      <c r="AB1608">
        <f>IF(OR(Z1605&lt;&gt;Z1611,X1608&gt;$B$8+$B$9),0,((X1611-X1605)/(W1611-W1605)-(O1611-O1605)/(W1611-W1605))^2)</f>
        <v>0</v>
      </c>
    </row>
    <row r="1609" spans="7:28" x14ac:dyDescent="0.2">
      <c r="G1609" s="21"/>
      <c r="H1609" s="21">
        <v>1494</v>
      </c>
      <c r="I1609">
        <f t="shared" si="264"/>
        <v>0.1</v>
      </c>
      <c r="J1609">
        <f t="shared" si="265"/>
        <v>0.32536526106514241</v>
      </c>
      <c r="K1609">
        <f t="shared" si="259"/>
        <v>22.5</v>
      </c>
      <c r="L1609">
        <f>0.5*Z1609*K1609/J1609/$B$7</f>
        <v>34.576524743825068</v>
      </c>
      <c r="M1609">
        <f t="shared" si="262"/>
        <v>1.1228068475325188</v>
      </c>
      <c r="N1609" s="21">
        <f t="shared" si="266"/>
        <v>1.9427454829833435E-2</v>
      </c>
      <c r="O1609" s="21">
        <f t="shared" si="267"/>
        <v>44.907454937217473</v>
      </c>
      <c r="P1609">
        <f t="shared" si="263"/>
        <v>1</v>
      </c>
      <c r="Q1609">
        <f t="shared" si="260"/>
        <v>0.32536526106514241</v>
      </c>
      <c r="R1609">
        <f t="shared" si="261"/>
        <v>0.32536526106514241</v>
      </c>
      <c r="T1609" s="21">
        <f>(M1609-M1608)/(H1609-H1608)</f>
        <v>0</v>
      </c>
      <c r="W1609">
        <v>1494</v>
      </c>
      <c r="X1609">
        <v>32.194811000000001</v>
      </c>
      <c r="Y1609">
        <v>1</v>
      </c>
      <c r="Z1609">
        <f t="shared" si="258"/>
        <v>1</v>
      </c>
      <c r="AA1609" s="21">
        <f>IF(X1609&gt;$B$8+$B$9,0,ABS(X1609-O1609)/X1609)</f>
        <v>0</v>
      </c>
      <c r="AB1609">
        <f>IF(OR(Z1606&lt;&gt;Z1612,X1609&gt;$B$8+$B$9),0,((X1612-X1606)/(W1612-W1606)-(O1612-O1606)/(W1612-W1606))^2)</f>
        <v>0</v>
      </c>
    </row>
    <row r="1610" spans="7:28" x14ac:dyDescent="0.2">
      <c r="G1610" s="21"/>
      <c r="H1610" s="21">
        <v>1495</v>
      </c>
      <c r="I1610">
        <f t="shared" si="264"/>
        <v>0.1</v>
      </c>
      <c r="J1610">
        <f t="shared" si="265"/>
        <v>0.32536526106514241</v>
      </c>
      <c r="K1610">
        <f t="shared" si="259"/>
        <v>22.5</v>
      </c>
      <c r="L1610">
        <f>0.5*Z1610*K1610/J1610/$B$7</f>
        <v>34.576524743825068</v>
      </c>
      <c r="M1610">
        <f t="shared" si="262"/>
        <v>1.1228068475325188</v>
      </c>
      <c r="N1610" s="21">
        <f t="shared" si="266"/>
        <v>1.9108582262956413E-2</v>
      </c>
      <c r="O1610" s="21">
        <f t="shared" si="267"/>
        <v>45.007454937217474</v>
      </c>
      <c r="P1610">
        <f t="shared" si="263"/>
        <v>1</v>
      </c>
      <c r="Q1610">
        <f t="shared" si="260"/>
        <v>0.32536526106514241</v>
      </c>
      <c r="R1610">
        <f t="shared" si="261"/>
        <v>0.32536526106514241</v>
      </c>
      <c r="T1610" s="21">
        <f>(M1610-M1609)/(H1610-H1609)</f>
        <v>0</v>
      </c>
      <c r="W1610">
        <v>1495</v>
      </c>
      <c r="X1610">
        <v>32.232128000000003</v>
      </c>
      <c r="Y1610">
        <v>1</v>
      </c>
      <c r="Z1610">
        <f t="shared" si="258"/>
        <v>1</v>
      </c>
      <c r="AA1610" s="21">
        <f>IF(X1610&gt;$B$8+$B$9,0,ABS(X1610-O1610)/X1610)</f>
        <v>0</v>
      </c>
      <c r="AB1610">
        <f>IF(OR(Z1607&lt;&gt;Z1613,X1610&gt;$B$8+$B$9),0,((X1613-X1607)/(W1613-W1607)-(O1613-O1607)/(W1613-W1607))^2)</f>
        <v>0</v>
      </c>
    </row>
    <row r="1611" spans="7:28" x14ac:dyDescent="0.2">
      <c r="G1611" s="21"/>
      <c r="H1611" s="21">
        <v>1496</v>
      </c>
      <c r="I1611">
        <f t="shared" si="264"/>
        <v>0.1</v>
      </c>
      <c r="J1611">
        <f t="shared" si="265"/>
        <v>0.32536526106514241</v>
      </c>
      <c r="K1611">
        <f t="shared" si="259"/>
        <v>22.5</v>
      </c>
      <c r="L1611">
        <f>0.5*Z1611*K1611/J1611/$B$7</f>
        <v>34.576524743825068</v>
      </c>
      <c r="M1611">
        <f t="shared" si="262"/>
        <v>1.1228068475325188</v>
      </c>
      <c r="N1611" s="21">
        <f t="shared" si="266"/>
        <v>1.8789709696079394E-2</v>
      </c>
      <c r="O1611" s="21">
        <f t="shared" si="267"/>
        <v>45.107454937217476</v>
      </c>
      <c r="P1611">
        <f t="shared" si="263"/>
        <v>1</v>
      </c>
      <c r="Q1611">
        <f t="shared" si="260"/>
        <v>0.32536526106514241</v>
      </c>
      <c r="R1611">
        <f t="shared" si="261"/>
        <v>0.32536526106514241</v>
      </c>
      <c r="T1611" s="21">
        <f>(M1611-M1610)/(H1611-H1610)</f>
        <v>0</v>
      </c>
      <c r="W1611">
        <v>1496</v>
      </c>
      <c r="X1611">
        <v>32.261331999999996</v>
      </c>
      <c r="Y1611">
        <v>1</v>
      </c>
      <c r="Z1611">
        <f t="shared" si="258"/>
        <v>1</v>
      </c>
      <c r="AA1611" s="21">
        <f>IF(X1611&gt;$B$8+$B$9,0,ABS(X1611-O1611)/X1611)</f>
        <v>0</v>
      </c>
      <c r="AB1611">
        <f>IF(OR(Z1608&lt;&gt;Z1614,X1611&gt;$B$8+$B$9),0,((X1614-X1608)/(W1614-W1608)-(O1614-O1608)/(W1614-W1608))^2)</f>
        <v>0</v>
      </c>
    </row>
    <row r="1612" spans="7:28" x14ac:dyDescent="0.2">
      <c r="G1612" s="21"/>
      <c r="H1612" s="21">
        <v>1497</v>
      </c>
      <c r="I1612">
        <f t="shared" si="264"/>
        <v>0.1</v>
      </c>
      <c r="J1612">
        <f t="shared" si="265"/>
        <v>0.32536526106514241</v>
      </c>
      <c r="K1612">
        <f t="shared" si="259"/>
        <v>22.5</v>
      </c>
      <c r="L1612">
        <f>0.5*Z1612*K1612/J1612/$B$7</f>
        <v>34.576524743825068</v>
      </c>
      <c r="M1612">
        <f t="shared" si="262"/>
        <v>1.1228068475325188</v>
      </c>
      <c r="N1612" s="21">
        <f t="shared" si="266"/>
        <v>1.8470837129202375E-2</v>
      </c>
      <c r="O1612" s="21">
        <f t="shared" si="267"/>
        <v>45.207454937217477</v>
      </c>
      <c r="P1612">
        <f t="shared" si="263"/>
        <v>1</v>
      </c>
      <c r="Q1612">
        <f t="shared" si="260"/>
        <v>0.32536526106514241</v>
      </c>
      <c r="R1612">
        <f t="shared" si="261"/>
        <v>0.32536526106514241</v>
      </c>
      <c r="T1612" s="21">
        <f>(M1612-M1611)/(H1612-H1611)</f>
        <v>0</v>
      </c>
      <c r="W1612">
        <v>1497</v>
      </c>
      <c r="X1612">
        <v>32.319739999999996</v>
      </c>
      <c r="Y1612">
        <v>1</v>
      </c>
      <c r="Z1612">
        <f t="shared" si="258"/>
        <v>1</v>
      </c>
      <c r="AA1612" s="21">
        <f>IF(X1612&gt;$B$8+$B$9,0,ABS(X1612-O1612)/X1612)</f>
        <v>0</v>
      </c>
      <c r="AB1612">
        <f>IF(OR(Z1609&lt;&gt;Z1615,X1612&gt;$B$8+$B$9),0,((X1615-X1609)/(W1615-W1609)-(O1615-O1609)/(W1615-W1609))^2)</f>
        <v>0</v>
      </c>
    </row>
    <row r="1613" spans="7:28" x14ac:dyDescent="0.2">
      <c r="G1613" s="21"/>
      <c r="H1613" s="21">
        <v>1498</v>
      </c>
      <c r="I1613">
        <f t="shared" si="264"/>
        <v>0.1</v>
      </c>
      <c r="J1613">
        <f t="shared" si="265"/>
        <v>0.32536526106514241</v>
      </c>
      <c r="K1613">
        <f t="shared" si="259"/>
        <v>22.5</v>
      </c>
      <c r="L1613">
        <f>0.5*Z1613*K1613/J1613/$B$7</f>
        <v>34.576524743825068</v>
      </c>
      <c r="M1613">
        <f t="shared" si="262"/>
        <v>1.1228068475325188</v>
      </c>
      <c r="N1613" s="21">
        <f t="shared" si="266"/>
        <v>1.8151964562325356E-2</v>
      </c>
      <c r="O1613" s="21">
        <f t="shared" si="267"/>
        <v>45.307454937217479</v>
      </c>
      <c r="P1613">
        <f t="shared" si="263"/>
        <v>1</v>
      </c>
      <c r="Q1613">
        <f t="shared" si="260"/>
        <v>0.32536526106514241</v>
      </c>
      <c r="R1613">
        <f t="shared" si="261"/>
        <v>0.32536526106514241</v>
      </c>
      <c r="T1613" s="21">
        <f>(M1613-M1612)/(H1613-H1612)</f>
        <v>0</v>
      </c>
      <c r="W1613">
        <v>1498</v>
      </c>
      <c r="X1613">
        <v>32.366792000000004</v>
      </c>
      <c r="Y1613">
        <v>1</v>
      </c>
      <c r="Z1613">
        <f t="shared" si="258"/>
        <v>1</v>
      </c>
      <c r="AA1613" s="21">
        <f>IF(X1613&gt;$B$8+$B$9,0,ABS(X1613-O1613)/X1613)</f>
        <v>0</v>
      </c>
      <c r="AB1613">
        <f>IF(OR(Z1610&lt;&gt;Z1616,X1613&gt;$B$8+$B$9),0,((X1616-X1610)/(W1616-W1610)-(O1616-O1610)/(W1616-W1610))^2)</f>
        <v>0</v>
      </c>
    </row>
    <row r="1614" spans="7:28" x14ac:dyDescent="0.2">
      <c r="G1614" s="21"/>
      <c r="H1614" s="21">
        <v>1499</v>
      </c>
      <c r="I1614">
        <f t="shared" si="264"/>
        <v>0.1</v>
      </c>
      <c r="J1614">
        <f t="shared" si="265"/>
        <v>0.32536526106514241</v>
      </c>
      <c r="K1614">
        <f t="shared" si="259"/>
        <v>22.5</v>
      </c>
      <c r="L1614">
        <f>0.5*Z1614*K1614/J1614/$B$7</f>
        <v>34.576524743825068</v>
      </c>
      <c r="M1614">
        <f t="shared" si="262"/>
        <v>1.1228068475325188</v>
      </c>
      <c r="N1614" s="21">
        <f t="shared" si="266"/>
        <v>1.7833091995448341E-2</v>
      </c>
      <c r="O1614" s="21">
        <f t="shared" si="267"/>
        <v>45.40745493721748</v>
      </c>
      <c r="P1614">
        <f t="shared" si="263"/>
        <v>1</v>
      </c>
      <c r="Q1614">
        <f t="shared" si="260"/>
        <v>0.32536526106514241</v>
      </c>
      <c r="R1614">
        <f t="shared" si="261"/>
        <v>0.32536526106514241</v>
      </c>
      <c r="T1614" s="21">
        <f>(M1614-M1613)/(H1614-H1613)</f>
        <v>0</v>
      </c>
      <c r="W1614">
        <v>1499</v>
      </c>
      <c r="X1614">
        <v>32.418710000000004</v>
      </c>
      <c r="Y1614">
        <v>1</v>
      </c>
      <c r="Z1614">
        <f t="shared" si="258"/>
        <v>1</v>
      </c>
      <c r="AA1614" s="21">
        <f>IF(X1614&gt;$B$8+$B$9,0,ABS(X1614-O1614)/X1614)</f>
        <v>0</v>
      </c>
      <c r="AB1614">
        <f>IF(OR(Z1611&lt;&gt;Z1617,X1614&gt;$B$8+$B$9),0,((X1617-X1611)/(W1617-W1611)-(O1617-O1611)/(W1617-W1611))^2)</f>
        <v>0</v>
      </c>
    </row>
    <row r="1615" spans="7:28" x14ac:dyDescent="0.2">
      <c r="G1615" s="21"/>
      <c r="H1615" s="21">
        <v>1500</v>
      </c>
      <c r="I1615">
        <f t="shared" si="264"/>
        <v>0.1</v>
      </c>
      <c r="J1615">
        <f t="shared" si="265"/>
        <v>0.32536526106514241</v>
      </c>
      <c r="K1615">
        <f t="shared" si="259"/>
        <v>22.5</v>
      </c>
      <c r="L1615">
        <f>0.5*Z1615*K1615/J1615/$B$7</f>
        <v>34.576524743825068</v>
      </c>
      <c r="M1615">
        <f t="shared" si="262"/>
        <v>1.1228068475325188</v>
      </c>
      <c r="N1615" s="21">
        <f t="shared" si="266"/>
        <v>1.7514219428571318E-2</v>
      </c>
      <c r="O1615" s="21">
        <f t="shared" si="267"/>
        <v>45.507454937217481</v>
      </c>
      <c r="P1615">
        <f t="shared" si="263"/>
        <v>1</v>
      </c>
      <c r="Q1615">
        <f t="shared" si="260"/>
        <v>0.32536526106514241</v>
      </c>
      <c r="R1615">
        <f t="shared" si="261"/>
        <v>0.32536526106514241</v>
      </c>
      <c r="T1615" s="21">
        <f>(M1615-M1614)/(H1615-H1614)</f>
        <v>0</v>
      </c>
      <c r="W1615">
        <v>1500</v>
      </c>
      <c r="X1615">
        <v>32.483609000000001</v>
      </c>
      <c r="Y1615">
        <v>1</v>
      </c>
      <c r="Z1615">
        <f t="shared" si="258"/>
        <v>1</v>
      </c>
      <c r="AA1615" s="21">
        <f>IF(X1615&gt;$B$8+$B$9,0,ABS(X1615-O1615)/X1615)</f>
        <v>0</v>
      </c>
      <c r="AB1615">
        <f>IF(OR(Z1612&lt;&gt;Z1618,X1615&gt;$B$8+$B$9),0,((X1618-X1612)/(W1618-W1612)-(O1618-O1612)/(W1618-W1612))^2)</f>
        <v>0</v>
      </c>
    </row>
    <row r="1616" spans="7:28" x14ac:dyDescent="0.2">
      <c r="G1616" s="21"/>
      <c r="H1616" s="21">
        <v>1501</v>
      </c>
      <c r="I1616">
        <f t="shared" si="264"/>
        <v>0.1</v>
      </c>
      <c r="J1616">
        <f t="shared" si="265"/>
        <v>0.32536526106514241</v>
      </c>
      <c r="K1616">
        <f t="shared" si="259"/>
        <v>22.5</v>
      </c>
      <c r="L1616">
        <f>0.5*Z1616*K1616/J1616/$B$7</f>
        <v>34.576524743825068</v>
      </c>
      <c r="M1616">
        <f t="shared" si="262"/>
        <v>1.1228068475325188</v>
      </c>
      <c r="N1616" s="21">
        <f t="shared" si="266"/>
        <v>1.7195346861694299E-2</v>
      </c>
      <c r="O1616" s="21">
        <f t="shared" si="267"/>
        <v>45.607454937217483</v>
      </c>
      <c r="P1616">
        <f t="shared" si="263"/>
        <v>1</v>
      </c>
      <c r="Q1616">
        <f t="shared" si="260"/>
        <v>0.32536526106514241</v>
      </c>
      <c r="R1616">
        <f t="shared" si="261"/>
        <v>0.32536526106514241</v>
      </c>
      <c r="T1616" s="21">
        <f>(M1616-M1615)/(H1616-H1615)</f>
        <v>0</v>
      </c>
      <c r="W1616">
        <v>1501</v>
      </c>
      <c r="X1616">
        <v>32.506322999999995</v>
      </c>
      <c r="Y1616">
        <v>1</v>
      </c>
      <c r="Z1616">
        <f t="shared" si="258"/>
        <v>1</v>
      </c>
      <c r="AA1616" s="21">
        <f>IF(X1616&gt;$B$8+$B$9,0,ABS(X1616-O1616)/X1616)</f>
        <v>0</v>
      </c>
      <c r="AB1616">
        <f>IF(OR(Z1613&lt;&gt;Z1619,X1616&gt;$B$8+$B$9),0,((X1619-X1613)/(W1619-W1613)-(O1619-O1613)/(W1619-W1613))^2)</f>
        <v>0</v>
      </c>
    </row>
    <row r="1617" spans="7:28" x14ac:dyDescent="0.2">
      <c r="G1617" s="21"/>
      <c r="H1617" s="21">
        <v>1502</v>
      </c>
      <c r="I1617">
        <f t="shared" si="264"/>
        <v>0.1</v>
      </c>
      <c r="J1617">
        <f t="shared" si="265"/>
        <v>0.32536526106514241</v>
      </c>
      <c r="K1617">
        <f t="shared" si="259"/>
        <v>22.5</v>
      </c>
      <c r="L1617">
        <f>0.5*Z1617*K1617/J1617/$B$7</f>
        <v>34.576524743825068</v>
      </c>
      <c r="M1617">
        <f t="shared" si="262"/>
        <v>1.1228068475325188</v>
      </c>
      <c r="N1617" s="21">
        <f t="shared" si="266"/>
        <v>1.6876474294817284E-2</v>
      </c>
      <c r="O1617" s="21">
        <f t="shared" si="267"/>
        <v>45.707454937217484</v>
      </c>
      <c r="P1617">
        <f t="shared" si="263"/>
        <v>1</v>
      </c>
      <c r="Q1617">
        <f t="shared" si="260"/>
        <v>0.32536526106514241</v>
      </c>
      <c r="R1617">
        <f t="shared" si="261"/>
        <v>0.32536526106514241</v>
      </c>
      <c r="T1617" s="21">
        <f>(M1617-M1616)/(H1617-H1616)</f>
        <v>0</v>
      </c>
      <c r="W1617">
        <v>1502</v>
      </c>
      <c r="X1617">
        <v>32.553374000000005</v>
      </c>
      <c r="Y1617">
        <v>1</v>
      </c>
      <c r="Z1617">
        <f t="shared" si="258"/>
        <v>1</v>
      </c>
      <c r="AA1617" s="21">
        <f>IF(X1617&gt;$B$8+$B$9,0,ABS(X1617-O1617)/X1617)</f>
        <v>0</v>
      </c>
      <c r="AB1617">
        <f>IF(OR(Z1614&lt;&gt;Z1620,X1617&gt;$B$8+$B$9),0,((X1620-X1614)/(W1620-W1614)-(O1620-O1614)/(W1620-W1614))^2)</f>
        <v>0</v>
      </c>
    </row>
    <row r="1618" spans="7:28" x14ac:dyDescent="0.2">
      <c r="G1618" s="21"/>
      <c r="H1618" s="21">
        <v>1503</v>
      </c>
      <c r="I1618">
        <f t="shared" si="264"/>
        <v>0.1</v>
      </c>
      <c r="J1618">
        <f t="shared" si="265"/>
        <v>0.32536526106514241</v>
      </c>
      <c r="K1618">
        <f t="shared" si="259"/>
        <v>22.5</v>
      </c>
      <c r="L1618">
        <f>0.5*Z1618*K1618/J1618/$B$7</f>
        <v>34.576524743825068</v>
      </c>
      <c r="M1618">
        <f t="shared" si="262"/>
        <v>1.1228068475325188</v>
      </c>
      <c r="N1618" s="21">
        <f t="shared" si="266"/>
        <v>1.6557601727940265E-2</v>
      </c>
      <c r="O1618" s="21">
        <f t="shared" si="267"/>
        <v>45.807454937217486</v>
      </c>
      <c r="P1618">
        <f t="shared" si="263"/>
        <v>1</v>
      </c>
      <c r="Q1618">
        <f t="shared" si="260"/>
        <v>0.32536526106514241</v>
      </c>
      <c r="R1618">
        <f t="shared" si="261"/>
        <v>0.32536526106514241</v>
      </c>
      <c r="T1618" s="21">
        <f>(M1618-M1617)/(H1618-H1617)</f>
        <v>0</v>
      </c>
      <c r="W1618">
        <v>1503</v>
      </c>
      <c r="X1618">
        <v>32.606915000000001</v>
      </c>
      <c r="Y1618">
        <v>1</v>
      </c>
      <c r="Z1618">
        <f t="shared" si="258"/>
        <v>1</v>
      </c>
      <c r="AA1618" s="21">
        <f>IF(X1618&gt;$B$8+$B$9,0,ABS(X1618-O1618)/X1618)</f>
        <v>0</v>
      </c>
      <c r="AB1618">
        <f>IF(OR(Z1615&lt;&gt;Z1621,X1618&gt;$B$8+$B$9),0,((X1621-X1615)/(W1621-W1615)-(O1621-O1615)/(W1621-W1615))^2)</f>
        <v>0</v>
      </c>
    </row>
    <row r="1619" spans="7:28" x14ac:dyDescent="0.2">
      <c r="G1619" s="21"/>
      <c r="H1619" s="21">
        <v>1504</v>
      </c>
      <c r="I1619">
        <f t="shared" si="264"/>
        <v>0.1</v>
      </c>
      <c r="J1619">
        <f t="shared" si="265"/>
        <v>0.32536526106514241</v>
      </c>
      <c r="K1619">
        <f t="shared" si="259"/>
        <v>22.5</v>
      </c>
      <c r="L1619">
        <f>0.5*Z1619*K1619/J1619/$B$7</f>
        <v>34.576524743825068</v>
      </c>
      <c r="M1619">
        <f t="shared" si="262"/>
        <v>1.1228068475325188</v>
      </c>
      <c r="N1619" s="21">
        <f t="shared" si="266"/>
        <v>1.6238729161063246E-2</v>
      </c>
      <c r="O1619" s="21">
        <f t="shared" si="267"/>
        <v>45.907454937217487</v>
      </c>
      <c r="P1619">
        <f t="shared" si="263"/>
        <v>1</v>
      </c>
      <c r="Q1619">
        <f t="shared" si="260"/>
        <v>0.32536526106514241</v>
      </c>
      <c r="R1619">
        <f t="shared" si="261"/>
        <v>0.32536526106514241</v>
      </c>
      <c r="T1619" s="21">
        <f>(M1619-M1618)/(H1619-H1618)</f>
        <v>0</v>
      </c>
      <c r="W1619">
        <v>1504</v>
      </c>
      <c r="X1619">
        <v>32.662079000000006</v>
      </c>
      <c r="Y1619">
        <v>1</v>
      </c>
      <c r="Z1619">
        <f t="shared" si="258"/>
        <v>1</v>
      </c>
      <c r="AA1619" s="21">
        <f>IF(X1619&gt;$B$8+$B$9,0,ABS(X1619-O1619)/X1619)</f>
        <v>0</v>
      </c>
      <c r="AB1619">
        <f>IF(OR(Z1616&lt;&gt;Z1622,X1619&gt;$B$8+$B$9),0,((X1622-X1616)/(W1622-W1616)-(O1622-O1616)/(W1622-W1616))^2)</f>
        <v>0</v>
      </c>
    </row>
    <row r="1620" spans="7:28" x14ac:dyDescent="0.2">
      <c r="G1620" s="21"/>
      <c r="H1620" s="21">
        <v>1505</v>
      </c>
      <c r="I1620">
        <f t="shared" si="264"/>
        <v>0.1</v>
      </c>
      <c r="J1620">
        <f t="shared" si="265"/>
        <v>0.32536526106514241</v>
      </c>
      <c r="K1620">
        <f t="shared" si="259"/>
        <v>22.5</v>
      </c>
      <c r="L1620">
        <f>0.5*Z1620*K1620/J1620/$B$7</f>
        <v>34.576524743825068</v>
      </c>
      <c r="M1620">
        <f t="shared" si="262"/>
        <v>1.1228068475325188</v>
      </c>
      <c r="N1620" s="21">
        <f t="shared" si="266"/>
        <v>1.5919856594186224E-2</v>
      </c>
      <c r="O1620" s="21">
        <f t="shared" si="267"/>
        <v>46.007454937217489</v>
      </c>
      <c r="P1620">
        <f t="shared" si="263"/>
        <v>1</v>
      </c>
      <c r="Q1620">
        <f t="shared" si="260"/>
        <v>0.32536526106514241</v>
      </c>
      <c r="R1620">
        <f t="shared" si="261"/>
        <v>0.32536526106514241</v>
      </c>
      <c r="T1620" s="21">
        <f>(M1620-M1619)/(H1620-H1619)</f>
        <v>0</v>
      </c>
      <c r="W1620">
        <v>1505</v>
      </c>
      <c r="X1620">
        <v>32.705884999999995</v>
      </c>
      <c r="Y1620">
        <v>1</v>
      </c>
      <c r="Z1620">
        <f t="shared" si="258"/>
        <v>1</v>
      </c>
      <c r="AA1620" s="21">
        <f>IF(X1620&gt;$B$8+$B$9,0,ABS(X1620-O1620)/X1620)</f>
        <v>0</v>
      </c>
      <c r="AB1620">
        <f>IF(OR(Z1617&lt;&gt;Z1623,X1620&gt;$B$8+$B$9),0,((X1623-X1617)/(W1623-W1617)-(O1623-O1617)/(W1623-W1617))^2)</f>
        <v>0</v>
      </c>
    </row>
    <row r="1621" spans="7:28" x14ac:dyDescent="0.2">
      <c r="G1621" s="21"/>
      <c r="H1621" s="21">
        <v>1506</v>
      </c>
      <c r="I1621">
        <f t="shared" si="264"/>
        <v>0.1</v>
      </c>
      <c r="J1621">
        <f t="shared" si="265"/>
        <v>0.32536526106514241</v>
      </c>
      <c r="K1621">
        <f t="shared" si="259"/>
        <v>22.5</v>
      </c>
      <c r="L1621">
        <f>0.5*Z1621*K1621/J1621/$B$7</f>
        <v>34.576524743825068</v>
      </c>
      <c r="M1621">
        <f t="shared" si="262"/>
        <v>1.1228068475325188</v>
      </c>
      <c r="N1621" s="21">
        <f t="shared" si="266"/>
        <v>1.560098402730921E-2</v>
      </c>
      <c r="O1621" s="21">
        <f t="shared" si="267"/>
        <v>46.10745493721749</v>
      </c>
      <c r="P1621">
        <f t="shared" si="263"/>
        <v>1</v>
      </c>
      <c r="Q1621">
        <f t="shared" si="260"/>
        <v>0.32536526106514241</v>
      </c>
      <c r="R1621">
        <f t="shared" si="261"/>
        <v>0.32536526106514241</v>
      </c>
      <c r="T1621" s="21">
        <f>(M1621-M1620)/(H1621-H1620)</f>
        <v>0</v>
      </c>
      <c r="W1621">
        <v>1506</v>
      </c>
      <c r="X1621">
        <v>32.754559</v>
      </c>
      <c r="Y1621">
        <v>1</v>
      </c>
      <c r="Z1621">
        <f t="shared" si="258"/>
        <v>1</v>
      </c>
      <c r="AA1621" s="21">
        <f>IF(X1621&gt;$B$8+$B$9,0,ABS(X1621-O1621)/X1621)</f>
        <v>0</v>
      </c>
      <c r="AB1621">
        <f>IF(OR(Z1618&lt;&gt;Z1624,X1621&gt;$B$8+$B$9),0,((X1624-X1618)/(W1624-W1618)-(O1624-O1618)/(W1624-W1618))^2)</f>
        <v>0</v>
      </c>
    </row>
    <row r="1622" spans="7:28" x14ac:dyDescent="0.2">
      <c r="G1622" s="21"/>
      <c r="H1622" s="21">
        <v>1507</v>
      </c>
      <c r="I1622">
        <f t="shared" si="264"/>
        <v>0.1</v>
      </c>
      <c r="J1622">
        <f t="shared" si="265"/>
        <v>0.32536526106514241</v>
      </c>
      <c r="K1622">
        <f t="shared" si="259"/>
        <v>22.5</v>
      </c>
      <c r="L1622">
        <f>0.5*Z1622*K1622/J1622/$B$7</f>
        <v>34.576524743825068</v>
      </c>
      <c r="M1622">
        <f t="shared" si="262"/>
        <v>1.1228068475325188</v>
      </c>
      <c r="N1622" s="21">
        <f t="shared" si="266"/>
        <v>1.5282111460432192E-2</v>
      </c>
      <c r="O1622" s="21">
        <f t="shared" si="267"/>
        <v>46.207454937217491</v>
      </c>
      <c r="P1622">
        <f t="shared" si="263"/>
        <v>1</v>
      </c>
      <c r="Q1622">
        <f t="shared" si="260"/>
        <v>0.32536526106514241</v>
      </c>
      <c r="R1622">
        <f t="shared" si="261"/>
        <v>0.32536526106514241</v>
      </c>
      <c r="T1622" s="21">
        <f>(M1622-M1621)/(H1622-H1621)</f>
        <v>0</v>
      </c>
      <c r="W1622">
        <v>1507</v>
      </c>
      <c r="X1622">
        <v>32.811345000000003</v>
      </c>
      <c r="Y1622">
        <v>1</v>
      </c>
      <c r="Z1622">
        <f t="shared" si="258"/>
        <v>1</v>
      </c>
      <c r="AA1622" s="21">
        <f>IF(X1622&gt;$B$8+$B$9,0,ABS(X1622-O1622)/X1622)</f>
        <v>0</v>
      </c>
      <c r="AB1622">
        <f>IF(OR(Z1619&lt;&gt;Z1625,X1622&gt;$B$8+$B$9),0,((X1625-X1619)/(W1625-W1619)-(O1625-O1619)/(W1625-W1619))^2)</f>
        <v>0</v>
      </c>
    </row>
    <row r="1623" spans="7:28" x14ac:dyDescent="0.2">
      <c r="G1623" s="21"/>
      <c r="H1623" s="21">
        <v>1508</v>
      </c>
      <c r="I1623">
        <f t="shared" si="264"/>
        <v>0.1</v>
      </c>
      <c r="J1623">
        <f t="shared" si="265"/>
        <v>0.32536526106514241</v>
      </c>
      <c r="K1623">
        <f t="shared" si="259"/>
        <v>22.5</v>
      </c>
      <c r="L1623">
        <f>0.5*Z1623*K1623/J1623/$B$7</f>
        <v>34.576524743825068</v>
      </c>
      <c r="M1623">
        <f t="shared" si="262"/>
        <v>1.1228068475325188</v>
      </c>
      <c r="N1623" s="21">
        <f t="shared" si="266"/>
        <v>1.4963238893555173E-2</v>
      </c>
      <c r="O1623" s="21">
        <f t="shared" si="267"/>
        <v>46.307454937217493</v>
      </c>
      <c r="P1623">
        <f t="shared" si="263"/>
        <v>1</v>
      </c>
      <c r="Q1623">
        <f t="shared" si="260"/>
        <v>0.32536526106514241</v>
      </c>
      <c r="R1623">
        <f t="shared" si="261"/>
        <v>0.32536526106514241</v>
      </c>
      <c r="T1623" s="21">
        <f>(M1623-M1622)/(H1623-H1622)</f>
        <v>0</v>
      </c>
      <c r="W1623">
        <v>1508</v>
      </c>
      <c r="X1623">
        <v>32.868129999999994</v>
      </c>
      <c r="Y1623">
        <v>1</v>
      </c>
      <c r="Z1623">
        <f t="shared" si="258"/>
        <v>1</v>
      </c>
      <c r="AA1623" s="21">
        <f>IF(X1623&gt;$B$8+$B$9,0,ABS(X1623-O1623)/X1623)</f>
        <v>0</v>
      </c>
      <c r="AB1623">
        <f>IF(OR(Z1620&lt;&gt;Z1626,X1623&gt;$B$8+$B$9),0,((X1626-X1620)/(W1626-W1620)-(O1626-O1620)/(W1626-W1620))^2)</f>
        <v>0</v>
      </c>
    </row>
    <row r="1624" spans="7:28" x14ac:dyDescent="0.2">
      <c r="G1624" s="21"/>
      <c r="H1624" s="21">
        <v>1509</v>
      </c>
      <c r="I1624">
        <f t="shared" si="264"/>
        <v>0.1</v>
      </c>
      <c r="J1624">
        <f t="shared" si="265"/>
        <v>0.32536526106514241</v>
      </c>
      <c r="K1624">
        <f t="shared" si="259"/>
        <v>22.5</v>
      </c>
      <c r="L1624">
        <f>0.5*Z1624*K1624/J1624/$B$7</f>
        <v>34.576524743825068</v>
      </c>
      <c r="M1624">
        <f t="shared" si="262"/>
        <v>1.1228068475325188</v>
      </c>
      <c r="N1624" s="21">
        <f t="shared" si="266"/>
        <v>1.4644366326678152E-2</v>
      </c>
      <c r="O1624" s="21">
        <f t="shared" si="267"/>
        <v>46.407454937217494</v>
      </c>
      <c r="P1624">
        <f t="shared" si="263"/>
        <v>1</v>
      </c>
      <c r="Q1624">
        <f t="shared" si="260"/>
        <v>0.32536526106514241</v>
      </c>
      <c r="R1624">
        <f t="shared" si="261"/>
        <v>0.32536526106514241</v>
      </c>
      <c r="T1624" s="21">
        <f>(M1624-M1623)/(H1624-H1623)</f>
        <v>0</v>
      </c>
      <c r="W1624">
        <v>1509</v>
      </c>
      <c r="X1624">
        <v>32.926539000000005</v>
      </c>
      <c r="Y1624">
        <v>1</v>
      </c>
      <c r="Z1624">
        <f t="shared" si="258"/>
        <v>1</v>
      </c>
      <c r="AA1624" s="21">
        <f>IF(X1624&gt;$B$8+$B$9,0,ABS(X1624-O1624)/X1624)</f>
        <v>0</v>
      </c>
      <c r="AB1624">
        <f>IF(OR(Z1621&lt;&gt;Z1627,X1624&gt;$B$8+$B$9),0,((X1627-X1621)/(W1627-W1621)-(O1627-O1621)/(W1627-W1621))^2)</f>
        <v>0</v>
      </c>
    </row>
    <row r="1625" spans="7:28" x14ac:dyDescent="0.2">
      <c r="G1625" s="21"/>
      <c r="H1625" s="21">
        <v>1510</v>
      </c>
      <c r="I1625">
        <f t="shared" si="264"/>
        <v>0.1</v>
      </c>
      <c r="J1625">
        <f t="shared" si="265"/>
        <v>0.32536526106514241</v>
      </c>
      <c r="K1625">
        <f t="shared" si="259"/>
        <v>22.5</v>
      </c>
      <c r="L1625">
        <f>0.5*Z1625*K1625/J1625/$B$7</f>
        <v>34.576524743825068</v>
      </c>
      <c r="M1625">
        <f t="shared" si="262"/>
        <v>1.1228068475325188</v>
      </c>
      <c r="N1625" s="21">
        <f t="shared" si="266"/>
        <v>1.4325493759801137E-2</v>
      </c>
      <c r="O1625" s="21">
        <f t="shared" si="267"/>
        <v>46.507454937217496</v>
      </c>
      <c r="P1625">
        <f t="shared" si="263"/>
        <v>1</v>
      </c>
      <c r="Q1625">
        <f t="shared" si="260"/>
        <v>0.32536526106514241</v>
      </c>
      <c r="R1625">
        <f t="shared" si="261"/>
        <v>0.32536526106514241</v>
      </c>
      <c r="T1625" s="21">
        <f>(M1625-M1624)/(H1625-H1624)</f>
        <v>0</v>
      </c>
      <c r="W1625">
        <v>1510</v>
      </c>
      <c r="X1625">
        <v>32.981701999999999</v>
      </c>
      <c r="Y1625">
        <v>1</v>
      </c>
      <c r="Z1625">
        <f t="shared" si="258"/>
        <v>1</v>
      </c>
      <c r="AA1625" s="21">
        <f>IF(X1625&gt;$B$8+$B$9,0,ABS(X1625-O1625)/X1625)</f>
        <v>0</v>
      </c>
      <c r="AB1625">
        <f>IF(OR(Z1622&lt;&gt;Z1628,X1625&gt;$B$8+$B$9),0,((X1628-X1622)/(W1628-W1622)-(O1628-O1622)/(W1628-W1622))^2)</f>
        <v>0</v>
      </c>
    </row>
    <row r="1626" spans="7:28" x14ac:dyDescent="0.2">
      <c r="G1626" s="21"/>
      <c r="H1626" s="21">
        <v>1511</v>
      </c>
      <c r="I1626">
        <f t="shared" si="264"/>
        <v>0.1</v>
      </c>
      <c r="J1626">
        <f t="shared" si="265"/>
        <v>0.32536526106514241</v>
      </c>
      <c r="K1626">
        <f t="shared" si="259"/>
        <v>22.5</v>
      </c>
      <c r="L1626">
        <f>0.5*Z1626*K1626/J1626/$B$7</f>
        <v>34.576524743825068</v>
      </c>
      <c r="M1626">
        <f t="shared" si="262"/>
        <v>1.1228068475325188</v>
      </c>
      <c r="N1626" s="21">
        <f t="shared" si="266"/>
        <v>1.4006621192924116E-2</v>
      </c>
      <c r="O1626" s="21">
        <f t="shared" si="267"/>
        <v>46.607454937217497</v>
      </c>
      <c r="P1626">
        <f t="shared" si="263"/>
        <v>1</v>
      </c>
      <c r="Q1626">
        <f t="shared" si="260"/>
        <v>0.32536526106514241</v>
      </c>
      <c r="R1626">
        <f t="shared" si="261"/>
        <v>0.32536526106514241</v>
      </c>
      <c r="T1626" s="21">
        <f>(M1626-M1625)/(H1626-H1625)</f>
        <v>0</v>
      </c>
      <c r="W1626">
        <v>1511</v>
      </c>
      <c r="X1626">
        <v>33.023886000000005</v>
      </c>
      <c r="Y1626">
        <v>1</v>
      </c>
      <c r="Z1626">
        <f t="shared" si="258"/>
        <v>1</v>
      </c>
      <c r="AA1626" s="21">
        <f>IF(X1626&gt;$B$8+$B$9,0,ABS(X1626-O1626)/X1626)</f>
        <v>0</v>
      </c>
      <c r="AB1626">
        <f>IF(OR(Z1623&lt;&gt;Z1629,X1626&gt;$B$8+$B$9),0,((X1629-X1623)/(W1629-W1623)-(O1629-O1623)/(W1629-W1623))^2)</f>
        <v>0</v>
      </c>
    </row>
    <row r="1627" spans="7:28" x14ac:dyDescent="0.2">
      <c r="G1627" s="21"/>
      <c r="H1627" s="21">
        <v>1512</v>
      </c>
      <c r="I1627">
        <f t="shared" si="264"/>
        <v>0.1</v>
      </c>
      <c r="J1627">
        <f t="shared" si="265"/>
        <v>0.32536526106514241</v>
      </c>
      <c r="K1627">
        <f t="shared" si="259"/>
        <v>22.5</v>
      </c>
      <c r="L1627">
        <f>0.5*Z1627*K1627/J1627/$B$7</f>
        <v>34.576524743825068</v>
      </c>
      <c r="M1627">
        <f t="shared" si="262"/>
        <v>1.1228068475325188</v>
      </c>
      <c r="N1627" s="21">
        <f t="shared" si="266"/>
        <v>1.3687748626047097E-2</v>
      </c>
      <c r="O1627" s="21">
        <f t="shared" si="267"/>
        <v>46.707454937217499</v>
      </c>
      <c r="P1627">
        <f t="shared" si="263"/>
        <v>1</v>
      </c>
      <c r="Q1627">
        <f t="shared" si="260"/>
        <v>0.32536526106514241</v>
      </c>
      <c r="R1627">
        <f t="shared" si="261"/>
        <v>0.32536526106514241</v>
      </c>
      <c r="T1627" s="21">
        <f>(M1627-M1626)/(H1627-H1626)</f>
        <v>0</v>
      </c>
      <c r="W1627">
        <v>1512</v>
      </c>
      <c r="X1627">
        <v>33.090406999999999</v>
      </c>
      <c r="Y1627">
        <v>1</v>
      </c>
      <c r="Z1627">
        <f t="shared" si="258"/>
        <v>1</v>
      </c>
      <c r="AA1627" s="21">
        <f>IF(X1627&gt;$B$8+$B$9,0,ABS(X1627-O1627)/X1627)</f>
        <v>0</v>
      </c>
      <c r="AB1627">
        <f>IF(OR(Z1624&lt;&gt;Z1630,X1627&gt;$B$8+$B$9),0,((X1630-X1624)/(W1630-W1624)-(O1630-O1624)/(W1630-W1624))^2)</f>
        <v>0</v>
      </c>
    </row>
    <row r="1628" spans="7:28" x14ac:dyDescent="0.2">
      <c r="G1628" s="21"/>
      <c r="H1628" s="21">
        <v>1513</v>
      </c>
      <c r="I1628">
        <f t="shared" si="264"/>
        <v>0.1</v>
      </c>
      <c r="J1628">
        <f t="shared" si="265"/>
        <v>0.32536526106514241</v>
      </c>
      <c r="K1628">
        <f t="shared" si="259"/>
        <v>22.5</v>
      </c>
      <c r="L1628">
        <f>0.5*Z1628*K1628/J1628/$B$7</f>
        <v>34.576524743825068</v>
      </c>
      <c r="M1628">
        <f t="shared" si="262"/>
        <v>1.1228068475325188</v>
      </c>
      <c r="N1628" s="21">
        <f t="shared" si="266"/>
        <v>1.336887605917008E-2</v>
      </c>
      <c r="O1628" s="21">
        <f t="shared" si="267"/>
        <v>46.8074549372175</v>
      </c>
      <c r="P1628">
        <f t="shared" si="263"/>
        <v>1</v>
      </c>
      <c r="Q1628">
        <f t="shared" si="260"/>
        <v>0.32536526106514241</v>
      </c>
      <c r="R1628">
        <f t="shared" si="261"/>
        <v>0.32536526106514241</v>
      </c>
      <c r="T1628" s="21">
        <f>(M1628-M1627)/(H1628-H1627)</f>
        <v>0</v>
      </c>
      <c r="W1628">
        <v>1513</v>
      </c>
      <c r="X1628">
        <v>33.132591000000005</v>
      </c>
      <c r="Y1628">
        <v>1</v>
      </c>
      <c r="Z1628">
        <f t="shared" si="258"/>
        <v>1</v>
      </c>
      <c r="AA1628" s="21">
        <f>IF(X1628&gt;$B$8+$B$9,0,ABS(X1628-O1628)/X1628)</f>
        <v>0</v>
      </c>
      <c r="AB1628">
        <f>IF(OR(Z1625&lt;&gt;Z1631,X1628&gt;$B$8+$B$9),0,((X1631-X1625)/(W1631-W1625)-(O1631-O1625)/(W1631-W1625))^2)</f>
        <v>0</v>
      </c>
    </row>
    <row r="1629" spans="7:28" x14ac:dyDescent="0.2">
      <c r="G1629" s="21"/>
      <c r="H1629" s="21">
        <v>1514</v>
      </c>
      <c r="I1629">
        <f t="shared" si="264"/>
        <v>0.1</v>
      </c>
      <c r="J1629">
        <f t="shared" si="265"/>
        <v>0.32536526106514241</v>
      </c>
      <c r="K1629">
        <f t="shared" si="259"/>
        <v>22.5</v>
      </c>
      <c r="L1629">
        <f>0.5*Z1629*K1629/J1629/$B$7</f>
        <v>34.576524743825068</v>
      </c>
      <c r="M1629">
        <f t="shared" si="262"/>
        <v>1.1228068475325188</v>
      </c>
      <c r="N1629" s="21">
        <f t="shared" si="266"/>
        <v>1.3050003492293061E-2</v>
      </c>
      <c r="O1629" s="21">
        <f t="shared" si="267"/>
        <v>46.907454937217501</v>
      </c>
      <c r="P1629">
        <f t="shared" si="263"/>
        <v>1</v>
      </c>
      <c r="Q1629">
        <f t="shared" si="260"/>
        <v>0.32536526106514241</v>
      </c>
      <c r="R1629">
        <f t="shared" si="261"/>
        <v>0.32536526106514241</v>
      </c>
      <c r="T1629" s="21">
        <f>(M1629-M1628)/(H1629-H1628)</f>
        <v>0</v>
      </c>
      <c r="W1629">
        <v>1514</v>
      </c>
      <c r="X1629">
        <v>33.200733999999997</v>
      </c>
      <c r="Y1629">
        <v>1</v>
      </c>
      <c r="Z1629">
        <f t="shared" si="258"/>
        <v>1</v>
      </c>
      <c r="AA1629" s="21">
        <f>IF(X1629&gt;$B$8+$B$9,0,ABS(X1629-O1629)/X1629)</f>
        <v>0</v>
      </c>
      <c r="AB1629">
        <f>IF(OR(Z1626&lt;&gt;Z1632,X1629&gt;$B$8+$B$9),0,((X1632-X1626)/(W1632-W1626)-(O1632-O1626)/(W1632-W1626))^2)</f>
        <v>0</v>
      </c>
    </row>
    <row r="1630" spans="7:28" x14ac:dyDescent="0.2">
      <c r="G1630" s="21"/>
      <c r="H1630" s="21">
        <v>1515</v>
      </c>
      <c r="I1630">
        <f t="shared" si="264"/>
        <v>0.1</v>
      </c>
      <c r="J1630">
        <f t="shared" si="265"/>
        <v>0.32536526106514241</v>
      </c>
      <c r="K1630">
        <f t="shared" si="259"/>
        <v>22.5</v>
      </c>
      <c r="L1630">
        <f>0.5*Z1630*K1630/J1630/$B$7</f>
        <v>34.576524743825068</v>
      </c>
      <c r="M1630">
        <f t="shared" si="262"/>
        <v>1.1228068475325188</v>
      </c>
      <c r="N1630" s="21">
        <f t="shared" si="266"/>
        <v>1.2731130925416043E-2</v>
      </c>
      <c r="O1630" s="21">
        <f t="shared" si="267"/>
        <v>47.007454937217503</v>
      </c>
      <c r="P1630">
        <f t="shared" si="263"/>
        <v>1</v>
      </c>
      <c r="Q1630">
        <f t="shared" si="260"/>
        <v>0.32536526106514241</v>
      </c>
      <c r="R1630">
        <f t="shared" si="261"/>
        <v>0.32536526106514241</v>
      </c>
      <c r="T1630" s="21">
        <f>(M1630-M1629)/(H1630-H1629)</f>
        <v>0</v>
      </c>
      <c r="W1630">
        <v>1515</v>
      </c>
      <c r="X1630">
        <v>33.267253999999994</v>
      </c>
      <c r="Y1630">
        <v>1</v>
      </c>
      <c r="Z1630">
        <f t="shared" si="258"/>
        <v>1</v>
      </c>
      <c r="AA1630" s="21">
        <f>IF(X1630&gt;$B$8+$B$9,0,ABS(X1630-O1630)/X1630)</f>
        <v>0</v>
      </c>
      <c r="AB1630">
        <f>IF(OR(Z1627&lt;&gt;Z1633,X1630&gt;$B$8+$B$9),0,((X1633-X1627)/(W1633-W1627)-(O1633-O1627)/(W1633-W1627))^2)</f>
        <v>0</v>
      </c>
    </row>
    <row r="1631" spans="7:28" x14ac:dyDescent="0.2">
      <c r="G1631" s="21"/>
      <c r="H1631" s="21">
        <v>1516</v>
      </c>
      <c r="I1631">
        <f t="shared" si="264"/>
        <v>0.1</v>
      </c>
      <c r="J1631">
        <f t="shared" si="265"/>
        <v>0.32536526106514241</v>
      </c>
      <c r="K1631">
        <f t="shared" si="259"/>
        <v>22.5</v>
      </c>
      <c r="L1631">
        <f>0.5*Z1631*K1631/J1631/$B$7</f>
        <v>34.576524743825068</v>
      </c>
      <c r="M1631">
        <f t="shared" si="262"/>
        <v>1.1228068475325188</v>
      </c>
      <c r="N1631" s="21">
        <f t="shared" si="266"/>
        <v>1.2412258358539022E-2</v>
      </c>
      <c r="O1631" s="21">
        <f t="shared" si="267"/>
        <v>47.107454937217504</v>
      </c>
      <c r="P1631">
        <f t="shared" si="263"/>
        <v>1</v>
      </c>
      <c r="Q1631">
        <f t="shared" si="260"/>
        <v>0.32536526106514241</v>
      </c>
      <c r="R1631">
        <f t="shared" si="261"/>
        <v>0.32536526106514241</v>
      </c>
      <c r="T1631" s="21">
        <f>(M1631-M1630)/(H1631-H1630)</f>
        <v>0</v>
      </c>
      <c r="W1631">
        <v>1516</v>
      </c>
      <c r="X1631">
        <v>33.324039999999997</v>
      </c>
      <c r="Y1631">
        <v>1</v>
      </c>
      <c r="Z1631">
        <f t="shared" si="258"/>
        <v>1</v>
      </c>
      <c r="AA1631" s="21">
        <f>IF(X1631&gt;$B$8+$B$9,0,ABS(X1631-O1631)/X1631)</f>
        <v>0</v>
      </c>
      <c r="AB1631">
        <f>IF(OR(Z1628&lt;&gt;Z1634,X1631&gt;$B$8+$B$9),0,((X1634-X1628)/(W1634-W1628)-(O1634-O1628)/(W1634-W1628))^2)</f>
        <v>0</v>
      </c>
    </row>
    <row r="1632" spans="7:28" x14ac:dyDescent="0.2">
      <c r="G1632" s="21"/>
      <c r="H1632" s="21">
        <v>1517</v>
      </c>
      <c r="I1632">
        <f t="shared" si="264"/>
        <v>0.1</v>
      </c>
      <c r="J1632">
        <f t="shared" si="265"/>
        <v>0.32536526106514241</v>
      </c>
      <c r="K1632">
        <f t="shared" si="259"/>
        <v>22.5</v>
      </c>
      <c r="L1632">
        <f>0.5*Z1632*K1632/J1632/$B$7</f>
        <v>34.576524743825068</v>
      </c>
      <c r="M1632">
        <f t="shared" si="262"/>
        <v>1.1228068475325188</v>
      </c>
      <c r="N1632" s="21">
        <f t="shared" si="266"/>
        <v>1.2093385791662005E-2</v>
      </c>
      <c r="O1632" s="21">
        <f t="shared" si="267"/>
        <v>47.207454937217506</v>
      </c>
      <c r="P1632">
        <f t="shared" si="263"/>
        <v>1</v>
      </c>
      <c r="Q1632">
        <f t="shared" si="260"/>
        <v>0.32536526106514241</v>
      </c>
      <c r="R1632">
        <f t="shared" si="261"/>
        <v>0.32536526106514241</v>
      </c>
      <c r="T1632" s="21">
        <f>(M1632-M1631)/(H1632-H1631)</f>
        <v>0</v>
      </c>
      <c r="W1632">
        <v>1517</v>
      </c>
      <c r="X1632">
        <v>33.388937999999996</v>
      </c>
      <c r="Y1632">
        <v>1</v>
      </c>
      <c r="Z1632">
        <f t="shared" si="258"/>
        <v>1</v>
      </c>
      <c r="AA1632" s="21">
        <f>IF(X1632&gt;$B$8+$B$9,0,ABS(X1632-O1632)/X1632)</f>
        <v>0</v>
      </c>
      <c r="AB1632">
        <f>IF(OR(Z1629&lt;&gt;Z1635,X1632&gt;$B$8+$B$9),0,((X1635-X1629)/(W1635-W1629)-(O1635-O1629)/(W1635-W1629))^2)</f>
        <v>0</v>
      </c>
    </row>
    <row r="1633" spans="7:28" x14ac:dyDescent="0.2">
      <c r="G1633" s="21"/>
      <c r="H1633" s="21">
        <v>1518</v>
      </c>
      <c r="I1633">
        <f t="shared" si="264"/>
        <v>0.1</v>
      </c>
      <c r="J1633">
        <f t="shared" si="265"/>
        <v>0.32536526106514241</v>
      </c>
      <c r="K1633">
        <f t="shared" si="259"/>
        <v>22.5</v>
      </c>
      <c r="L1633">
        <f>0.5*Z1633*K1633/J1633/$B$7</f>
        <v>34.576524743825068</v>
      </c>
      <c r="M1633">
        <f t="shared" si="262"/>
        <v>1.1228068475325188</v>
      </c>
      <c r="N1633" s="21">
        <f t="shared" si="266"/>
        <v>1.1774513224784986E-2</v>
      </c>
      <c r="O1633" s="21">
        <f t="shared" si="267"/>
        <v>47.307454937217507</v>
      </c>
      <c r="P1633">
        <f t="shared" si="263"/>
        <v>1</v>
      </c>
      <c r="Q1633">
        <f t="shared" si="260"/>
        <v>0.32536526106514241</v>
      </c>
      <c r="R1633">
        <f t="shared" si="261"/>
        <v>0.32536526106514241</v>
      </c>
      <c r="T1633" s="21">
        <f>(M1633-M1632)/(H1633-H1632)</f>
        <v>0</v>
      </c>
      <c r="W1633">
        <v>1518</v>
      </c>
      <c r="X1633">
        <v>33.448969000000005</v>
      </c>
      <c r="Y1633">
        <v>1</v>
      </c>
      <c r="Z1633">
        <f t="shared" si="258"/>
        <v>1</v>
      </c>
      <c r="AA1633" s="21">
        <f>IF(X1633&gt;$B$8+$B$9,0,ABS(X1633-O1633)/X1633)</f>
        <v>0</v>
      </c>
      <c r="AB1633">
        <f>IF(OR(Z1630&lt;&gt;Z1636,X1633&gt;$B$8+$B$9),0,((X1636-X1630)/(W1636-W1630)-(O1636-O1630)/(W1636-W1630))^2)</f>
        <v>0</v>
      </c>
    </row>
    <row r="1634" spans="7:28" x14ac:dyDescent="0.2">
      <c r="G1634" s="21"/>
      <c r="H1634" s="21">
        <v>1519</v>
      </c>
      <c r="I1634">
        <f t="shared" si="264"/>
        <v>0.1</v>
      </c>
      <c r="J1634">
        <f t="shared" si="265"/>
        <v>0.32536526106514241</v>
      </c>
      <c r="K1634">
        <f t="shared" si="259"/>
        <v>22.5</v>
      </c>
      <c r="L1634">
        <f>0.5*Z1634*K1634/J1634/$B$7</f>
        <v>34.576524743825068</v>
      </c>
      <c r="M1634">
        <f t="shared" si="262"/>
        <v>1.1228068475325188</v>
      </c>
      <c r="N1634" s="21">
        <f t="shared" si="266"/>
        <v>1.1455640657907969E-2</v>
      </c>
      <c r="O1634" s="21">
        <f t="shared" si="267"/>
        <v>47.407454937217508</v>
      </c>
      <c r="P1634">
        <f t="shared" si="263"/>
        <v>1</v>
      </c>
      <c r="Q1634">
        <f t="shared" si="260"/>
        <v>0.32536526106514241</v>
      </c>
      <c r="R1634">
        <f t="shared" si="261"/>
        <v>0.32536526106514241</v>
      </c>
      <c r="T1634" s="21">
        <f>(M1634-M1633)/(H1634-H1633)</f>
        <v>0</v>
      </c>
      <c r="W1634">
        <v>1519</v>
      </c>
      <c r="X1634">
        <v>33.523601999999997</v>
      </c>
      <c r="Y1634">
        <v>1</v>
      </c>
      <c r="Z1634">
        <f t="shared" si="258"/>
        <v>1</v>
      </c>
      <c r="AA1634" s="21">
        <f>IF(X1634&gt;$B$8+$B$9,0,ABS(X1634-O1634)/X1634)</f>
        <v>0</v>
      </c>
      <c r="AB1634">
        <f>IF(OR(Z1631&lt;&gt;Z1637,X1634&gt;$B$8+$B$9),0,((X1637-X1631)/(W1637-W1631)-(O1637-O1631)/(W1637-W1631))^2)</f>
        <v>0</v>
      </c>
    </row>
    <row r="1635" spans="7:28" x14ac:dyDescent="0.2">
      <c r="G1635" s="21"/>
      <c r="H1635" s="21">
        <v>1520</v>
      </c>
      <c r="I1635">
        <f t="shared" si="264"/>
        <v>0.1</v>
      </c>
      <c r="J1635">
        <f t="shared" si="265"/>
        <v>0.32536526106514241</v>
      </c>
      <c r="K1635">
        <f t="shared" si="259"/>
        <v>22.5</v>
      </c>
      <c r="L1635">
        <f>0.5*Z1635*K1635/J1635/$B$7</f>
        <v>34.576524743825068</v>
      </c>
      <c r="M1635">
        <f t="shared" si="262"/>
        <v>1.1228068475325188</v>
      </c>
      <c r="N1635" s="21">
        <f t="shared" si="266"/>
        <v>1.1136768091030948E-2</v>
      </c>
      <c r="O1635" s="21">
        <f t="shared" si="267"/>
        <v>47.50745493721751</v>
      </c>
      <c r="P1635">
        <f t="shared" si="263"/>
        <v>1</v>
      </c>
      <c r="Q1635">
        <f t="shared" si="260"/>
        <v>0.32536526106514241</v>
      </c>
      <c r="R1635">
        <f t="shared" si="261"/>
        <v>0.32536526106514241</v>
      </c>
      <c r="T1635" s="21">
        <f>(M1635-M1634)/(H1635-H1634)</f>
        <v>0</v>
      </c>
      <c r="W1635">
        <v>1520</v>
      </c>
      <c r="X1635">
        <v>33.586877999999999</v>
      </c>
      <c r="Y1635">
        <v>1</v>
      </c>
      <c r="Z1635">
        <f t="shared" si="258"/>
        <v>1</v>
      </c>
      <c r="AA1635" s="21">
        <f>IF(X1635&gt;$B$8+$B$9,0,ABS(X1635-O1635)/X1635)</f>
        <v>0</v>
      </c>
      <c r="AB1635">
        <f>IF(OR(Z1632&lt;&gt;Z1638,X1635&gt;$B$8+$B$9),0,((X1638-X1632)/(W1638-W1632)-(O1638-O1632)/(W1638-W1632))^2)</f>
        <v>0</v>
      </c>
    </row>
    <row r="1636" spans="7:28" x14ac:dyDescent="0.2">
      <c r="G1636" s="21"/>
      <c r="H1636" s="21">
        <v>1521</v>
      </c>
      <c r="I1636">
        <f t="shared" si="264"/>
        <v>0.1</v>
      </c>
      <c r="J1636">
        <f t="shared" si="265"/>
        <v>0.32536526106514241</v>
      </c>
      <c r="K1636">
        <f t="shared" si="259"/>
        <v>22.5</v>
      </c>
      <c r="L1636">
        <f>0.5*Z1636*K1636/J1636/$B$7</f>
        <v>51.864787115737606</v>
      </c>
      <c r="M1636">
        <f t="shared" si="262"/>
        <v>1.1228068475325188</v>
      </c>
      <c r="N1636" s="21">
        <f t="shared" si="266"/>
        <v>1.0817895524153931E-2</v>
      </c>
      <c r="O1636" s="21">
        <f t="shared" si="267"/>
        <v>47.607454937217511</v>
      </c>
      <c r="P1636">
        <f t="shared" si="263"/>
        <v>1</v>
      </c>
      <c r="Q1636">
        <f t="shared" si="260"/>
        <v>0.32536526106514241</v>
      </c>
      <c r="R1636">
        <f t="shared" si="261"/>
        <v>0.32536526106514241</v>
      </c>
      <c r="T1636" s="21">
        <f>(M1636-M1635)/(H1636-H1635)</f>
        <v>0</v>
      </c>
      <c r="W1636">
        <v>1521</v>
      </c>
      <c r="X1636">
        <v>33.770214999999993</v>
      </c>
      <c r="Y1636">
        <v>1.5</v>
      </c>
      <c r="Z1636">
        <f t="shared" si="258"/>
        <v>1.5</v>
      </c>
      <c r="AA1636" s="21">
        <f>IF(X1636&gt;$B$8+$B$9,0,ABS(X1636-O1636)/X1636)</f>
        <v>0</v>
      </c>
      <c r="AB1636">
        <f>IF(OR(Z1633&lt;&gt;Z1639,X1636&gt;$B$8+$B$9),0,((X1639-X1633)/(W1639-W1633)-(O1639-O1633)/(W1639-W1633))^2)</f>
        <v>0</v>
      </c>
    </row>
    <row r="1637" spans="7:28" x14ac:dyDescent="0.2">
      <c r="G1637" s="21"/>
      <c r="H1637" s="21">
        <v>1522</v>
      </c>
      <c r="I1637">
        <f t="shared" si="264"/>
        <v>0.1</v>
      </c>
      <c r="J1637">
        <f t="shared" si="265"/>
        <v>0.32536526106514241</v>
      </c>
      <c r="K1637">
        <f t="shared" si="259"/>
        <v>22.5</v>
      </c>
      <c r="L1637">
        <f>0.5*Z1637*K1637/J1637/$B$7</f>
        <v>51.864787115737606</v>
      </c>
      <c r="M1637">
        <f t="shared" si="262"/>
        <v>1.1228068475325188</v>
      </c>
      <c r="N1637" s="21">
        <f t="shared" si="266"/>
        <v>1.0499022957276912E-2</v>
      </c>
      <c r="O1637" s="21">
        <f t="shared" si="267"/>
        <v>47.707454937217513</v>
      </c>
      <c r="P1637">
        <f t="shared" si="263"/>
        <v>1</v>
      </c>
      <c r="Q1637">
        <f t="shared" si="260"/>
        <v>0.32536526106514241</v>
      </c>
      <c r="R1637">
        <f t="shared" si="261"/>
        <v>0.32536526106514241</v>
      </c>
      <c r="T1637" s="21">
        <f>(M1637-M1636)/(H1637-H1636)</f>
        <v>0</v>
      </c>
      <c r="W1637">
        <v>1522</v>
      </c>
      <c r="X1637">
        <v>33.981133999999997</v>
      </c>
      <c r="Y1637">
        <v>1.5</v>
      </c>
      <c r="Z1637">
        <f t="shared" si="258"/>
        <v>1.5</v>
      </c>
      <c r="AA1637" s="21">
        <f>IF(X1637&gt;$B$8+$B$9,0,ABS(X1637-O1637)/X1637)</f>
        <v>0</v>
      </c>
      <c r="AB1637">
        <f>IF(OR(Z1634&lt;&gt;Z1640,X1637&gt;$B$8+$B$9),0,((X1640-X1634)/(W1640-W1634)-(O1640-O1634)/(W1640-W1634))^2)</f>
        <v>0</v>
      </c>
    </row>
    <row r="1638" spans="7:28" x14ac:dyDescent="0.2">
      <c r="G1638" s="21"/>
      <c r="H1638" s="21">
        <v>1523</v>
      </c>
      <c r="I1638">
        <f t="shared" si="264"/>
        <v>0.1</v>
      </c>
      <c r="J1638">
        <f t="shared" si="265"/>
        <v>0.32536526106514241</v>
      </c>
      <c r="K1638">
        <f t="shared" si="259"/>
        <v>22.5</v>
      </c>
      <c r="L1638">
        <f>0.5*Z1638*K1638/J1638/$B$7</f>
        <v>51.864787115737606</v>
      </c>
      <c r="M1638">
        <f t="shared" si="262"/>
        <v>1.1228068475325188</v>
      </c>
      <c r="N1638" s="21">
        <f t="shared" si="266"/>
        <v>1.0180150390399894E-2</v>
      </c>
      <c r="O1638" s="21">
        <f t="shared" si="267"/>
        <v>47.807454937217514</v>
      </c>
      <c r="P1638">
        <f t="shared" si="263"/>
        <v>1</v>
      </c>
      <c r="Q1638">
        <f t="shared" si="260"/>
        <v>0.32536526106514241</v>
      </c>
      <c r="R1638">
        <f t="shared" si="261"/>
        <v>0.32536526106514241</v>
      </c>
      <c r="T1638" s="21">
        <f>(M1638-M1637)/(H1638-H1637)</f>
        <v>0</v>
      </c>
      <c r="W1638">
        <v>1523</v>
      </c>
      <c r="X1638">
        <v>34.240726999999993</v>
      </c>
      <c r="Y1638">
        <v>1.5</v>
      </c>
      <c r="Z1638">
        <f t="shared" si="258"/>
        <v>1.5</v>
      </c>
      <c r="AA1638" s="21">
        <f>IF(X1638&gt;$B$8+$B$9,0,ABS(X1638-O1638)/X1638)</f>
        <v>0</v>
      </c>
      <c r="AB1638">
        <f>IF(OR(Z1635&lt;&gt;Z1641,X1638&gt;$B$8+$B$9),0,((X1641-X1635)/(W1641-W1635)-(O1641-O1635)/(W1641-W1635))^2)</f>
        <v>0</v>
      </c>
    </row>
    <row r="1639" spans="7:28" x14ac:dyDescent="0.2">
      <c r="G1639" s="21"/>
      <c r="H1639" s="21">
        <v>1524</v>
      </c>
      <c r="I1639">
        <f t="shared" si="264"/>
        <v>0.1</v>
      </c>
      <c r="J1639">
        <f t="shared" si="265"/>
        <v>0.32536526106514241</v>
      </c>
      <c r="K1639">
        <f t="shared" si="259"/>
        <v>22.5</v>
      </c>
      <c r="L1639">
        <f>0.5*Z1639*K1639/J1639/$B$7</f>
        <v>51.864787115737606</v>
      </c>
      <c r="M1639">
        <f t="shared" si="262"/>
        <v>1.1228068475325188</v>
      </c>
      <c r="N1639" s="21">
        <f t="shared" si="266"/>
        <v>9.8612778235228748E-3</v>
      </c>
      <c r="O1639" s="21">
        <f t="shared" si="267"/>
        <v>47.907454937217516</v>
      </c>
      <c r="P1639">
        <f t="shared" si="263"/>
        <v>1</v>
      </c>
      <c r="Q1639">
        <f t="shared" si="260"/>
        <v>0.32536526106514241</v>
      </c>
      <c r="R1639">
        <f t="shared" si="261"/>
        <v>0.32536526106514241</v>
      </c>
      <c r="T1639" s="21">
        <f>(M1639-M1638)/(H1639-H1638)</f>
        <v>0</v>
      </c>
      <c r="W1639">
        <v>1524</v>
      </c>
      <c r="X1639">
        <v>34.454891000000003</v>
      </c>
      <c r="Y1639">
        <v>1.5</v>
      </c>
      <c r="Z1639">
        <f t="shared" si="258"/>
        <v>1.5</v>
      </c>
      <c r="AA1639" s="21">
        <f>IF(X1639&gt;$B$8+$B$9,0,ABS(X1639-O1639)/X1639)</f>
        <v>0</v>
      </c>
      <c r="AB1639">
        <f>IF(OR(Z1636&lt;&gt;Z1642,X1639&gt;$B$8+$B$9),0,((X1642-X1636)/(W1642-W1636)-(O1642-O1636)/(W1642-W1636))^2)</f>
        <v>0</v>
      </c>
    </row>
    <row r="1640" spans="7:28" x14ac:dyDescent="0.2">
      <c r="G1640" s="21"/>
      <c r="H1640" s="21">
        <v>1525</v>
      </c>
      <c r="I1640">
        <f t="shared" si="264"/>
        <v>0.1</v>
      </c>
      <c r="J1640">
        <f t="shared" si="265"/>
        <v>0.32536526106514241</v>
      </c>
      <c r="K1640">
        <f t="shared" si="259"/>
        <v>22.5</v>
      </c>
      <c r="L1640">
        <f>0.5*Z1640*K1640/J1640/$B$7</f>
        <v>51.864787115737606</v>
      </c>
      <c r="M1640">
        <f t="shared" si="262"/>
        <v>1.1228068475325188</v>
      </c>
      <c r="N1640" s="21">
        <f t="shared" si="266"/>
        <v>9.5424052566458559E-3</v>
      </c>
      <c r="O1640" s="21">
        <f t="shared" si="267"/>
        <v>48.007454937217517</v>
      </c>
      <c r="P1640">
        <f t="shared" si="263"/>
        <v>1</v>
      </c>
      <c r="Q1640">
        <f t="shared" si="260"/>
        <v>0.32536526106514241</v>
      </c>
      <c r="R1640">
        <f t="shared" si="261"/>
        <v>0.32536526106514241</v>
      </c>
      <c r="T1640" s="21">
        <f>(M1640-M1639)/(H1640-H1639)</f>
        <v>0</v>
      </c>
      <c r="W1640">
        <v>1525</v>
      </c>
      <c r="X1640">
        <v>34.742064999999997</v>
      </c>
      <c r="Y1640">
        <v>1.5</v>
      </c>
      <c r="Z1640">
        <f t="shared" si="258"/>
        <v>1.5</v>
      </c>
      <c r="AA1640" s="21">
        <f>IF(X1640&gt;$B$8+$B$9,0,ABS(X1640-O1640)/X1640)</f>
        <v>0</v>
      </c>
      <c r="AB1640">
        <f>IF(OR(Z1637&lt;&gt;Z1643,X1640&gt;$B$8+$B$9),0,((X1643-X1637)/(W1643-W1637)-(O1643-O1637)/(W1643-W1637))^2)</f>
        <v>0</v>
      </c>
    </row>
    <row r="1641" spans="7:28" x14ac:dyDescent="0.2">
      <c r="G1641" s="21"/>
      <c r="H1641" s="21">
        <v>1526</v>
      </c>
      <c r="I1641">
        <f t="shared" si="264"/>
        <v>0.1</v>
      </c>
      <c r="J1641">
        <f t="shared" si="265"/>
        <v>0.32536526106514241</v>
      </c>
      <c r="K1641">
        <f t="shared" si="259"/>
        <v>22.5</v>
      </c>
      <c r="L1641">
        <f>0.5*Z1641*K1641/J1641/$B$7</f>
        <v>51.864787115737606</v>
      </c>
      <c r="M1641">
        <f t="shared" si="262"/>
        <v>1.1228068475325188</v>
      </c>
      <c r="N1641" s="21">
        <f t="shared" si="266"/>
        <v>9.2235326897688371E-3</v>
      </c>
      <c r="O1641" s="21">
        <f t="shared" si="267"/>
        <v>48.107454937217518</v>
      </c>
      <c r="P1641">
        <f t="shared" si="263"/>
        <v>1</v>
      </c>
      <c r="Q1641">
        <f t="shared" si="260"/>
        <v>0.32536526106514241</v>
      </c>
      <c r="R1641">
        <f t="shared" si="261"/>
        <v>0.32536526106514241</v>
      </c>
      <c r="T1641" s="21">
        <f>(M1641-M1640)/(H1641-H1640)</f>
        <v>0</v>
      </c>
      <c r="W1641">
        <v>1526</v>
      </c>
      <c r="X1641">
        <v>35.030861999999999</v>
      </c>
      <c r="Y1641">
        <v>1.5</v>
      </c>
      <c r="Z1641">
        <f t="shared" si="258"/>
        <v>1.5</v>
      </c>
      <c r="AA1641" s="21">
        <f>IF(X1641&gt;$B$8+$B$9,0,ABS(X1641-O1641)/X1641)</f>
        <v>0</v>
      </c>
      <c r="AB1641">
        <f>IF(OR(Z1638&lt;&gt;Z1644,X1641&gt;$B$8+$B$9),0,((X1644-X1638)/(W1644-W1638)-(O1644-O1638)/(W1644-W1638))^2)</f>
        <v>0</v>
      </c>
    </row>
    <row r="1642" spans="7:28" x14ac:dyDescent="0.2">
      <c r="G1642" s="21"/>
      <c r="H1642" s="21">
        <v>1527</v>
      </c>
      <c r="I1642">
        <f t="shared" si="264"/>
        <v>0.1</v>
      </c>
      <c r="J1642">
        <f t="shared" si="265"/>
        <v>0.32536526106514241</v>
      </c>
      <c r="K1642">
        <f t="shared" si="259"/>
        <v>22.5</v>
      </c>
      <c r="L1642">
        <f>0.5*Z1642*K1642/J1642/$B$7</f>
        <v>51.864787115737606</v>
      </c>
      <c r="M1642">
        <f t="shared" si="262"/>
        <v>1.1228068475325188</v>
      </c>
      <c r="N1642" s="21">
        <f t="shared" si="266"/>
        <v>8.9046601228918183E-3</v>
      </c>
      <c r="O1642" s="21">
        <f t="shared" si="267"/>
        <v>48.20745493721752</v>
      </c>
      <c r="P1642">
        <f t="shared" si="263"/>
        <v>1</v>
      </c>
      <c r="Q1642">
        <f t="shared" si="260"/>
        <v>0.32536526106514241</v>
      </c>
      <c r="R1642">
        <f t="shared" si="261"/>
        <v>0.32536526106514241</v>
      </c>
      <c r="T1642" s="21">
        <f>(M1642-M1641)/(H1642-H1641)</f>
        <v>0</v>
      </c>
      <c r="W1642">
        <v>1527</v>
      </c>
      <c r="X1642">
        <v>35.371577000000002</v>
      </c>
      <c r="Y1642">
        <v>1.5</v>
      </c>
      <c r="Z1642">
        <f t="shared" si="258"/>
        <v>1.5</v>
      </c>
      <c r="AA1642" s="21">
        <f>IF(X1642&gt;$B$8+$B$9,0,ABS(X1642-O1642)/X1642)</f>
        <v>0</v>
      </c>
      <c r="AB1642">
        <f>IF(OR(Z1639&lt;&gt;Z1645,X1642&gt;$B$8+$B$9),0,((X1645-X1639)/(W1645-W1639)-(O1645-O1639)/(W1645-W1639))^2)</f>
        <v>0</v>
      </c>
    </row>
    <row r="1643" spans="7:28" x14ac:dyDescent="0.2">
      <c r="G1643" s="21"/>
      <c r="H1643" s="21">
        <v>1528</v>
      </c>
      <c r="I1643">
        <f t="shared" si="264"/>
        <v>0.1</v>
      </c>
      <c r="J1643">
        <f t="shared" si="265"/>
        <v>0.32536526106514241</v>
      </c>
      <c r="K1643">
        <f t="shared" si="259"/>
        <v>22.5</v>
      </c>
      <c r="L1643">
        <f>0.5*Z1643*K1643/J1643/$B$7</f>
        <v>51.864787115737606</v>
      </c>
      <c r="M1643">
        <f t="shared" si="262"/>
        <v>1.1228068475325188</v>
      </c>
      <c r="N1643" s="21">
        <f t="shared" si="266"/>
        <v>8.5857875560147994E-3</v>
      </c>
      <c r="O1643" s="21">
        <f t="shared" si="267"/>
        <v>48.307454937217521</v>
      </c>
      <c r="P1643">
        <f t="shared" si="263"/>
        <v>1</v>
      </c>
      <c r="Q1643">
        <f t="shared" si="260"/>
        <v>0.32536526106514241</v>
      </c>
      <c r="R1643">
        <f t="shared" si="261"/>
        <v>0.32536526106514241</v>
      </c>
      <c r="T1643" s="21">
        <f>(M1643-M1642)/(H1643-H1642)</f>
        <v>0</v>
      </c>
      <c r="W1643">
        <v>1528</v>
      </c>
      <c r="X1643">
        <v>35.746363000000002</v>
      </c>
      <c r="Y1643">
        <v>1.5</v>
      </c>
      <c r="Z1643">
        <f t="shared" si="258"/>
        <v>1.5</v>
      </c>
      <c r="AA1643" s="21">
        <f>IF(X1643&gt;$B$8+$B$9,0,ABS(X1643-O1643)/X1643)</f>
        <v>0</v>
      </c>
      <c r="AB1643">
        <f>IF(OR(Z1640&lt;&gt;Z1646,X1643&gt;$B$8+$B$9),0,((X1646-X1640)/(W1646-W1640)-(O1646-O1640)/(W1646-W1640))^2)</f>
        <v>0</v>
      </c>
    </row>
    <row r="1644" spans="7:28" x14ac:dyDescent="0.2">
      <c r="G1644" s="21"/>
      <c r="H1644" s="21">
        <v>1529</v>
      </c>
      <c r="I1644">
        <f t="shared" si="264"/>
        <v>0.1</v>
      </c>
      <c r="J1644">
        <f t="shared" si="265"/>
        <v>0.32536526106514241</v>
      </c>
      <c r="K1644">
        <f t="shared" si="259"/>
        <v>22.5</v>
      </c>
      <c r="L1644">
        <f>0.5*Z1644*K1644/J1644/$B$7</f>
        <v>51.864787115737606</v>
      </c>
      <c r="M1644">
        <f t="shared" si="262"/>
        <v>1.1228068475325188</v>
      </c>
      <c r="N1644" s="21">
        <f t="shared" si="266"/>
        <v>8.2669149891377823E-3</v>
      </c>
      <c r="O1644" s="21">
        <f t="shared" si="267"/>
        <v>48.407454937217523</v>
      </c>
      <c r="P1644">
        <f t="shared" si="263"/>
        <v>1</v>
      </c>
      <c r="Q1644">
        <f t="shared" si="260"/>
        <v>0.32536526106514241</v>
      </c>
      <c r="R1644">
        <f t="shared" si="261"/>
        <v>0.32536526106514241</v>
      </c>
      <c r="T1644" s="21">
        <f>(M1644-M1643)/(H1644-H1643)</f>
        <v>0</v>
      </c>
      <c r="W1644">
        <v>1529</v>
      </c>
      <c r="X1644">
        <v>36.184425000000005</v>
      </c>
      <c r="Y1644">
        <v>1.5</v>
      </c>
      <c r="Z1644">
        <f t="shared" si="258"/>
        <v>1.5</v>
      </c>
      <c r="AA1644" s="21">
        <f>IF(X1644&gt;$B$8+$B$9,0,ABS(X1644-O1644)/X1644)</f>
        <v>0</v>
      </c>
      <c r="AB1644">
        <f>IF(OR(Z1641&lt;&gt;Z1647,X1644&gt;$B$8+$B$9),0,((X1647-X1641)/(W1647-W1641)-(O1647-O1641)/(W1647-W1641))^2)</f>
        <v>0</v>
      </c>
    </row>
    <row r="1645" spans="7:28" x14ac:dyDescent="0.2">
      <c r="G1645" s="21"/>
      <c r="H1645" s="21">
        <v>1530</v>
      </c>
      <c r="I1645">
        <f t="shared" si="264"/>
        <v>0.1</v>
      </c>
      <c r="J1645">
        <f t="shared" si="265"/>
        <v>0.32536526106514241</v>
      </c>
      <c r="K1645">
        <f t="shared" si="259"/>
        <v>22.5</v>
      </c>
      <c r="L1645">
        <f>0.5*Z1645*K1645/J1645/$B$7</f>
        <v>51.864787115737606</v>
      </c>
      <c r="M1645">
        <f t="shared" si="262"/>
        <v>1.1228068475325188</v>
      </c>
      <c r="N1645" s="21">
        <f t="shared" si="266"/>
        <v>7.9480424222607617E-3</v>
      </c>
      <c r="O1645" s="21">
        <f t="shared" si="267"/>
        <v>48.507454937217524</v>
      </c>
      <c r="P1645">
        <f t="shared" si="263"/>
        <v>1</v>
      </c>
      <c r="Q1645">
        <f t="shared" si="260"/>
        <v>0.32536526106514241</v>
      </c>
      <c r="R1645">
        <f t="shared" si="261"/>
        <v>0.32536526106514241</v>
      </c>
      <c r="T1645" s="21">
        <f>(M1645-M1644)/(H1645-H1644)</f>
        <v>0</v>
      </c>
      <c r="W1645">
        <v>1530</v>
      </c>
      <c r="X1645">
        <v>36.726324000000005</v>
      </c>
      <c r="Y1645">
        <v>1.5</v>
      </c>
      <c r="Z1645">
        <f t="shared" si="258"/>
        <v>1.5</v>
      </c>
      <c r="AA1645" s="21">
        <f>IF(X1645&gt;$B$8+$B$9,0,ABS(X1645-O1645)/X1645)</f>
        <v>0</v>
      </c>
      <c r="AB1645">
        <f>IF(OR(Z1642&lt;&gt;Z1648,X1645&gt;$B$8+$B$9),0,((X1648-X1642)/(W1648-W1642)-(O1648-O1642)/(W1648-W1642))^2)</f>
        <v>0</v>
      </c>
    </row>
    <row r="1646" spans="7:28" x14ac:dyDescent="0.2">
      <c r="G1646" s="21"/>
      <c r="H1646" s="21">
        <v>1531</v>
      </c>
      <c r="I1646">
        <f t="shared" si="264"/>
        <v>0.1</v>
      </c>
      <c r="J1646">
        <f t="shared" si="265"/>
        <v>0.32536526106514241</v>
      </c>
      <c r="K1646">
        <f t="shared" si="259"/>
        <v>22.5</v>
      </c>
      <c r="L1646">
        <f>0.5*Z1646*K1646/J1646/$B$7</f>
        <v>51.864787115737606</v>
      </c>
      <c r="M1646">
        <f t="shared" si="262"/>
        <v>1.1228068475325188</v>
      </c>
      <c r="N1646" s="21">
        <f t="shared" si="266"/>
        <v>7.6291698553837446E-3</v>
      </c>
      <c r="O1646" s="21">
        <f t="shared" si="267"/>
        <v>48.607454937217526</v>
      </c>
      <c r="P1646">
        <f t="shared" si="263"/>
        <v>1</v>
      </c>
      <c r="Q1646">
        <f t="shared" si="260"/>
        <v>0.32536526106514241</v>
      </c>
      <c r="R1646">
        <f t="shared" si="261"/>
        <v>0.32536526106514241</v>
      </c>
      <c r="T1646" s="21">
        <f>(M1646-M1645)/(H1646-H1645)</f>
        <v>0</v>
      </c>
      <c r="W1646">
        <v>1531</v>
      </c>
      <c r="X1646">
        <v>37.428845999999993</v>
      </c>
      <c r="Y1646">
        <v>1.5</v>
      </c>
      <c r="Z1646">
        <f t="shared" si="258"/>
        <v>1.5</v>
      </c>
      <c r="AA1646" s="21">
        <f>IF(X1646&gt;$B$8+$B$9,0,ABS(X1646-O1646)/X1646)</f>
        <v>0</v>
      </c>
      <c r="AB1646">
        <f>IF(OR(Z1643&lt;&gt;Z1649,X1646&gt;$B$8+$B$9),0,((X1649-X1643)/(W1649-W1643)-(O1649-O1643)/(W1649-W1643))^2)</f>
        <v>0</v>
      </c>
    </row>
    <row r="1647" spans="7:28" x14ac:dyDescent="0.2">
      <c r="G1647" s="21"/>
      <c r="H1647" s="21">
        <v>1532</v>
      </c>
      <c r="I1647">
        <f t="shared" si="264"/>
        <v>0.1</v>
      </c>
      <c r="J1647">
        <f t="shared" si="265"/>
        <v>0.32536526106514241</v>
      </c>
      <c r="K1647">
        <f t="shared" si="259"/>
        <v>22.5</v>
      </c>
      <c r="L1647">
        <f>0.5*Z1647*K1647/J1647/$B$7</f>
        <v>51.864787115737606</v>
      </c>
      <c r="M1647">
        <f t="shared" si="262"/>
        <v>1.1228068475325188</v>
      </c>
      <c r="N1647" s="21">
        <f t="shared" si="266"/>
        <v>7.3102972885067249E-3</v>
      </c>
      <c r="O1647" s="21">
        <f t="shared" si="267"/>
        <v>48.707454937217527</v>
      </c>
      <c r="P1647">
        <f t="shared" si="263"/>
        <v>1</v>
      </c>
      <c r="Q1647">
        <f t="shared" si="260"/>
        <v>0.32536526106514241</v>
      </c>
      <c r="R1647">
        <f t="shared" si="261"/>
        <v>0.32536526106514241</v>
      </c>
      <c r="T1647" s="21">
        <f>(M1647-M1646)/(H1647-H1646)</f>
        <v>0</v>
      </c>
      <c r="W1647">
        <v>1532</v>
      </c>
      <c r="X1647">
        <v>45.430755000000005</v>
      </c>
      <c r="Y1647">
        <v>1.5</v>
      </c>
      <c r="Z1647">
        <f t="shared" si="258"/>
        <v>1.5</v>
      </c>
      <c r="AA1647" s="21">
        <f>IF(X1647&gt;$B$8+$B$9,0,ABS(X1647-O1647)/X1647)</f>
        <v>0</v>
      </c>
      <c r="AB1647">
        <f>IF(OR(Z1644&lt;&gt;Z1650,X1647&gt;$B$8+$B$9),0,((X1650-X1644)/(W1650-W1644)-(O1650-O1644)/(W1650-W1644))^2)</f>
        <v>0</v>
      </c>
    </row>
    <row r="1648" spans="7:28" x14ac:dyDescent="0.2">
      <c r="G1648" s="21"/>
      <c r="H1648" s="21"/>
      <c r="N1648" s="21"/>
      <c r="O1648" s="21"/>
      <c r="T1648" s="21"/>
      <c r="AA1648" s="21"/>
    </row>
    <row r="1649" spans="7:27" x14ac:dyDescent="0.2">
      <c r="G1649" s="21"/>
      <c r="H1649" s="21"/>
      <c r="N1649" s="21"/>
      <c r="O1649" s="21"/>
      <c r="T1649" s="21"/>
      <c r="AA1649" s="21"/>
    </row>
    <row r="1650" spans="7:27" x14ac:dyDescent="0.2">
      <c r="G1650" s="21"/>
      <c r="H1650" s="21"/>
      <c r="N1650" s="21"/>
      <c r="O1650" s="21"/>
      <c r="T1650" s="21"/>
      <c r="AA1650" s="21"/>
    </row>
    <row r="1651" spans="7:27" x14ac:dyDescent="0.2">
      <c r="G1651" s="21"/>
      <c r="H1651" s="21"/>
      <c r="N1651" s="21"/>
      <c r="O1651" s="21"/>
      <c r="T1651" s="21"/>
      <c r="AA1651" s="21"/>
    </row>
    <row r="1652" spans="7:27" x14ac:dyDescent="0.2">
      <c r="G1652" s="21"/>
      <c r="H1652" s="21"/>
      <c r="N1652" s="21"/>
      <c r="O1652" s="21"/>
      <c r="T1652" s="21"/>
      <c r="AA1652" s="21"/>
    </row>
    <row r="1653" spans="7:27" x14ac:dyDescent="0.2">
      <c r="G1653" s="21"/>
      <c r="H1653" s="21"/>
      <c r="N1653" s="21"/>
      <c r="O1653" s="21"/>
      <c r="T1653" s="21"/>
      <c r="AA1653" s="21"/>
    </row>
    <row r="1654" spans="7:27" x14ac:dyDescent="0.2">
      <c r="G1654" s="21"/>
      <c r="H1654" s="21"/>
      <c r="N1654" s="21"/>
      <c r="O1654" s="21"/>
      <c r="T1654" s="21"/>
      <c r="AA1654" s="21"/>
    </row>
    <row r="1655" spans="7:27" x14ac:dyDescent="0.2">
      <c r="G1655" s="21"/>
      <c r="H1655" s="21"/>
      <c r="N1655" s="21"/>
      <c r="O1655" s="21"/>
      <c r="T1655" s="21"/>
      <c r="AA1655" s="21"/>
    </row>
    <row r="1656" spans="7:27" x14ac:dyDescent="0.2">
      <c r="G1656" s="21"/>
      <c r="H1656" s="21"/>
      <c r="N1656" s="21"/>
      <c r="O1656" s="21"/>
      <c r="T1656" s="21"/>
      <c r="AA1656" s="21"/>
    </row>
    <row r="1657" spans="7:27" x14ac:dyDescent="0.2">
      <c r="G1657" s="21"/>
      <c r="H1657" s="21"/>
      <c r="N1657" s="21"/>
      <c r="O1657" s="21"/>
      <c r="T1657" s="21"/>
      <c r="AA1657" s="21"/>
    </row>
    <row r="1658" spans="7:27" x14ac:dyDescent="0.2">
      <c r="G1658" s="21"/>
      <c r="H1658" s="21"/>
      <c r="N1658" s="21"/>
      <c r="O1658" s="21"/>
      <c r="T1658" s="21"/>
      <c r="AA1658" s="21"/>
    </row>
    <row r="1659" spans="7:27" x14ac:dyDescent="0.2">
      <c r="G1659" s="21"/>
      <c r="H1659" s="21"/>
      <c r="N1659" s="21"/>
      <c r="O1659" s="21"/>
      <c r="T1659" s="21"/>
      <c r="AA1659" s="21"/>
    </row>
    <row r="1660" spans="7:27" x14ac:dyDescent="0.2">
      <c r="G1660" s="21"/>
      <c r="H1660" s="21"/>
      <c r="N1660" s="21"/>
      <c r="O1660" s="21"/>
      <c r="T1660" s="21"/>
      <c r="AA1660" s="21"/>
    </row>
    <row r="1661" spans="7:27" x14ac:dyDescent="0.2">
      <c r="G1661" s="21"/>
      <c r="H1661" s="21"/>
      <c r="N1661" s="21"/>
      <c r="O1661" s="21"/>
      <c r="T1661" s="21"/>
      <c r="AA1661" s="21"/>
    </row>
    <row r="1662" spans="7:27" x14ac:dyDescent="0.2">
      <c r="G1662" s="21"/>
      <c r="H1662" s="21"/>
      <c r="N1662" s="21"/>
      <c r="O1662" s="21"/>
      <c r="T1662" s="21"/>
      <c r="AA1662" s="21"/>
    </row>
    <row r="1663" spans="7:27" x14ac:dyDescent="0.2">
      <c r="G1663" s="21"/>
      <c r="H1663" s="21"/>
      <c r="N1663" s="21"/>
      <c r="O1663" s="21"/>
      <c r="T1663" s="21"/>
      <c r="AA1663" s="21"/>
    </row>
    <row r="1664" spans="7:27" x14ac:dyDescent="0.2">
      <c r="G1664" s="21"/>
      <c r="H1664" s="21"/>
      <c r="N1664" s="21"/>
      <c r="O1664" s="21"/>
      <c r="T1664" s="21"/>
      <c r="AA1664" s="21"/>
    </row>
    <row r="1665" spans="7:27" x14ac:dyDescent="0.2">
      <c r="G1665" s="21"/>
      <c r="H1665" s="21"/>
      <c r="N1665" s="21"/>
      <c r="O1665" s="21"/>
      <c r="T1665" s="21"/>
      <c r="AA1665" s="21"/>
    </row>
    <row r="1666" spans="7:27" x14ac:dyDescent="0.2">
      <c r="G1666" s="21"/>
      <c r="H1666" s="21"/>
      <c r="N1666" s="21"/>
      <c r="O1666" s="21"/>
      <c r="T1666" s="21"/>
      <c r="AA1666" s="21"/>
    </row>
    <row r="1667" spans="7:27" x14ac:dyDescent="0.2">
      <c r="G1667" s="21"/>
      <c r="H1667" s="21"/>
      <c r="N1667" s="21"/>
      <c r="O1667" s="21"/>
      <c r="T1667" s="21"/>
      <c r="AA1667" s="21"/>
    </row>
    <row r="1668" spans="7:27" x14ac:dyDescent="0.2">
      <c r="G1668" s="21"/>
      <c r="H1668" s="21"/>
      <c r="N1668" s="21"/>
      <c r="O1668" s="21"/>
      <c r="T1668" s="21"/>
      <c r="AA1668" s="21"/>
    </row>
    <row r="1669" spans="7:27" x14ac:dyDescent="0.2">
      <c r="G1669" s="21"/>
      <c r="H1669" s="21"/>
      <c r="N1669" s="21"/>
      <c r="O1669" s="21"/>
      <c r="T1669" s="21"/>
      <c r="AA1669" s="21"/>
    </row>
    <row r="1670" spans="7:27" x14ac:dyDescent="0.2">
      <c r="G1670" s="21"/>
      <c r="H1670" s="21"/>
      <c r="N1670" s="21"/>
      <c r="O1670" s="21"/>
      <c r="T1670" s="21"/>
      <c r="AA1670" s="21"/>
    </row>
    <row r="1671" spans="7:27" x14ac:dyDescent="0.2">
      <c r="G1671" s="21"/>
      <c r="H1671" s="21"/>
      <c r="N1671" s="21"/>
      <c r="O1671" s="21"/>
      <c r="T1671" s="21"/>
      <c r="AA1671" s="21"/>
    </row>
    <row r="1672" spans="7:27" x14ac:dyDescent="0.2">
      <c r="G1672" s="21"/>
      <c r="H1672" s="21"/>
      <c r="N1672" s="21"/>
      <c r="O1672" s="21"/>
      <c r="T1672" s="21"/>
      <c r="AA1672" s="21"/>
    </row>
    <row r="1673" spans="7:27" x14ac:dyDescent="0.2">
      <c r="G1673" s="21"/>
      <c r="H1673" s="21"/>
      <c r="N1673" s="21"/>
      <c r="O1673" s="21"/>
      <c r="T1673" s="21"/>
      <c r="AA1673" s="21"/>
    </row>
    <row r="1674" spans="7:27" x14ac:dyDescent="0.2">
      <c r="G1674" s="21"/>
      <c r="H1674" s="21"/>
      <c r="N1674" s="21"/>
      <c r="O1674" s="21"/>
      <c r="T1674" s="21"/>
      <c r="AA1674" s="21"/>
    </row>
    <row r="1675" spans="7:27" x14ac:dyDescent="0.2">
      <c r="G1675" s="21"/>
      <c r="H1675" s="21"/>
      <c r="N1675" s="21"/>
      <c r="O1675" s="21"/>
      <c r="T1675" s="21"/>
      <c r="AA1675" s="21"/>
    </row>
    <row r="1676" spans="7:27" x14ac:dyDescent="0.2">
      <c r="G1676" s="21"/>
      <c r="H1676" s="21"/>
      <c r="N1676" s="21"/>
      <c r="O1676" s="21"/>
      <c r="T1676" s="21"/>
      <c r="AA1676" s="21"/>
    </row>
    <row r="1677" spans="7:27" x14ac:dyDescent="0.2">
      <c r="G1677" s="21"/>
      <c r="H1677" s="21"/>
      <c r="N1677" s="21"/>
      <c r="O1677" s="21"/>
      <c r="T1677" s="21"/>
      <c r="AA1677" s="21"/>
    </row>
    <row r="1678" spans="7:27" x14ac:dyDescent="0.2">
      <c r="G1678" s="21"/>
      <c r="H1678" s="21"/>
      <c r="N1678" s="21"/>
      <c r="O1678" s="21"/>
      <c r="T1678" s="21"/>
      <c r="AA1678" s="21"/>
    </row>
    <row r="1679" spans="7:27" x14ac:dyDescent="0.2">
      <c r="G1679" s="21"/>
      <c r="H1679" s="21"/>
      <c r="N1679" s="21"/>
      <c r="O1679" s="21"/>
      <c r="T1679" s="21"/>
      <c r="AA1679" s="21"/>
    </row>
    <row r="1680" spans="7:27" x14ac:dyDescent="0.2">
      <c r="G1680" s="21"/>
      <c r="H1680" s="21"/>
      <c r="N1680" s="21"/>
      <c r="O1680" s="21"/>
      <c r="T1680" s="21"/>
      <c r="AA1680" s="21"/>
    </row>
    <row r="1681" spans="7:27" x14ac:dyDescent="0.2">
      <c r="G1681" s="21"/>
      <c r="H1681" s="21"/>
      <c r="N1681" s="21"/>
      <c r="O1681" s="21"/>
      <c r="T1681" s="21"/>
      <c r="AA1681" s="21"/>
    </row>
    <row r="1682" spans="7:27" x14ac:dyDescent="0.2">
      <c r="G1682" s="21"/>
      <c r="H1682" s="21"/>
      <c r="N1682" s="21"/>
      <c r="O1682" s="21"/>
      <c r="T1682" s="21"/>
      <c r="AA1682" s="21"/>
    </row>
    <row r="1683" spans="7:27" x14ac:dyDescent="0.2">
      <c r="G1683" s="21"/>
      <c r="H1683" s="21"/>
      <c r="N1683" s="21"/>
      <c r="O1683" s="21"/>
      <c r="T1683" s="21"/>
      <c r="AA1683" s="21"/>
    </row>
    <row r="1684" spans="7:27" x14ac:dyDescent="0.2">
      <c r="G1684" s="21"/>
      <c r="H1684" s="21"/>
      <c r="N1684" s="21"/>
      <c r="O1684" s="21"/>
      <c r="T1684" s="21"/>
      <c r="AA1684" s="21"/>
    </row>
    <row r="1685" spans="7:27" x14ac:dyDescent="0.2">
      <c r="G1685" s="21"/>
      <c r="H1685" s="21"/>
      <c r="N1685" s="21"/>
      <c r="O1685" s="21"/>
      <c r="T1685" s="21"/>
      <c r="AA1685" s="21"/>
    </row>
    <row r="1686" spans="7:27" x14ac:dyDescent="0.2">
      <c r="G1686" s="21"/>
      <c r="H1686" s="21"/>
      <c r="N1686" s="21"/>
      <c r="O1686" s="21"/>
      <c r="T1686" s="21"/>
      <c r="AA1686" s="21"/>
    </row>
    <row r="1687" spans="7:27" x14ac:dyDescent="0.2">
      <c r="G1687" s="21"/>
      <c r="H1687" s="21"/>
      <c r="N1687" s="21"/>
      <c r="O1687" s="21"/>
      <c r="T1687" s="21"/>
      <c r="AA1687" s="21"/>
    </row>
    <row r="1688" spans="7:27" x14ac:dyDescent="0.2">
      <c r="G1688" s="21"/>
      <c r="H1688" s="21"/>
      <c r="N1688" s="21"/>
      <c r="O1688" s="21"/>
      <c r="T1688" s="21"/>
      <c r="AA1688" s="21"/>
    </row>
    <row r="1689" spans="7:27" x14ac:dyDescent="0.2">
      <c r="G1689" s="21"/>
      <c r="H1689" s="21"/>
      <c r="N1689" s="21"/>
      <c r="O1689" s="21"/>
      <c r="T1689" s="21"/>
      <c r="AA1689" s="21"/>
    </row>
    <row r="1690" spans="7:27" x14ac:dyDescent="0.2">
      <c r="G1690" s="21"/>
      <c r="H1690" s="21"/>
      <c r="N1690" s="21"/>
      <c r="O1690" s="21"/>
      <c r="T1690" s="21"/>
      <c r="AA1690" s="21"/>
    </row>
    <row r="1691" spans="7:27" x14ac:dyDescent="0.2">
      <c r="G1691" s="21"/>
      <c r="H1691" s="21"/>
      <c r="N1691" s="21"/>
      <c r="O1691" s="21"/>
      <c r="T1691" s="21"/>
      <c r="AA1691" s="21"/>
    </row>
    <row r="1692" spans="7:27" x14ac:dyDescent="0.2">
      <c r="G1692" s="21"/>
      <c r="H1692" s="21"/>
      <c r="N1692" s="21"/>
      <c r="O1692" s="21"/>
      <c r="T1692" s="21"/>
      <c r="AA1692" s="21"/>
    </row>
    <row r="1693" spans="7:27" x14ac:dyDescent="0.2">
      <c r="G1693" s="21"/>
      <c r="H1693" s="21"/>
      <c r="N1693" s="21"/>
      <c r="O1693" s="21"/>
      <c r="T1693" s="21"/>
      <c r="AA1693" s="21"/>
    </row>
    <row r="1694" spans="7:27" x14ac:dyDescent="0.2">
      <c r="G1694" s="21"/>
      <c r="H1694" s="21"/>
      <c r="N1694" s="21"/>
      <c r="O1694" s="21"/>
      <c r="T1694" s="21"/>
      <c r="AA1694" s="21"/>
    </row>
    <row r="1695" spans="7:27" x14ac:dyDescent="0.2">
      <c r="G1695" s="21"/>
      <c r="H1695" s="21"/>
      <c r="N1695" s="21"/>
      <c r="O1695" s="21"/>
      <c r="T1695" s="21"/>
      <c r="AA1695" s="21"/>
    </row>
    <row r="1696" spans="7:27" x14ac:dyDescent="0.2">
      <c r="G1696" s="21"/>
      <c r="H1696" s="21"/>
      <c r="N1696" s="21"/>
      <c r="O1696" s="21"/>
      <c r="T1696" s="21"/>
      <c r="AA1696" s="21"/>
    </row>
    <row r="1697" spans="7:27" x14ac:dyDescent="0.2">
      <c r="G1697" s="21"/>
      <c r="H1697" s="21"/>
      <c r="N1697" s="21"/>
      <c r="O1697" s="21"/>
      <c r="T1697" s="21"/>
      <c r="AA1697" s="21"/>
    </row>
    <row r="1698" spans="7:27" x14ac:dyDescent="0.2">
      <c r="G1698" s="21"/>
      <c r="H1698" s="21"/>
      <c r="N1698" s="21"/>
      <c r="O1698" s="21"/>
      <c r="T1698" s="21"/>
      <c r="AA1698" s="21"/>
    </row>
    <row r="1699" spans="7:27" x14ac:dyDescent="0.2">
      <c r="G1699" s="21"/>
      <c r="H1699" s="21"/>
      <c r="N1699" s="21"/>
      <c r="O1699" s="21"/>
      <c r="T1699" s="21"/>
      <c r="AA1699" s="21"/>
    </row>
    <row r="1700" spans="7:27" x14ac:dyDescent="0.2">
      <c r="G1700" s="21"/>
      <c r="H1700" s="21"/>
      <c r="N1700" s="21"/>
      <c r="O1700" s="21"/>
      <c r="T1700" s="21"/>
      <c r="AA1700" s="21"/>
    </row>
    <row r="1701" spans="7:27" x14ac:dyDescent="0.2">
      <c r="G1701" s="21"/>
      <c r="H1701" s="21"/>
      <c r="N1701" s="21"/>
      <c r="O1701" s="21"/>
      <c r="T1701" s="21"/>
      <c r="AA1701" s="21"/>
    </row>
    <row r="1702" spans="7:27" x14ac:dyDescent="0.2">
      <c r="G1702" s="21"/>
      <c r="H1702" s="21"/>
      <c r="N1702" s="21"/>
      <c r="O1702" s="21"/>
      <c r="T1702" s="21"/>
      <c r="AA1702" s="21"/>
    </row>
    <row r="1703" spans="7:27" x14ac:dyDescent="0.2">
      <c r="G1703" s="21"/>
      <c r="H1703" s="21"/>
      <c r="N1703" s="21"/>
      <c r="O1703" s="21"/>
      <c r="T1703" s="21"/>
      <c r="AA1703" s="21"/>
    </row>
    <row r="1704" spans="7:27" x14ac:dyDescent="0.2">
      <c r="G1704" s="21"/>
      <c r="H1704" s="21"/>
      <c r="N1704" s="21"/>
      <c r="O1704" s="21"/>
      <c r="T1704" s="21"/>
      <c r="AA1704" s="21"/>
    </row>
    <row r="1705" spans="7:27" x14ac:dyDescent="0.2">
      <c r="G1705" s="21"/>
      <c r="H1705" s="21"/>
      <c r="N1705" s="21"/>
      <c r="O1705" s="21"/>
      <c r="T1705" s="21"/>
      <c r="AA1705" s="21"/>
    </row>
    <row r="1706" spans="7:27" x14ac:dyDescent="0.2">
      <c r="G1706" s="21"/>
      <c r="H1706" s="21"/>
      <c r="N1706" s="21"/>
      <c r="O1706" s="21"/>
      <c r="T1706" s="21"/>
      <c r="AA1706" s="21"/>
    </row>
    <row r="1707" spans="7:27" x14ac:dyDescent="0.2">
      <c r="G1707" s="21"/>
      <c r="H1707" s="21"/>
      <c r="N1707" s="21"/>
      <c r="O1707" s="21"/>
      <c r="T1707" s="21"/>
      <c r="AA1707" s="21"/>
    </row>
    <row r="1708" spans="7:27" x14ac:dyDescent="0.2">
      <c r="G1708" s="21"/>
      <c r="H1708" s="21"/>
      <c r="N1708" s="21"/>
      <c r="O1708" s="21"/>
      <c r="T1708" s="21"/>
      <c r="AA1708" s="21"/>
    </row>
    <row r="1709" spans="7:27" x14ac:dyDescent="0.2">
      <c r="G1709" s="21"/>
      <c r="H1709" s="21"/>
      <c r="N1709" s="21"/>
      <c r="O1709" s="21"/>
      <c r="T1709" s="21"/>
      <c r="AA1709" s="21"/>
    </row>
    <row r="1710" spans="7:27" x14ac:dyDescent="0.2">
      <c r="G1710" s="21"/>
      <c r="H1710" s="21"/>
      <c r="N1710" s="21"/>
      <c r="O1710" s="21"/>
      <c r="T1710" s="21"/>
      <c r="AA1710" s="21"/>
    </row>
    <row r="1711" spans="7:27" x14ac:dyDescent="0.2">
      <c r="G1711" s="21"/>
      <c r="H1711" s="21"/>
      <c r="N1711" s="21"/>
      <c r="O1711" s="21"/>
      <c r="T1711" s="21"/>
      <c r="AA1711" s="21"/>
    </row>
    <row r="1712" spans="7:27" x14ac:dyDescent="0.2">
      <c r="G1712" s="21"/>
      <c r="H1712" s="21"/>
      <c r="N1712" s="21"/>
      <c r="O1712" s="21"/>
      <c r="T1712" s="21"/>
      <c r="AA1712" s="21"/>
    </row>
    <row r="1713" spans="7:27" x14ac:dyDescent="0.2">
      <c r="G1713" s="21"/>
      <c r="H1713" s="21"/>
      <c r="N1713" s="21"/>
      <c r="O1713" s="21"/>
      <c r="T1713" s="21"/>
      <c r="AA1713" s="21"/>
    </row>
    <row r="1714" spans="7:27" x14ac:dyDescent="0.2">
      <c r="G1714" s="21"/>
      <c r="H1714" s="21"/>
      <c r="N1714" s="21"/>
      <c r="O1714" s="21"/>
      <c r="T1714" s="21"/>
      <c r="AA1714" s="21"/>
    </row>
    <row r="1715" spans="7:27" x14ac:dyDescent="0.2">
      <c r="G1715" s="21"/>
      <c r="H1715" s="21"/>
      <c r="N1715" s="21"/>
      <c r="O1715" s="21"/>
      <c r="T1715" s="21"/>
      <c r="AA1715" s="21"/>
    </row>
    <row r="1716" spans="7:27" x14ac:dyDescent="0.2">
      <c r="G1716" s="21"/>
      <c r="H1716" s="21"/>
      <c r="N1716" s="21"/>
      <c r="O1716" s="21"/>
      <c r="T1716" s="21"/>
      <c r="AA1716" s="21"/>
    </row>
    <row r="1717" spans="7:27" x14ac:dyDescent="0.2">
      <c r="G1717" s="21"/>
      <c r="H1717" s="21"/>
      <c r="N1717" s="21"/>
      <c r="O1717" s="21"/>
      <c r="T1717" s="21"/>
      <c r="AA1717" s="21"/>
    </row>
    <row r="1718" spans="7:27" x14ac:dyDescent="0.2">
      <c r="G1718" s="21"/>
      <c r="H1718" s="21"/>
      <c r="N1718" s="21"/>
      <c r="O1718" s="21"/>
      <c r="T1718" s="21"/>
      <c r="AA1718" s="21"/>
    </row>
    <row r="1719" spans="7:27" x14ac:dyDescent="0.2">
      <c r="G1719" s="21"/>
      <c r="H1719" s="21"/>
      <c r="N1719" s="21"/>
      <c r="O1719" s="21"/>
      <c r="T1719" s="21"/>
      <c r="AA1719" s="21"/>
    </row>
    <row r="1720" spans="7:27" x14ac:dyDescent="0.2">
      <c r="G1720" s="21"/>
      <c r="H1720" s="21"/>
      <c r="N1720" s="21"/>
      <c r="O1720" s="21"/>
      <c r="T1720" s="21"/>
      <c r="AA1720" s="21"/>
    </row>
    <row r="1721" spans="7:27" x14ac:dyDescent="0.2">
      <c r="G1721" s="21"/>
      <c r="H1721" s="21"/>
      <c r="N1721" s="21"/>
      <c r="O1721" s="21"/>
      <c r="T1721" s="21"/>
      <c r="AA1721" s="21"/>
    </row>
    <row r="1722" spans="7:27" x14ac:dyDescent="0.2">
      <c r="G1722" s="21"/>
      <c r="H1722" s="21"/>
      <c r="N1722" s="21"/>
      <c r="O1722" s="21"/>
      <c r="T1722" s="21"/>
      <c r="AA1722" s="21"/>
    </row>
    <row r="1723" spans="7:27" x14ac:dyDescent="0.2">
      <c r="G1723" s="21"/>
      <c r="H1723" s="21"/>
      <c r="N1723" s="21"/>
      <c r="O1723" s="21"/>
      <c r="T1723" s="21"/>
      <c r="AA1723" s="21"/>
    </row>
    <row r="1724" spans="7:27" x14ac:dyDescent="0.2">
      <c r="G1724" s="21"/>
      <c r="H1724" s="21"/>
      <c r="N1724" s="21"/>
      <c r="O1724" s="21"/>
      <c r="T1724" s="21"/>
      <c r="AA1724" s="21"/>
    </row>
    <row r="1725" spans="7:27" x14ac:dyDescent="0.2">
      <c r="G1725" s="21"/>
      <c r="H1725" s="21"/>
      <c r="N1725" s="21"/>
      <c r="O1725" s="21"/>
      <c r="T1725" s="21"/>
      <c r="AA1725" s="21"/>
    </row>
    <row r="1726" spans="7:27" x14ac:dyDescent="0.2">
      <c r="G1726" s="21"/>
      <c r="H1726" s="21"/>
      <c r="N1726" s="21"/>
      <c r="O1726" s="21"/>
      <c r="T1726" s="21"/>
      <c r="AA1726" s="21"/>
    </row>
    <row r="1727" spans="7:27" x14ac:dyDescent="0.2">
      <c r="G1727" s="21"/>
      <c r="H1727" s="21"/>
      <c r="N1727" s="21"/>
      <c r="O1727" s="21"/>
      <c r="T1727" s="21"/>
      <c r="AA1727" s="21"/>
    </row>
    <row r="1728" spans="7:27" x14ac:dyDescent="0.2">
      <c r="G1728" s="21"/>
      <c r="H1728" s="21"/>
      <c r="N1728" s="21"/>
      <c r="O1728" s="21"/>
      <c r="T1728" s="21"/>
      <c r="AA1728" s="21"/>
    </row>
    <row r="1729" spans="7:27" x14ac:dyDescent="0.2">
      <c r="G1729" s="21"/>
      <c r="H1729" s="21"/>
      <c r="N1729" s="21"/>
      <c r="O1729" s="21"/>
      <c r="T1729" s="21"/>
      <c r="AA1729" s="21"/>
    </row>
    <row r="1730" spans="7:27" x14ac:dyDescent="0.2">
      <c r="G1730" s="21"/>
      <c r="H1730" s="21"/>
      <c r="N1730" s="21"/>
      <c r="O1730" s="21"/>
      <c r="T1730" s="21"/>
      <c r="AA1730" s="21"/>
    </row>
    <row r="1731" spans="7:27" x14ac:dyDescent="0.2">
      <c r="G1731" s="21"/>
      <c r="H1731" s="21"/>
      <c r="N1731" s="21"/>
      <c r="O1731" s="21"/>
      <c r="T1731" s="21"/>
      <c r="AA1731" s="21"/>
    </row>
    <row r="1732" spans="7:27" x14ac:dyDescent="0.2">
      <c r="G1732" s="21"/>
      <c r="H1732" s="21"/>
      <c r="N1732" s="21"/>
      <c r="O1732" s="21"/>
      <c r="T1732" s="21"/>
      <c r="AA1732" s="21"/>
    </row>
    <row r="1733" spans="7:27" x14ac:dyDescent="0.2">
      <c r="G1733" s="21"/>
      <c r="H1733" s="21"/>
      <c r="N1733" s="21"/>
      <c r="O1733" s="21"/>
      <c r="T1733" s="21"/>
      <c r="AA1733" s="21"/>
    </row>
    <row r="1734" spans="7:27" x14ac:dyDescent="0.2">
      <c r="G1734" s="21"/>
      <c r="H1734" s="21"/>
      <c r="N1734" s="21"/>
      <c r="O1734" s="21"/>
      <c r="T1734" s="21"/>
      <c r="AA1734" s="21"/>
    </row>
    <row r="1735" spans="7:27" x14ac:dyDescent="0.2">
      <c r="G1735" s="21"/>
      <c r="H1735" s="21"/>
      <c r="N1735" s="21"/>
      <c r="O1735" s="21"/>
      <c r="T1735" s="21"/>
      <c r="AA1735" s="21"/>
    </row>
    <row r="1736" spans="7:27" x14ac:dyDescent="0.2">
      <c r="G1736" s="21"/>
      <c r="H1736" s="21"/>
      <c r="N1736" s="21"/>
      <c r="O1736" s="21"/>
      <c r="T1736" s="21"/>
      <c r="AA1736" s="21"/>
    </row>
    <row r="1737" spans="7:27" x14ac:dyDescent="0.2">
      <c r="G1737" s="21"/>
      <c r="H1737" s="21"/>
      <c r="N1737" s="21"/>
      <c r="O1737" s="21"/>
      <c r="T1737" s="21"/>
      <c r="AA1737" s="21"/>
    </row>
    <row r="1738" spans="7:27" x14ac:dyDescent="0.2">
      <c r="G1738" s="21"/>
      <c r="H1738" s="21"/>
      <c r="N1738" s="21"/>
      <c r="O1738" s="21"/>
      <c r="T1738" s="21"/>
      <c r="AA1738" s="21"/>
    </row>
    <row r="1739" spans="7:27" x14ac:dyDescent="0.2">
      <c r="G1739" s="21"/>
      <c r="H1739" s="21"/>
      <c r="N1739" s="21"/>
      <c r="O1739" s="21"/>
      <c r="T1739" s="21"/>
      <c r="AA1739" s="21"/>
    </row>
    <row r="1740" spans="7:27" x14ac:dyDescent="0.2">
      <c r="G1740" s="21"/>
      <c r="H1740" s="21"/>
      <c r="N1740" s="21"/>
      <c r="O1740" s="21"/>
      <c r="T1740" s="21"/>
      <c r="AA1740" s="21"/>
    </row>
    <row r="1741" spans="7:27" x14ac:dyDescent="0.2">
      <c r="G1741" s="21"/>
      <c r="H1741" s="21"/>
      <c r="N1741" s="21"/>
      <c r="O1741" s="21"/>
      <c r="T1741" s="21"/>
      <c r="AA1741" s="21"/>
    </row>
    <row r="1742" spans="7:27" x14ac:dyDescent="0.2">
      <c r="G1742" s="21"/>
      <c r="H1742" s="21"/>
      <c r="N1742" s="21"/>
      <c r="O1742" s="21"/>
      <c r="T1742" s="21"/>
      <c r="AA1742" s="21"/>
    </row>
    <row r="1743" spans="7:27" x14ac:dyDescent="0.2">
      <c r="G1743" s="21"/>
      <c r="H1743" s="21"/>
      <c r="N1743" s="21"/>
      <c r="O1743" s="21"/>
      <c r="T1743" s="21"/>
      <c r="AA1743" s="21"/>
    </row>
    <row r="1744" spans="7:27" x14ac:dyDescent="0.2">
      <c r="G1744" s="21"/>
      <c r="H1744" s="21"/>
      <c r="N1744" s="21"/>
      <c r="O1744" s="21"/>
      <c r="T1744" s="21"/>
      <c r="AA1744" s="21"/>
    </row>
    <row r="1745" spans="7:27" x14ac:dyDescent="0.2">
      <c r="G1745" s="21"/>
      <c r="H1745" s="21"/>
      <c r="N1745" s="21"/>
      <c r="O1745" s="21"/>
      <c r="T1745" s="21"/>
      <c r="AA1745" s="21"/>
    </row>
    <row r="1746" spans="7:27" x14ac:dyDescent="0.2">
      <c r="G1746" s="21"/>
      <c r="H1746" s="21"/>
      <c r="N1746" s="21"/>
      <c r="O1746" s="21"/>
      <c r="T1746" s="21"/>
      <c r="AA1746" s="21"/>
    </row>
    <row r="1747" spans="7:27" x14ac:dyDescent="0.2">
      <c r="G1747" s="21"/>
      <c r="H1747" s="21"/>
      <c r="N1747" s="21"/>
      <c r="O1747" s="21"/>
      <c r="T1747" s="21"/>
      <c r="AA1747" s="21"/>
    </row>
    <row r="1748" spans="7:27" x14ac:dyDescent="0.2">
      <c r="G1748" s="21"/>
      <c r="H1748" s="21"/>
      <c r="N1748" s="21"/>
      <c r="O1748" s="21"/>
      <c r="T1748" s="21"/>
      <c r="AA1748" s="21"/>
    </row>
    <row r="1749" spans="7:27" x14ac:dyDescent="0.2">
      <c r="G1749" s="21"/>
      <c r="H1749" s="21"/>
      <c r="N1749" s="21"/>
      <c r="O1749" s="21"/>
      <c r="T1749" s="21"/>
      <c r="AA1749" s="21"/>
    </row>
    <row r="1750" spans="7:27" x14ac:dyDescent="0.2">
      <c r="G1750" s="21"/>
      <c r="H1750" s="21"/>
      <c r="N1750" s="21"/>
      <c r="O1750" s="21"/>
      <c r="T1750" s="21"/>
      <c r="AA1750" s="21"/>
    </row>
    <row r="1751" spans="7:27" x14ac:dyDescent="0.2">
      <c r="G1751" s="21"/>
      <c r="H1751" s="21"/>
      <c r="N1751" s="21"/>
      <c r="O1751" s="21"/>
      <c r="T1751" s="21"/>
      <c r="AA1751" s="21"/>
    </row>
    <row r="1752" spans="7:27" x14ac:dyDescent="0.2">
      <c r="G1752" s="21"/>
      <c r="H1752" s="21"/>
      <c r="N1752" s="21"/>
      <c r="O1752" s="21"/>
      <c r="T1752" s="21"/>
      <c r="AA1752" s="21"/>
    </row>
    <row r="1753" spans="7:27" x14ac:dyDescent="0.2">
      <c r="G1753" s="21"/>
      <c r="H1753" s="21"/>
      <c r="N1753" s="21"/>
      <c r="O1753" s="21"/>
      <c r="T1753" s="21"/>
      <c r="AA1753" s="21"/>
    </row>
    <row r="1754" spans="7:27" x14ac:dyDescent="0.2">
      <c r="G1754" s="21"/>
      <c r="H1754" s="21"/>
      <c r="N1754" s="21"/>
      <c r="O1754" s="21"/>
      <c r="T1754" s="21"/>
      <c r="AA1754" s="21"/>
    </row>
    <row r="1755" spans="7:27" x14ac:dyDescent="0.2">
      <c r="G1755" s="21"/>
      <c r="H1755" s="21"/>
      <c r="N1755" s="21"/>
      <c r="O1755" s="21"/>
      <c r="T1755" s="21"/>
      <c r="AA1755" s="21"/>
    </row>
    <row r="1756" spans="7:27" x14ac:dyDescent="0.2">
      <c r="G1756" s="21"/>
      <c r="H1756" s="21"/>
      <c r="N1756" s="21"/>
      <c r="O1756" s="21"/>
      <c r="T1756" s="21"/>
      <c r="AA1756" s="21"/>
    </row>
    <row r="1757" spans="7:27" x14ac:dyDescent="0.2">
      <c r="G1757" s="21"/>
      <c r="H1757" s="21"/>
      <c r="N1757" s="21"/>
      <c r="O1757" s="21"/>
      <c r="T1757" s="21"/>
      <c r="AA1757" s="21"/>
    </row>
    <row r="1758" spans="7:27" x14ac:dyDescent="0.2">
      <c r="G1758" s="21"/>
      <c r="H1758" s="21"/>
      <c r="N1758" s="21"/>
      <c r="O1758" s="21"/>
      <c r="T1758" s="21"/>
      <c r="AA1758" s="21"/>
    </row>
    <row r="1759" spans="7:27" x14ac:dyDescent="0.2">
      <c r="G1759" s="21"/>
      <c r="H1759" s="21"/>
      <c r="N1759" s="21"/>
      <c r="O1759" s="21"/>
      <c r="T1759" s="21"/>
      <c r="AA1759" s="21"/>
    </row>
    <row r="1760" spans="7:27" x14ac:dyDescent="0.2">
      <c r="G1760" s="21"/>
      <c r="H1760" s="21"/>
      <c r="N1760" s="21"/>
      <c r="O1760" s="21"/>
      <c r="T1760" s="21"/>
      <c r="AA1760" s="21"/>
    </row>
    <row r="1761" spans="7:27" x14ac:dyDescent="0.2">
      <c r="G1761" s="21"/>
      <c r="H1761" s="21"/>
      <c r="N1761" s="21"/>
      <c r="O1761" s="21"/>
      <c r="T1761" s="21"/>
      <c r="AA1761" s="21"/>
    </row>
    <row r="1762" spans="7:27" x14ac:dyDescent="0.2">
      <c r="G1762" s="21"/>
      <c r="H1762" s="21"/>
      <c r="N1762" s="21"/>
      <c r="O1762" s="21"/>
      <c r="T1762" s="21"/>
      <c r="AA1762" s="21"/>
    </row>
    <row r="1763" spans="7:27" x14ac:dyDescent="0.2">
      <c r="G1763" s="21"/>
      <c r="H1763" s="21"/>
      <c r="N1763" s="21"/>
      <c r="O1763" s="21"/>
      <c r="T1763" s="21"/>
      <c r="AA1763" s="21"/>
    </row>
    <row r="1764" spans="7:27" x14ac:dyDescent="0.2">
      <c r="G1764" s="21"/>
      <c r="H1764" s="21"/>
      <c r="N1764" s="21"/>
      <c r="O1764" s="21"/>
      <c r="T1764" s="21"/>
      <c r="AA1764" s="21"/>
    </row>
    <row r="1765" spans="7:27" x14ac:dyDescent="0.2">
      <c r="G1765" s="21"/>
      <c r="H1765" s="21"/>
      <c r="N1765" s="21"/>
      <c r="O1765" s="21"/>
      <c r="T1765" s="21"/>
      <c r="AA1765" s="21"/>
    </row>
    <row r="1766" spans="7:27" x14ac:dyDescent="0.2">
      <c r="G1766" s="21"/>
      <c r="H1766" s="21"/>
      <c r="N1766" s="21"/>
      <c r="O1766" s="21"/>
      <c r="T1766" s="21"/>
      <c r="AA1766" s="21"/>
    </row>
    <row r="1767" spans="7:27" x14ac:dyDescent="0.2">
      <c r="G1767" s="21"/>
      <c r="H1767" s="21"/>
      <c r="N1767" s="21"/>
      <c r="O1767" s="21"/>
      <c r="T1767" s="21"/>
      <c r="AA1767" s="21"/>
    </row>
    <row r="1768" spans="7:27" x14ac:dyDescent="0.2">
      <c r="G1768" s="21"/>
      <c r="H1768" s="21"/>
      <c r="N1768" s="21"/>
      <c r="O1768" s="21"/>
      <c r="T1768" s="21"/>
      <c r="AA1768" s="21"/>
    </row>
    <row r="1769" spans="7:27" x14ac:dyDescent="0.2">
      <c r="G1769" s="21"/>
      <c r="H1769" s="21"/>
      <c r="N1769" s="21"/>
      <c r="O1769" s="21"/>
      <c r="T1769" s="21"/>
      <c r="AA1769" s="21"/>
    </row>
    <row r="1770" spans="7:27" x14ac:dyDescent="0.2">
      <c r="G1770" s="21"/>
      <c r="H1770" s="21"/>
      <c r="N1770" s="21"/>
      <c r="O1770" s="21"/>
      <c r="T1770" s="21"/>
      <c r="AA1770" s="21"/>
    </row>
    <row r="1771" spans="7:27" x14ac:dyDescent="0.2">
      <c r="G1771" s="21"/>
      <c r="H1771" s="21"/>
      <c r="N1771" s="21"/>
      <c r="O1771" s="21"/>
      <c r="T1771" s="21"/>
      <c r="AA1771" s="21"/>
    </row>
    <row r="1772" spans="7:27" x14ac:dyDescent="0.2">
      <c r="G1772" s="21"/>
      <c r="H1772" s="21"/>
      <c r="N1772" s="21"/>
      <c r="O1772" s="21"/>
      <c r="T1772" s="21"/>
      <c r="AA1772" s="21"/>
    </row>
    <row r="1773" spans="7:27" x14ac:dyDescent="0.2">
      <c r="G1773" s="21"/>
      <c r="H1773" s="21"/>
      <c r="N1773" s="21"/>
      <c r="O1773" s="21"/>
      <c r="T1773" s="21"/>
      <c r="AA1773" s="21"/>
    </row>
    <row r="1774" spans="7:27" x14ac:dyDescent="0.2">
      <c r="G1774" s="21"/>
      <c r="H1774" s="21"/>
      <c r="N1774" s="21"/>
      <c r="O1774" s="21"/>
      <c r="T1774" s="21"/>
      <c r="AA1774" s="21"/>
    </row>
    <row r="1775" spans="7:27" x14ac:dyDescent="0.2">
      <c r="G1775" s="21"/>
      <c r="H1775" s="21"/>
      <c r="N1775" s="21"/>
      <c r="O1775" s="21"/>
      <c r="T1775" s="21"/>
      <c r="AA1775" s="21"/>
    </row>
    <row r="1776" spans="7:27" x14ac:dyDescent="0.2">
      <c r="G1776" s="21"/>
      <c r="H1776" s="21"/>
      <c r="N1776" s="21"/>
      <c r="O1776" s="21"/>
      <c r="T1776" s="21"/>
      <c r="AA1776" s="21"/>
    </row>
    <row r="1777" spans="7:27" x14ac:dyDescent="0.2">
      <c r="G1777" s="21"/>
      <c r="H1777" s="21"/>
      <c r="N1777" s="21"/>
      <c r="O1777" s="21"/>
      <c r="T1777" s="21"/>
      <c r="AA1777" s="21"/>
    </row>
    <row r="1778" spans="7:27" x14ac:dyDescent="0.2">
      <c r="G1778" s="21"/>
      <c r="H1778" s="21"/>
      <c r="N1778" s="21"/>
      <c r="O1778" s="21"/>
      <c r="T1778" s="21"/>
      <c r="AA1778" s="21"/>
    </row>
    <row r="1779" spans="7:27" x14ac:dyDescent="0.2">
      <c r="G1779" s="21"/>
      <c r="H1779" s="21"/>
      <c r="N1779" s="21"/>
      <c r="O1779" s="21"/>
      <c r="T1779" s="21"/>
      <c r="AA1779" s="21"/>
    </row>
    <row r="1780" spans="7:27" x14ac:dyDescent="0.2">
      <c r="G1780" s="21"/>
      <c r="H1780" s="21"/>
      <c r="N1780" s="21"/>
      <c r="O1780" s="21"/>
      <c r="T1780" s="21"/>
      <c r="AA1780" s="21"/>
    </row>
    <row r="1781" spans="7:27" x14ac:dyDescent="0.2">
      <c r="G1781" s="21"/>
      <c r="H1781" s="21"/>
      <c r="N1781" s="21"/>
      <c r="O1781" s="21"/>
      <c r="T1781" s="21"/>
      <c r="AA1781" s="21"/>
    </row>
    <row r="1782" spans="7:27" x14ac:dyDescent="0.2">
      <c r="G1782" s="21"/>
      <c r="H1782" s="21"/>
      <c r="N1782" s="21"/>
      <c r="O1782" s="21"/>
      <c r="T1782" s="21"/>
      <c r="AA1782" s="21"/>
    </row>
    <row r="1783" spans="7:27" x14ac:dyDescent="0.2">
      <c r="G1783" s="21"/>
      <c r="H1783" s="21"/>
      <c r="N1783" s="21"/>
      <c r="O1783" s="21"/>
      <c r="T1783" s="21"/>
      <c r="AA1783" s="21"/>
    </row>
    <row r="1784" spans="7:27" x14ac:dyDescent="0.2">
      <c r="G1784" s="21"/>
      <c r="H1784" s="21"/>
      <c r="N1784" s="21"/>
      <c r="O1784" s="21"/>
      <c r="T1784" s="21"/>
      <c r="AA1784" s="21"/>
    </row>
    <row r="1785" spans="7:27" x14ac:dyDescent="0.2">
      <c r="G1785" s="21"/>
      <c r="H1785" s="21"/>
      <c r="N1785" s="21"/>
      <c r="O1785" s="21"/>
      <c r="T1785" s="21"/>
      <c r="AA1785" s="21"/>
    </row>
    <row r="1786" spans="7:27" x14ac:dyDescent="0.2">
      <c r="G1786" s="21"/>
      <c r="H1786" s="21"/>
      <c r="N1786" s="21"/>
      <c r="O1786" s="21"/>
      <c r="T1786" s="21"/>
      <c r="AA1786" s="21"/>
    </row>
    <row r="1787" spans="7:27" x14ac:dyDescent="0.2">
      <c r="G1787" s="21"/>
      <c r="H1787" s="21"/>
      <c r="N1787" s="21"/>
      <c r="O1787" s="21"/>
      <c r="T1787" s="21"/>
      <c r="AA1787" s="21"/>
    </row>
    <row r="1788" spans="7:27" x14ac:dyDescent="0.2">
      <c r="G1788" s="21"/>
      <c r="H1788" s="21"/>
      <c r="N1788" s="21"/>
      <c r="O1788" s="21"/>
      <c r="T1788" s="21"/>
      <c r="AA1788" s="21"/>
    </row>
    <row r="1789" spans="7:27" x14ac:dyDescent="0.2">
      <c r="G1789" s="21"/>
      <c r="H1789" s="21"/>
      <c r="N1789" s="21"/>
      <c r="O1789" s="21"/>
      <c r="T1789" s="21"/>
      <c r="AA1789" s="21"/>
    </row>
    <row r="1790" spans="7:27" x14ac:dyDescent="0.2">
      <c r="G1790" s="21"/>
      <c r="H1790" s="21"/>
      <c r="N1790" s="21"/>
      <c r="O1790" s="21"/>
      <c r="T1790" s="21"/>
      <c r="AA1790" s="21"/>
    </row>
    <row r="1791" spans="7:27" x14ac:dyDescent="0.2">
      <c r="G1791" s="21"/>
      <c r="H1791" s="21"/>
      <c r="N1791" s="21"/>
      <c r="O1791" s="21"/>
      <c r="T1791" s="21"/>
      <c r="AA1791" s="21"/>
    </row>
    <row r="1792" spans="7:27" x14ac:dyDescent="0.2">
      <c r="G1792" s="21"/>
      <c r="H1792" s="21"/>
      <c r="N1792" s="21"/>
      <c r="O1792" s="21"/>
      <c r="T1792" s="21"/>
      <c r="AA1792" s="21"/>
    </row>
    <row r="1793" spans="7:27" x14ac:dyDescent="0.2">
      <c r="G1793" s="21"/>
      <c r="H1793" s="21"/>
      <c r="N1793" s="21"/>
      <c r="O1793" s="21"/>
      <c r="T1793" s="21"/>
      <c r="AA1793" s="21"/>
    </row>
    <row r="1794" spans="7:27" x14ac:dyDescent="0.2">
      <c r="G1794" s="21"/>
      <c r="H1794" s="21"/>
      <c r="N1794" s="21"/>
      <c r="O1794" s="21"/>
      <c r="T1794" s="21"/>
      <c r="AA1794" s="21"/>
    </row>
    <row r="1795" spans="7:27" x14ac:dyDescent="0.2">
      <c r="G1795" s="21"/>
      <c r="H1795" s="21"/>
      <c r="N1795" s="21"/>
      <c r="O1795" s="21"/>
      <c r="T1795" s="21"/>
      <c r="AA1795" s="21"/>
    </row>
    <row r="1796" spans="7:27" x14ac:dyDescent="0.2">
      <c r="G1796" s="21"/>
      <c r="H1796" s="21"/>
      <c r="N1796" s="21"/>
      <c r="O1796" s="21"/>
      <c r="T1796" s="21"/>
      <c r="AA1796" s="21"/>
    </row>
    <row r="1797" spans="7:27" x14ac:dyDescent="0.2">
      <c r="G1797" s="21"/>
      <c r="H1797" s="21"/>
      <c r="N1797" s="21"/>
      <c r="O1797" s="21"/>
      <c r="T1797" s="21"/>
      <c r="AA1797" s="21"/>
    </row>
    <row r="1798" spans="7:27" x14ac:dyDescent="0.2">
      <c r="G1798" s="21"/>
      <c r="H1798" s="21"/>
      <c r="N1798" s="21"/>
      <c r="O1798" s="21"/>
      <c r="T1798" s="21"/>
      <c r="AA1798" s="21"/>
    </row>
    <row r="1799" spans="7:27" x14ac:dyDescent="0.2">
      <c r="G1799" s="21"/>
      <c r="H1799" s="21"/>
      <c r="N1799" s="21"/>
      <c r="O1799" s="21"/>
      <c r="T1799" s="21"/>
      <c r="AA1799" s="21"/>
    </row>
    <row r="1800" spans="7:27" x14ac:dyDescent="0.2">
      <c r="G1800" s="21"/>
      <c r="H1800" s="21"/>
      <c r="N1800" s="21"/>
      <c r="O1800" s="21"/>
      <c r="T1800" s="21"/>
      <c r="AA1800" s="21"/>
    </row>
    <row r="1801" spans="7:27" x14ac:dyDescent="0.2">
      <c r="G1801" s="21"/>
      <c r="H1801" s="21"/>
      <c r="N1801" s="21"/>
      <c r="O1801" s="21"/>
      <c r="T1801" s="21"/>
      <c r="AA1801" s="21"/>
    </row>
    <row r="1802" spans="7:27" x14ac:dyDescent="0.2">
      <c r="G1802" s="21"/>
      <c r="H1802" s="21"/>
      <c r="N1802" s="21"/>
      <c r="O1802" s="21"/>
      <c r="T1802" s="21"/>
      <c r="AA1802" s="21"/>
    </row>
    <row r="1803" spans="7:27" x14ac:dyDescent="0.2">
      <c r="G1803" s="21"/>
      <c r="H1803" s="21"/>
      <c r="N1803" s="21"/>
      <c r="O1803" s="21"/>
      <c r="T1803" s="21"/>
      <c r="AA1803" s="21"/>
    </row>
    <row r="1804" spans="7:27" x14ac:dyDescent="0.2">
      <c r="G1804" s="21"/>
      <c r="H1804" s="21"/>
      <c r="N1804" s="21"/>
      <c r="O1804" s="21"/>
      <c r="T1804" s="21"/>
      <c r="AA1804" s="21"/>
    </row>
    <row r="1805" spans="7:27" x14ac:dyDescent="0.2">
      <c r="G1805" s="21"/>
      <c r="H1805" s="21"/>
      <c r="N1805" s="21"/>
      <c r="O1805" s="21"/>
      <c r="T1805" s="21"/>
      <c r="AA1805" s="21"/>
    </row>
    <row r="1806" spans="7:27" x14ac:dyDescent="0.2">
      <c r="G1806" s="21"/>
      <c r="H1806" s="21"/>
      <c r="N1806" s="21"/>
      <c r="O1806" s="21"/>
      <c r="T1806" s="21"/>
      <c r="AA1806" s="21"/>
    </row>
    <row r="1807" spans="7:27" x14ac:dyDescent="0.2">
      <c r="G1807" s="21"/>
      <c r="H1807" s="21"/>
      <c r="N1807" s="21"/>
      <c r="O1807" s="21"/>
      <c r="T1807" s="21"/>
      <c r="AA1807" s="21"/>
    </row>
    <row r="1808" spans="7:27" x14ac:dyDescent="0.2">
      <c r="G1808" s="21"/>
      <c r="H1808" s="21"/>
      <c r="N1808" s="21"/>
      <c r="O1808" s="21"/>
      <c r="T1808" s="21"/>
      <c r="AA1808" s="21"/>
    </row>
    <row r="1809" spans="7:27" x14ac:dyDescent="0.2">
      <c r="G1809" s="21"/>
      <c r="H1809" s="21"/>
      <c r="N1809" s="21"/>
      <c r="O1809" s="21"/>
      <c r="T1809" s="21"/>
      <c r="AA1809" s="21"/>
    </row>
    <row r="1810" spans="7:27" x14ac:dyDescent="0.2">
      <c r="G1810" s="21"/>
      <c r="H1810" s="21"/>
      <c r="N1810" s="21"/>
      <c r="O1810" s="21"/>
      <c r="T1810" s="21"/>
      <c r="AA1810" s="21"/>
    </row>
    <row r="1811" spans="7:27" x14ac:dyDescent="0.2">
      <c r="G1811" s="21"/>
      <c r="H1811" s="21"/>
      <c r="N1811" s="21"/>
      <c r="O1811" s="21"/>
      <c r="T1811" s="21"/>
      <c r="AA1811" s="21"/>
    </row>
    <row r="1812" spans="7:27" x14ac:dyDescent="0.2">
      <c r="G1812" s="21"/>
      <c r="H1812" s="21"/>
      <c r="N1812" s="21"/>
      <c r="O1812" s="21"/>
      <c r="T1812" s="21"/>
      <c r="AA1812" s="21"/>
    </row>
    <row r="1813" spans="7:27" x14ac:dyDescent="0.2">
      <c r="G1813" s="21"/>
      <c r="H1813" s="21"/>
      <c r="N1813" s="21"/>
      <c r="O1813" s="21"/>
      <c r="T1813" s="21"/>
      <c r="AA1813" s="21"/>
    </row>
    <row r="1814" spans="7:27" x14ac:dyDescent="0.2">
      <c r="G1814" s="21"/>
      <c r="H1814" s="21"/>
      <c r="N1814" s="21"/>
      <c r="O1814" s="21"/>
      <c r="T1814" s="21"/>
      <c r="AA1814" s="21"/>
    </row>
    <row r="1815" spans="7:27" x14ac:dyDescent="0.2">
      <c r="G1815" s="21"/>
      <c r="H1815" s="21"/>
      <c r="N1815" s="21"/>
      <c r="O1815" s="21"/>
      <c r="T1815" s="21"/>
      <c r="AA1815" s="21"/>
    </row>
    <row r="1816" spans="7:27" x14ac:dyDescent="0.2">
      <c r="G1816" s="21"/>
      <c r="H1816" s="21"/>
      <c r="N1816" s="21"/>
      <c r="O1816" s="21"/>
      <c r="T1816" s="21"/>
      <c r="AA1816" s="21"/>
    </row>
    <row r="1817" spans="7:27" x14ac:dyDescent="0.2">
      <c r="G1817" s="21"/>
      <c r="H1817" s="21"/>
      <c r="N1817" s="21"/>
      <c r="O1817" s="21"/>
      <c r="T1817" s="21"/>
      <c r="AA1817" s="21"/>
    </row>
    <row r="1818" spans="7:27" x14ac:dyDescent="0.2">
      <c r="G1818" s="21"/>
      <c r="H1818" s="21"/>
      <c r="N1818" s="21"/>
      <c r="O1818" s="21"/>
      <c r="T1818" s="21"/>
      <c r="AA1818" s="21"/>
    </row>
    <row r="1819" spans="7:27" x14ac:dyDescent="0.2">
      <c r="G1819" s="21"/>
      <c r="H1819" s="21"/>
      <c r="N1819" s="21"/>
      <c r="O1819" s="21"/>
      <c r="T1819" s="21"/>
      <c r="AA1819" s="21"/>
    </row>
    <row r="1820" spans="7:27" x14ac:dyDescent="0.2">
      <c r="G1820" s="21"/>
      <c r="H1820" s="21"/>
      <c r="N1820" s="21"/>
      <c r="O1820" s="21"/>
      <c r="T1820" s="21"/>
      <c r="AA1820" s="21"/>
    </row>
    <row r="1821" spans="7:27" x14ac:dyDescent="0.2">
      <c r="G1821" s="21"/>
      <c r="H1821" s="21"/>
      <c r="N1821" s="21"/>
      <c r="O1821" s="21"/>
      <c r="T1821" s="21"/>
      <c r="AA1821" s="21"/>
    </row>
    <row r="1822" spans="7:27" x14ac:dyDescent="0.2">
      <c r="G1822" s="21"/>
      <c r="H1822" s="21"/>
      <c r="N1822" s="21"/>
      <c r="O1822" s="21"/>
      <c r="T1822" s="21"/>
      <c r="AA1822" s="21"/>
    </row>
    <row r="1823" spans="7:27" x14ac:dyDescent="0.2">
      <c r="G1823" s="21"/>
      <c r="H1823" s="21"/>
      <c r="N1823" s="21"/>
      <c r="O1823" s="21"/>
      <c r="T1823" s="21"/>
      <c r="AA1823" s="21"/>
    </row>
    <row r="1824" spans="7:27" x14ac:dyDescent="0.2">
      <c r="G1824" s="21"/>
      <c r="H1824" s="21"/>
      <c r="N1824" s="21"/>
      <c r="O1824" s="21"/>
      <c r="T1824" s="21"/>
      <c r="AA1824" s="21"/>
    </row>
    <row r="1825" spans="7:27" x14ac:dyDescent="0.2">
      <c r="G1825" s="21"/>
      <c r="H1825" s="21"/>
      <c r="N1825" s="21"/>
      <c r="O1825" s="21"/>
      <c r="T1825" s="21"/>
      <c r="AA1825" s="21"/>
    </row>
    <row r="1826" spans="7:27" x14ac:dyDescent="0.2">
      <c r="G1826" s="21"/>
      <c r="H1826" s="21"/>
      <c r="N1826" s="21"/>
      <c r="O1826" s="21"/>
      <c r="T1826" s="21"/>
      <c r="AA1826" s="21"/>
    </row>
    <row r="1827" spans="7:27" x14ac:dyDescent="0.2">
      <c r="G1827" s="21"/>
      <c r="H1827" s="21"/>
      <c r="N1827" s="21"/>
      <c r="O1827" s="21"/>
      <c r="T1827" s="21"/>
      <c r="AA1827" s="21"/>
    </row>
    <row r="1828" spans="7:27" x14ac:dyDescent="0.2">
      <c r="G1828" s="21"/>
      <c r="H1828" s="21"/>
      <c r="N1828" s="21"/>
      <c r="O1828" s="21"/>
      <c r="T1828" s="21"/>
      <c r="AA1828" s="21"/>
    </row>
    <row r="1829" spans="7:27" x14ac:dyDescent="0.2">
      <c r="G1829" s="21"/>
      <c r="H1829" s="21"/>
      <c r="N1829" s="21"/>
      <c r="O1829" s="21"/>
      <c r="T1829" s="21"/>
      <c r="AA1829" s="21"/>
    </row>
    <row r="1830" spans="7:27" x14ac:dyDescent="0.2">
      <c r="G1830" s="21"/>
      <c r="H1830" s="21"/>
      <c r="N1830" s="21"/>
      <c r="O1830" s="21"/>
      <c r="T1830" s="21"/>
      <c r="AA1830" s="21"/>
    </row>
    <row r="1831" spans="7:27" x14ac:dyDescent="0.2">
      <c r="G1831" s="21"/>
      <c r="H1831" s="21"/>
      <c r="N1831" s="21"/>
      <c r="O1831" s="21"/>
      <c r="T1831" s="21"/>
      <c r="AA1831" s="21"/>
    </row>
    <row r="1832" spans="7:27" x14ac:dyDescent="0.2">
      <c r="G1832" s="21"/>
      <c r="H1832" s="21"/>
      <c r="N1832" s="21"/>
      <c r="O1832" s="21"/>
      <c r="T1832" s="21"/>
      <c r="AA1832" s="21"/>
    </row>
    <row r="1833" spans="7:27" x14ac:dyDescent="0.2">
      <c r="G1833" s="21"/>
      <c r="H1833" s="21"/>
      <c r="N1833" s="21"/>
      <c r="O1833" s="21"/>
      <c r="T1833" s="21"/>
      <c r="AA1833" s="21"/>
    </row>
    <row r="1834" spans="7:27" x14ac:dyDescent="0.2">
      <c r="G1834" s="21"/>
      <c r="H1834" s="21"/>
      <c r="N1834" s="21"/>
      <c r="O1834" s="21"/>
      <c r="T1834" s="21"/>
      <c r="AA1834" s="21"/>
    </row>
    <row r="1835" spans="7:27" x14ac:dyDescent="0.2">
      <c r="G1835" s="21"/>
      <c r="H1835" s="21"/>
      <c r="N1835" s="21"/>
      <c r="O1835" s="21"/>
      <c r="T1835" s="21"/>
      <c r="AA1835" s="21"/>
    </row>
    <row r="1836" spans="7:27" x14ac:dyDescent="0.2">
      <c r="G1836" s="21"/>
      <c r="H1836" s="21"/>
      <c r="N1836" s="21"/>
      <c r="O1836" s="21"/>
      <c r="T1836" s="21"/>
      <c r="AA1836" s="21"/>
    </row>
    <row r="1837" spans="7:27" x14ac:dyDescent="0.2">
      <c r="G1837" s="21"/>
      <c r="H1837" s="21"/>
      <c r="N1837" s="21"/>
      <c r="O1837" s="21"/>
      <c r="T1837" s="21"/>
      <c r="AA1837" s="21"/>
    </row>
    <row r="1838" spans="7:27" x14ac:dyDescent="0.2">
      <c r="G1838" s="21"/>
      <c r="H1838" s="21"/>
      <c r="N1838" s="21"/>
      <c r="O1838" s="21"/>
      <c r="T1838" s="21"/>
      <c r="AA1838" s="21"/>
    </row>
    <row r="1839" spans="7:27" x14ac:dyDescent="0.2">
      <c r="G1839" s="21"/>
      <c r="H1839" s="21"/>
      <c r="N1839" s="21"/>
      <c r="O1839" s="21"/>
      <c r="T1839" s="21"/>
      <c r="AA1839" s="21"/>
    </row>
    <row r="1840" spans="7:27" x14ac:dyDescent="0.2">
      <c r="G1840" s="21"/>
      <c r="H1840" s="21"/>
      <c r="N1840" s="21"/>
      <c r="O1840" s="21"/>
      <c r="T1840" s="21"/>
      <c r="AA1840" s="21"/>
    </row>
    <row r="1841" spans="7:27" x14ac:dyDescent="0.2">
      <c r="G1841" s="21"/>
      <c r="H1841" s="21"/>
      <c r="N1841" s="21"/>
      <c r="O1841" s="21"/>
      <c r="T1841" s="21"/>
      <c r="AA1841" s="21"/>
    </row>
    <row r="1842" spans="7:27" x14ac:dyDescent="0.2">
      <c r="G1842" s="21"/>
      <c r="H1842" s="21"/>
      <c r="N1842" s="21"/>
      <c r="O1842" s="21"/>
      <c r="T1842" s="21"/>
      <c r="AA1842" s="21"/>
    </row>
    <row r="1843" spans="7:27" x14ac:dyDescent="0.2">
      <c r="G1843" s="21"/>
      <c r="H1843" s="21"/>
      <c r="N1843" s="21"/>
      <c r="O1843" s="21"/>
      <c r="T1843" s="21"/>
      <c r="AA1843" s="21"/>
    </row>
    <row r="1844" spans="7:27" x14ac:dyDescent="0.2">
      <c r="G1844" s="21"/>
      <c r="H1844" s="21"/>
      <c r="N1844" s="21"/>
      <c r="O1844" s="21"/>
      <c r="T1844" s="21"/>
      <c r="AA1844" s="21"/>
    </row>
    <row r="1845" spans="7:27" x14ac:dyDescent="0.2">
      <c r="G1845" s="21"/>
      <c r="H1845" s="21"/>
      <c r="N1845" s="21"/>
      <c r="O1845" s="21"/>
      <c r="T1845" s="21"/>
      <c r="AA1845" s="21"/>
    </row>
    <row r="1846" spans="7:27" x14ac:dyDescent="0.2">
      <c r="G1846" s="21"/>
      <c r="H1846" s="21"/>
      <c r="N1846" s="21"/>
      <c r="O1846" s="21"/>
      <c r="T1846" s="21"/>
      <c r="AA1846" s="21"/>
    </row>
    <row r="1847" spans="7:27" x14ac:dyDescent="0.2">
      <c r="G1847" s="21"/>
      <c r="H1847" s="21"/>
      <c r="N1847" s="21"/>
      <c r="O1847" s="21"/>
      <c r="T1847" s="21"/>
      <c r="AA1847" s="21"/>
    </row>
    <row r="1848" spans="7:27" x14ac:dyDescent="0.2">
      <c r="G1848" s="21"/>
      <c r="H1848" s="21"/>
      <c r="N1848" s="21"/>
      <c r="O1848" s="21"/>
      <c r="T1848" s="21"/>
      <c r="AA1848" s="21"/>
    </row>
    <row r="1849" spans="7:27" x14ac:dyDescent="0.2">
      <c r="G1849" s="21"/>
      <c r="H1849" s="21"/>
      <c r="N1849" s="21"/>
      <c r="O1849" s="21"/>
      <c r="T1849" s="21"/>
      <c r="AA1849" s="21"/>
    </row>
    <row r="1850" spans="7:27" x14ac:dyDescent="0.2">
      <c r="G1850" s="21"/>
      <c r="H1850" s="21"/>
      <c r="N1850" s="21"/>
      <c r="O1850" s="21"/>
      <c r="T1850" s="21"/>
      <c r="AA1850" s="21"/>
    </row>
    <row r="1851" spans="7:27" x14ac:dyDescent="0.2">
      <c r="G1851" s="21"/>
      <c r="H1851" s="21"/>
      <c r="N1851" s="21"/>
      <c r="O1851" s="21"/>
      <c r="T1851" s="21"/>
      <c r="AA1851" s="21"/>
    </row>
    <row r="1852" spans="7:27" x14ac:dyDescent="0.2">
      <c r="G1852" s="21"/>
      <c r="H1852" s="21"/>
      <c r="N1852" s="21"/>
      <c r="O1852" s="21"/>
      <c r="T1852" s="21"/>
      <c r="AA1852" s="21"/>
    </row>
    <row r="1853" spans="7:27" x14ac:dyDescent="0.2">
      <c r="G1853" s="21"/>
      <c r="H1853" s="21"/>
      <c r="N1853" s="21"/>
      <c r="O1853" s="21"/>
      <c r="T1853" s="21"/>
      <c r="AA1853" s="21"/>
    </row>
    <row r="1854" spans="7:27" x14ac:dyDescent="0.2">
      <c r="G1854" s="21"/>
      <c r="H1854" s="21"/>
      <c r="N1854" s="21"/>
      <c r="O1854" s="21"/>
      <c r="T1854" s="21"/>
      <c r="AA1854" s="21"/>
    </row>
    <row r="1855" spans="7:27" x14ac:dyDescent="0.2">
      <c r="G1855" s="21"/>
      <c r="H1855" s="21"/>
      <c r="N1855" s="21"/>
      <c r="O1855" s="21"/>
      <c r="T1855" s="21"/>
      <c r="AA1855" s="21"/>
    </row>
    <row r="1856" spans="7:27" x14ac:dyDescent="0.2">
      <c r="G1856" s="21"/>
      <c r="H1856" s="21"/>
      <c r="N1856" s="21"/>
      <c r="O1856" s="21"/>
      <c r="T1856" s="21"/>
      <c r="AA1856" s="21"/>
    </row>
    <row r="1857" spans="7:27" x14ac:dyDescent="0.2">
      <c r="G1857" s="21"/>
      <c r="H1857" s="21"/>
      <c r="N1857" s="21"/>
      <c r="O1857" s="21"/>
      <c r="T1857" s="21"/>
      <c r="AA1857" s="21"/>
    </row>
    <row r="1858" spans="7:27" x14ac:dyDescent="0.2">
      <c r="G1858" s="21"/>
      <c r="H1858" s="21"/>
      <c r="N1858" s="21"/>
      <c r="O1858" s="21"/>
      <c r="T1858" s="21"/>
      <c r="AA1858" s="21"/>
    </row>
    <row r="1859" spans="7:27" x14ac:dyDescent="0.2">
      <c r="G1859" s="21"/>
      <c r="H1859" s="21"/>
      <c r="N1859" s="21"/>
      <c r="O1859" s="21"/>
      <c r="T1859" s="21"/>
      <c r="AA1859" s="21"/>
    </row>
    <row r="1860" spans="7:27" x14ac:dyDescent="0.2">
      <c r="G1860" s="21"/>
      <c r="H1860" s="21"/>
      <c r="N1860" s="21"/>
      <c r="O1860" s="21"/>
      <c r="T1860" s="21"/>
      <c r="AA1860" s="21"/>
    </row>
    <row r="1861" spans="7:27" x14ac:dyDescent="0.2">
      <c r="G1861" s="21"/>
      <c r="H1861" s="21"/>
      <c r="N1861" s="21"/>
      <c r="O1861" s="21"/>
      <c r="T1861" s="21"/>
      <c r="AA1861" s="21"/>
    </row>
    <row r="1862" spans="7:27" x14ac:dyDescent="0.2">
      <c r="G1862" s="21"/>
      <c r="H1862" s="21"/>
      <c r="N1862" s="21"/>
      <c r="O1862" s="21"/>
      <c r="T1862" s="21"/>
      <c r="AA1862" s="21"/>
    </row>
    <row r="1863" spans="7:27" x14ac:dyDescent="0.2">
      <c r="G1863" s="21"/>
      <c r="H1863" s="21"/>
      <c r="N1863" s="21"/>
      <c r="O1863" s="21"/>
      <c r="T1863" s="21"/>
      <c r="AA1863" s="21"/>
    </row>
    <row r="1864" spans="7:27" x14ac:dyDescent="0.2">
      <c r="G1864" s="21"/>
      <c r="H1864" s="21"/>
      <c r="N1864" s="21"/>
      <c r="O1864" s="21"/>
      <c r="T1864" s="21"/>
      <c r="AA1864" s="21"/>
    </row>
    <row r="1865" spans="7:27" x14ac:dyDescent="0.2">
      <c r="G1865" s="21"/>
      <c r="H1865" s="21"/>
      <c r="N1865" s="21"/>
      <c r="O1865" s="21"/>
      <c r="T1865" s="21"/>
      <c r="AA1865" s="21"/>
    </row>
    <row r="1866" spans="7:27" x14ac:dyDescent="0.2">
      <c r="G1866" s="21"/>
      <c r="H1866" s="21"/>
      <c r="N1866" s="21"/>
      <c r="O1866" s="21"/>
      <c r="T1866" s="21"/>
      <c r="AA1866" s="21"/>
    </row>
    <row r="1867" spans="7:27" x14ac:dyDescent="0.2">
      <c r="G1867" s="21"/>
      <c r="H1867" s="21"/>
      <c r="N1867" s="21"/>
      <c r="O1867" s="21"/>
      <c r="T1867" s="21"/>
      <c r="AA1867" s="21"/>
    </row>
    <row r="1868" spans="7:27" x14ac:dyDescent="0.2">
      <c r="G1868" s="21"/>
      <c r="H1868" s="21"/>
      <c r="N1868" s="21"/>
      <c r="O1868" s="21"/>
      <c r="T1868" s="21"/>
      <c r="AA1868" s="21"/>
    </row>
    <row r="1869" spans="7:27" x14ac:dyDescent="0.2">
      <c r="G1869" s="21"/>
      <c r="H1869" s="21"/>
      <c r="N1869" s="21"/>
      <c r="O1869" s="21"/>
      <c r="T1869" s="21"/>
      <c r="AA1869" s="21"/>
    </row>
    <row r="1870" spans="7:27" x14ac:dyDescent="0.2">
      <c r="G1870" s="21"/>
      <c r="H1870" s="21"/>
      <c r="N1870" s="21"/>
      <c r="O1870" s="21"/>
      <c r="T1870" s="21"/>
      <c r="AA1870" s="21"/>
    </row>
    <row r="1871" spans="7:27" x14ac:dyDescent="0.2">
      <c r="G1871" s="21"/>
      <c r="H1871" s="21"/>
      <c r="N1871" s="21"/>
      <c r="O1871" s="21"/>
      <c r="T1871" s="21"/>
      <c r="AA1871" s="21"/>
    </row>
    <row r="1872" spans="7:27" x14ac:dyDescent="0.2">
      <c r="G1872" s="21"/>
      <c r="H1872" s="21"/>
      <c r="N1872" s="21"/>
      <c r="O1872" s="21"/>
      <c r="T1872" s="21"/>
      <c r="AA1872" s="21"/>
    </row>
    <row r="1873" spans="7:27" x14ac:dyDescent="0.2">
      <c r="G1873" s="21"/>
      <c r="H1873" s="21"/>
      <c r="N1873" s="21"/>
      <c r="O1873" s="21"/>
      <c r="T1873" s="21"/>
      <c r="AA1873" s="21"/>
    </row>
    <row r="1874" spans="7:27" x14ac:dyDescent="0.2">
      <c r="G1874" s="21"/>
      <c r="H1874" s="21"/>
      <c r="N1874" s="21"/>
      <c r="O1874" s="21"/>
      <c r="T1874" s="21"/>
      <c r="AA1874" s="21"/>
    </row>
    <row r="1875" spans="7:27" x14ac:dyDescent="0.2">
      <c r="G1875" s="21"/>
      <c r="H1875" s="21"/>
      <c r="N1875" s="21"/>
      <c r="O1875" s="21"/>
      <c r="T1875" s="21"/>
      <c r="AA1875" s="21"/>
    </row>
    <row r="1876" spans="7:27" x14ac:dyDescent="0.2">
      <c r="G1876" s="21"/>
      <c r="H1876" s="21"/>
      <c r="N1876" s="21"/>
      <c r="O1876" s="21"/>
      <c r="T1876" s="21"/>
      <c r="AA1876" s="21"/>
    </row>
    <row r="1877" spans="7:27" x14ac:dyDescent="0.2">
      <c r="G1877" s="21"/>
      <c r="H1877" s="21"/>
      <c r="N1877" s="21"/>
      <c r="O1877" s="21"/>
      <c r="T1877" s="21"/>
      <c r="AA1877" s="21"/>
    </row>
    <row r="1878" spans="7:27" x14ac:dyDescent="0.2">
      <c r="G1878" s="21"/>
      <c r="H1878" s="21"/>
      <c r="N1878" s="21"/>
      <c r="O1878" s="21"/>
      <c r="T1878" s="21"/>
      <c r="AA1878" s="21"/>
    </row>
    <row r="1879" spans="7:27" x14ac:dyDescent="0.2">
      <c r="G1879" s="21"/>
      <c r="H1879" s="21"/>
      <c r="N1879" s="21"/>
      <c r="O1879" s="21"/>
      <c r="T1879" s="21"/>
      <c r="AA1879" s="21"/>
    </row>
    <row r="1880" spans="7:27" x14ac:dyDescent="0.2">
      <c r="G1880" s="21"/>
      <c r="H1880" s="21"/>
      <c r="N1880" s="21"/>
      <c r="O1880" s="21"/>
      <c r="T1880" s="21"/>
      <c r="AA1880" s="21"/>
    </row>
    <row r="1881" spans="7:27" x14ac:dyDescent="0.2">
      <c r="G1881" s="21"/>
      <c r="H1881" s="21"/>
      <c r="N1881" s="21"/>
      <c r="O1881" s="21"/>
      <c r="T1881" s="21"/>
      <c r="AA1881" s="21"/>
    </row>
    <row r="1882" spans="7:27" x14ac:dyDescent="0.2">
      <c r="G1882" s="21"/>
      <c r="H1882" s="21"/>
      <c r="N1882" s="21"/>
      <c r="O1882" s="21"/>
      <c r="T1882" s="21"/>
      <c r="AA1882" s="21"/>
    </row>
    <row r="1883" spans="7:27" x14ac:dyDescent="0.2">
      <c r="G1883" s="21"/>
      <c r="H1883" s="21"/>
      <c r="N1883" s="21"/>
      <c r="O1883" s="21"/>
      <c r="T1883" s="21"/>
      <c r="AA1883" s="21"/>
    </row>
    <row r="1884" spans="7:27" x14ac:dyDescent="0.2">
      <c r="G1884" s="21"/>
      <c r="H1884" s="21"/>
      <c r="N1884" s="21"/>
      <c r="O1884" s="21"/>
      <c r="T1884" s="21"/>
      <c r="AA1884" s="21"/>
    </row>
    <row r="1885" spans="7:27" x14ac:dyDescent="0.2">
      <c r="G1885" s="21"/>
      <c r="H1885" s="21"/>
      <c r="N1885" s="21"/>
      <c r="O1885" s="21"/>
      <c r="T1885" s="21"/>
      <c r="AA1885" s="21"/>
    </row>
    <row r="1886" spans="7:27" x14ac:dyDescent="0.2">
      <c r="G1886" s="21"/>
      <c r="H1886" s="21"/>
      <c r="N1886" s="21"/>
      <c r="O1886" s="21"/>
      <c r="T1886" s="21"/>
      <c r="AA1886" s="21"/>
    </row>
    <row r="1887" spans="7:27" x14ac:dyDescent="0.2">
      <c r="G1887" s="21"/>
      <c r="H1887" s="21"/>
      <c r="N1887" s="21"/>
      <c r="O1887" s="21"/>
      <c r="T1887" s="21"/>
      <c r="AA1887" s="21"/>
    </row>
    <row r="1888" spans="7:27" x14ac:dyDescent="0.2">
      <c r="G1888" s="21"/>
      <c r="H1888" s="21"/>
      <c r="N1888" s="21"/>
      <c r="O1888" s="21"/>
      <c r="T1888" s="21"/>
      <c r="AA1888" s="21"/>
    </row>
    <row r="1889" spans="7:27" x14ac:dyDescent="0.2">
      <c r="G1889" s="21"/>
      <c r="H1889" s="21"/>
      <c r="N1889" s="21"/>
      <c r="O1889" s="21"/>
      <c r="T1889" s="21"/>
      <c r="AA1889" s="21"/>
    </row>
    <row r="1890" spans="7:27" x14ac:dyDescent="0.2">
      <c r="G1890" s="21"/>
      <c r="H1890" s="21"/>
      <c r="N1890" s="21"/>
      <c r="O1890" s="21"/>
      <c r="T1890" s="21"/>
      <c r="AA1890" s="21"/>
    </row>
    <row r="1891" spans="7:27" x14ac:dyDescent="0.2">
      <c r="G1891" s="21"/>
      <c r="H1891" s="21"/>
      <c r="N1891" s="21"/>
      <c r="O1891" s="21"/>
      <c r="T1891" s="21"/>
      <c r="AA1891" s="21"/>
    </row>
    <row r="1892" spans="7:27" x14ac:dyDescent="0.2">
      <c r="G1892" s="21"/>
      <c r="H1892" s="21"/>
      <c r="N1892" s="21"/>
      <c r="O1892" s="21"/>
      <c r="T1892" s="21"/>
      <c r="AA1892" s="21"/>
    </row>
    <row r="1893" spans="7:27" x14ac:dyDescent="0.2">
      <c r="G1893" s="21"/>
      <c r="H1893" s="21"/>
      <c r="N1893" s="21"/>
      <c r="O1893" s="21"/>
      <c r="T1893" s="21"/>
      <c r="AA1893" s="21"/>
    </row>
    <row r="1894" spans="7:27" x14ac:dyDescent="0.2">
      <c r="G1894" s="21"/>
      <c r="H1894" s="21"/>
      <c r="N1894" s="21"/>
      <c r="O1894" s="21"/>
      <c r="T1894" s="21"/>
      <c r="AA1894" s="21"/>
    </row>
    <row r="1895" spans="7:27" x14ac:dyDescent="0.2">
      <c r="G1895" s="21"/>
      <c r="H1895" s="21"/>
      <c r="N1895" s="21"/>
      <c r="O1895" s="21"/>
      <c r="T1895" s="21"/>
      <c r="AA1895" s="21"/>
    </row>
    <row r="1896" spans="7:27" x14ac:dyDescent="0.2">
      <c r="G1896" s="21"/>
      <c r="H1896" s="21"/>
      <c r="N1896" s="21"/>
      <c r="O1896" s="21"/>
      <c r="T1896" s="21"/>
      <c r="AA1896" s="21"/>
    </row>
    <row r="1897" spans="7:27" x14ac:dyDescent="0.2">
      <c r="G1897" s="21"/>
      <c r="H1897" s="21"/>
      <c r="N1897" s="21"/>
      <c r="O1897" s="21"/>
      <c r="T1897" s="21"/>
      <c r="AA1897" s="21"/>
    </row>
    <row r="1898" spans="7:27" x14ac:dyDescent="0.2">
      <c r="G1898" s="21"/>
      <c r="H1898" s="21"/>
      <c r="N1898" s="21"/>
      <c r="O1898" s="21"/>
      <c r="T1898" s="21"/>
      <c r="AA1898" s="21"/>
    </row>
    <row r="1899" spans="7:27" x14ac:dyDescent="0.2">
      <c r="G1899" s="21"/>
      <c r="H1899" s="21"/>
      <c r="N1899" s="21"/>
      <c r="O1899" s="21"/>
      <c r="T1899" s="21"/>
      <c r="AA1899" s="21"/>
    </row>
    <row r="1900" spans="7:27" x14ac:dyDescent="0.2">
      <c r="G1900" s="21"/>
      <c r="H1900" s="21"/>
      <c r="N1900" s="21"/>
      <c r="O1900" s="21"/>
      <c r="T1900" s="21"/>
      <c r="AA1900" s="21"/>
    </row>
    <row r="1901" spans="7:27" x14ac:dyDescent="0.2">
      <c r="G1901" s="21"/>
      <c r="H1901" s="21"/>
      <c r="N1901" s="21"/>
      <c r="O1901" s="21"/>
      <c r="T1901" s="21"/>
      <c r="AA1901" s="21"/>
    </row>
    <row r="1902" spans="7:27" x14ac:dyDescent="0.2">
      <c r="G1902" s="21"/>
      <c r="H1902" s="21"/>
      <c r="N1902" s="21"/>
      <c r="O1902" s="21"/>
      <c r="T1902" s="21"/>
      <c r="AA1902" s="21"/>
    </row>
    <row r="1903" spans="7:27" x14ac:dyDescent="0.2">
      <c r="G1903" s="21"/>
      <c r="H1903" s="21"/>
      <c r="N1903" s="21"/>
      <c r="O1903" s="21"/>
      <c r="T1903" s="21"/>
      <c r="AA1903" s="21"/>
    </row>
    <row r="1904" spans="7:27" x14ac:dyDescent="0.2">
      <c r="G1904" s="21"/>
      <c r="H1904" s="21"/>
      <c r="N1904" s="21"/>
      <c r="O1904" s="21"/>
      <c r="T1904" s="21"/>
      <c r="AA1904" s="21"/>
    </row>
    <row r="1905" spans="7:27" x14ac:dyDescent="0.2">
      <c r="G1905" s="21"/>
      <c r="H1905" s="21"/>
      <c r="N1905" s="21"/>
      <c r="O1905" s="21"/>
      <c r="T1905" s="21"/>
      <c r="AA1905" s="21"/>
    </row>
    <row r="1906" spans="7:27" x14ac:dyDescent="0.2">
      <c r="G1906" s="21"/>
      <c r="H1906" s="21"/>
      <c r="N1906" s="21"/>
      <c r="O1906" s="21"/>
      <c r="T1906" s="21"/>
      <c r="AA1906" s="21"/>
    </row>
    <row r="1907" spans="7:27" x14ac:dyDescent="0.2">
      <c r="G1907" s="21"/>
      <c r="H1907" s="21"/>
      <c r="N1907" s="21"/>
      <c r="O1907" s="21"/>
      <c r="T1907" s="21"/>
      <c r="AA1907" s="21"/>
    </row>
    <row r="1908" spans="7:27" x14ac:dyDescent="0.2">
      <c r="G1908" s="21"/>
      <c r="H1908" s="21"/>
      <c r="N1908" s="21"/>
      <c r="O1908" s="21"/>
      <c r="T1908" s="21"/>
      <c r="AA1908" s="21"/>
    </row>
    <row r="1909" spans="7:27" x14ac:dyDescent="0.2">
      <c r="G1909" s="21"/>
      <c r="H1909" s="21"/>
      <c r="N1909" s="21"/>
      <c r="O1909" s="21"/>
      <c r="T1909" s="21"/>
      <c r="AA1909" s="21"/>
    </row>
    <row r="1910" spans="7:27" x14ac:dyDescent="0.2">
      <c r="G1910" s="21"/>
      <c r="H1910" s="21"/>
      <c r="N1910" s="21"/>
      <c r="O1910" s="21"/>
      <c r="T1910" s="21"/>
      <c r="AA1910" s="21"/>
    </row>
    <row r="1911" spans="7:27" x14ac:dyDescent="0.2">
      <c r="G1911" s="21"/>
      <c r="H1911" s="21"/>
      <c r="N1911" s="21"/>
      <c r="O1911" s="21"/>
      <c r="T1911" s="21"/>
      <c r="AA1911" s="21"/>
    </row>
    <row r="1912" spans="7:27" x14ac:dyDescent="0.2">
      <c r="G1912" s="21"/>
      <c r="H1912" s="21"/>
      <c r="N1912" s="21"/>
      <c r="O1912" s="21"/>
      <c r="T1912" s="21"/>
      <c r="AA1912" s="21"/>
    </row>
    <row r="1913" spans="7:27" x14ac:dyDescent="0.2">
      <c r="G1913" s="21"/>
      <c r="H1913" s="21"/>
      <c r="N1913" s="21"/>
      <c r="O1913" s="21"/>
      <c r="T1913" s="21"/>
      <c r="AA1913" s="21"/>
    </row>
    <row r="1914" spans="7:27" x14ac:dyDescent="0.2">
      <c r="G1914" s="21"/>
      <c r="H1914" s="21"/>
      <c r="N1914" s="21"/>
      <c r="O1914" s="21"/>
      <c r="T1914" s="21"/>
      <c r="AA1914" s="21"/>
    </row>
    <row r="1915" spans="7:27" x14ac:dyDescent="0.2">
      <c r="G1915" s="21"/>
      <c r="H1915" s="21"/>
      <c r="N1915" s="21"/>
      <c r="O1915" s="21"/>
      <c r="T1915" s="21"/>
      <c r="AA1915" s="21"/>
    </row>
    <row r="1916" spans="7:27" x14ac:dyDescent="0.2">
      <c r="G1916" s="21"/>
      <c r="H1916" s="21"/>
      <c r="N1916" s="21"/>
      <c r="O1916" s="21"/>
      <c r="T1916" s="21"/>
      <c r="AA1916" s="21"/>
    </row>
    <row r="1917" spans="7:27" x14ac:dyDescent="0.2">
      <c r="G1917" s="21"/>
      <c r="H1917" s="21"/>
      <c r="N1917" s="21"/>
      <c r="O1917" s="21"/>
      <c r="T1917" s="21"/>
      <c r="AA1917" s="21"/>
    </row>
    <row r="1918" spans="7:27" x14ac:dyDescent="0.2">
      <c r="G1918" s="21"/>
      <c r="H1918" s="21"/>
      <c r="N1918" s="21"/>
      <c r="O1918" s="21"/>
      <c r="T1918" s="21"/>
      <c r="AA1918" s="21"/>
    </row>
    <row r="1919" spans="7:27" x14ac:dyDescent="0.2">
      <c r="G1919" s="21"/>
      <c r="H1919" s="21"/>
      <c r="N1919" s="21"/>
      <c r="O1919" s="21"/>
      <c r="T1919" s="21"/>
      <c r="AA1919" s="21"/>
    </row>
    <row r="1920" spans="7:27" x14ac:dyDescent="0.2">
      <c r="G1920" s="21"/>
      <c r="H1920" s="21"/>
      <c r="N1920" s="21"/>
      <c r="O1920" s="21"/>
      <c r="T1920" s="21"/>
      <c r="AA1920" s="21"/>
    </row>
    <row r="1921" spans="7:27" x14ac:dyDescent="0.2">
      <c r="G1921" s="21"/>
      <c r="H1921" s="21"/>
      <c r="N1921" s="21"/>
      <c r="O1921" s="21"/>
      <c r="T1921" s="21"/>
      <c r="AA1921" s="21"/>
    </row>
    <row r="1922" spans="7:27" x14ac:dyDescent="0.2">
      <c r="G1922" s="21"/>
      <c r="H1922" s="21"/>
      <c r="N1922" s="21"/>
      <c r="O1922" s="21"/>
      <c r="T1922" s="21"/>
      <c r="AA1922" s="21"/>
    </row>
    <row r="1923" spans="7:27" x14ac:dyDescent="0.2">
      <c r="G1923" s="21"/>
      <c r="H1923" s="21"/>
      <c r="N1923" s="21"/>
      <c r="O1923" s="21"/>
      <c r="T1923" s="21"/>
      <c r="AA1923" s="21"/>
    </row>
    <row r="1924" spans="7:27" x14ac:dyDescent="0.2">
      <c r="G1924" s="21"/>
      <c r="H1924" s="21"/>
      <c r="N1924" s="21"/>
      <c r="O1924" s="21"/>
      <c r="T1924" s="21"/>
      <c r="AA1924" s="21"/>
    </row>
    <row r="1925" spans="7:27" x14ac:dyDescent="0.2">
      <c r="G1925" s="21"/>
      <c r="H1925" s="21"/>
      <c r="N1925" s="21"/>
      <c r="O1925" s="21"/>
      <c r="T1925" s="21"/>
      <c r="AA1925" s="21"/>
    </row>
    <row r="1926" spans="7:27" x14ac:dyDescent="0.2">
      <c r="G1926" s="21"/>
      <c r="H1926" s="21"/>
      <c r="N1926" s="21"/>
      <c r="O1926" s="21"/>
      <c r="T1926" s="21"/>
      <c r="AA1926" s="21"/>
    </row>
    <row r="1927" spans="7:27" x14ac:dyDescent="0.2">
      <c r="G1927" s="21"/>
      <c r="H1927" s="21"/>
      <c r="N1927" s="21"/>
      <c r="O1927" s="21"/>
      <c r="T1927" s="21"/>
      <c r="AA1927" s="21"/>
    </row>
    <row r="1928" spans="7:27" x14ac:dyDescent="0.2">
      <c r="G1928" s="21"/>
      <c r="H1928" s="21"/>
      <c r="N1928" s="21"/>
      <c r="O1928" s="21"/>
      <c r="T1928" s="21"/>
      <c r="AA1928" s="21"/>
    </row>
    <row r="1929" spans="7:27" x14ac:dyDescent="0.2">
      <c r="G1929" s="21"/>
      <c r="H1929" s="21"/>
      <c r="N1929" s="21"/>
      <c r="O1929" s="21"/>
      <c r="T1929" s="21"/>
      <c r="AA1929" s="21"/>
    </row>
    <row r="1930" spans="7:27" x14ac:dyDescent="0.2">
      <c r="G1930" s="21"/>
      <c r="H1930" s="21"/>
      <c r="N1930" s="21"/>
      <c r="O1930" s="21"/>
      <c r="T1930" s="21"/>
      <c r="AA1930" s="21"/>
    </row>
    <row r="1931" spans="7:27" x14ac:dyDescent="0.2">
      <c r="G1931" s="21"/>
      <c r="H1931" s="21"/>
      <c r="N1931" s="21"/>
      <c r="O1931" s="21"/>
      <c r="T1931" s="21"/>
      <c r="AA1931" s="21"/>
    </row>
    <row r="1932" spans="7:27" x14ac:dyDescent="0.2">
      <c r="G1932" s="21"/>
      <c r="H1932" s="21"/>
      <c r="N1932" s="21"/>
      <c r="O1932" s="21"/>
      <c r="T1932" s="21"/>
      <c r="AA1932" s="21"/>
    </row>
    <row r="1933" spans="7:27" x14ac:dyDescent="0.2">
      <c r="G1933" s="21"/>
      <c r="H1933" s="21"/>
      <c r="N1933" s="21"/>
      <c r="O1933" s="21"/>
      <c r="T1933" s="21"/>
      <c r="AA1933" s="21"/>
    </row>
    <row r="1934" spans="7:27" x14ac:dyDescent="0.2">
      <c r="G1934" s="21"/>
      <c r="H1934" s="21"/>
      <c r="N1934" s="21"/>
      <c r="O1934" s="21"/>
      <c r="T1934" s="21"/>
      <c r="AA1934" s="21"/>
    </row>
    <row r="1935" spans="7:27" x14ac:dyDescent="0.2">
      <c r="G1935" s="21"/>
      <c r="H1935" s="21"/>
      <c r="N1935" s="21"/>
      <c r="O1935" s="21"/>
      <c r="T1935" s="21"/>
      <c r="AA1935" s="21"/>
    </row>
    <row r="1936" spans="7:27" x14ac:dyDescent="0.2">
      <c r="G1936" s="21"/>
      <c r="H1936" s="21"/>
      <c r="N1936" s="21"/>
      <c r="O1936" s="21"/>
      <c r="T1936" s="21"/>
      <c r="AA1936" s="21"/>
    </row>
    <row r="1937" spans="7:27" x14ac:dyDescent="0.2">
      <c r="G1937" s="21"/>
      <c r="H1937" s="21"/>
      <c r="N1937" s="21"/>
      <c r="O1937" s="21"/>
      <c r="T1937" s="21"/>
      <c r="AA1937" s="21"/>
    </row>
    <row r="1938" spans="7:27" x14ac:dyDescent="0.2">
      <c r="G1938" s="21"/>
      <c r="H1938" s="21"/>
      <c r="N1938" s="21"/>
      <c r="O1938" s="21"/>
      <c r="T1938" s="21"/>
      <c r="AA1938" s="21"/>
    </row>
    <row r="1939" spans="7:27" x14ac:dyDescent="0.2">
      <c r="G1939" s="21"/>
      <c r="H1939" s="21"/>
      <c r="N1939" s="21"/>
      <c r="O1939" s="21"/>
      <c r="T1939" s="21"/>
      <c r="AA1939" s="21"/>
    </row>
    <row r="1940" spans="7:27" x14ac:dyDescent="0.2">
      <c r="G1940" s="21"/>
      <c r="H1940" s="21"/>
      <c r="N1940" s="21"/>
      <c r="O1940" s="21"/>
      <c r="T1940" s="21"/>
      <c r="AA1940" s="21"/>
    </row>
    <row r="1941" spans="7:27" x14ac:dyDescent="0.2">
      <c r="G1941" s="21"/>
      <c r="H1941" s="21"/>
      <c r="N1941" s="21"/>
      <c r="O1941" s="21"/>
      <c r="T1941" s="21"/>
      <c r="AA1941" s="21"/>
    </row>
    <row r="1942" spans="7:27" x14ac:dyDescent="0.2">
      <c r="G1942" s="21"/>
      <c r="H1942" s="21"/>
      <c r="N1942" s="21"/>
      <c r="O1942" s="21"/>
      <c r="T1942" s="21"/>
      <c r="AA1942" s="21"/>
    </row>
    <row r="1943" spans="7:27" x14ac:dyDescent="0.2">
      <c r="G1943" s="21"/>
      <c r="H1943" s="21"/>
      <c r="N1943" s="21"/>
      <c r="O1943" s="21"/>
      <c r="T1943" s="21"/>
      <c r="AA1943" s="21"/>
    </row>
    <row r="1944" spans="7:27" x14ac:dyDescent="0.2">
      <c r="G1944" s="21"/>
      <c r="H1944" s="21"/>
      <c r="N1944" s="21"/>
      <c r="O1944" s="21"/>
      <c r="T1944" s="21"/>
      <c r="AA1944" s="21"/>
    </row>
    <row r="1945" spans="7:27" x14ac:dyDescent="0.2">
      <c r="G1945" s="21"/>
      <c r="H1945" s="21"/>
      <c r="N1945" s="21"/>
      <c r="O1945" s="21"/>
      <c r="T1945" s="21"/>
      <c r="AA1945" s="21"/>
    </row>
    <row r="1946" spans="7:27" x14ac:dyDescent="0.2">
      <c r="G1946" s="21"/>
      <c r="H1946" s="21"/>
      <c r="N1946" s="21"/>
      <c r="O1946" s="21"/>
      <c r="T1946" s="21"/>
      <c r="AA1946" s="21"/>
    </row>
    <row r="1947" spans="7:27" x14ac:dyDescent="0.2">
      <c r="G1947" s="21"/>
      <c r="H1947" s="21"/>
      <c r="N1947" s="21"/>
      <c r="O1947" s="21"/>
      <c r="T1947" s="21"/>
      <c r="AA1947" s="21"/>
    </row>
    <row r="1948" spans="7:27" x14ac:dyDescent="0.2">
      <c r="G1948" s="21"/>
      <c r="H1948" s="21"/>
      <c r="N1948" s="21"/>
      <c r="O1948" s="21"/>
      <c r="T1948" s="21"/>
      <c r="AA1948" s="21"/>
    </row>
    <row r="1949" spans="7:27" x14ac:dyDescent="0.2">
      <c r="G1949" s="21"/>
      <c r="H1949" s="21"/>
      <c r="N1949" s="21"/>
      <c r="O1949" s="21"/>
      <c r="T1949" s="21"/>
      <c r="AA1949" s="21"/>
    </row>
    <row r="1950" spans="7:27" x14ac:dyDescent="0.2">
      <c r="G1950" s="21"/>
      <c r="H1950" s="21"/>
      <c r="N1950" s="21"/>
      <c r="O1950" s="21"/>
      <c r="T1950" s="21"/>
      <c r="AA1950" s="21"/>
    </row>
    <row r="1951" spans="7:27" x14ac:dyDescent="0.2">
      <c r="G1951" s="21"/>
      <c r="H1951" s="21"/>
      <c r="N1951" s="21"/>
      <c r="O1951" s="21"/>
      <c r="T1951" s="21"/>
      <c r="AA1951" s="21"/>
    </row>
    <row r="1952" spans="7:27" x14ac:dyDescent="0.2">
      <c r="G1952" s="21"/>
      <c r="H1952" s="21"/>
      <c r="N1952" s="21"/>
      <c r="O1952" s="21"/>
      <c r="T1952" s="21"/>
      <c r="AA1952" s="21"/>
    </row>
    <row r="1953" spans="7:27" x14ac:dyDescent="0.2">
      <c r="G1953" s="21"/>
      <c r="H1953" s="21"/>
      <c r="N1953" s="21"/>
      <c r="O1953" s="21"/>
      <c r="T1953" s="21"/>
      <c r="AA1953" s="21"/>
    </row>
    <row r="1954" spans="7:27" x14ac:dyDescent="0.2">
      <c r="G1954" s="21"/>
      <c r="H1954" s="21"/>
      <c r="N1954" s="21"/>
      <c r="O1954" s="21"/>
      <c r="T1954" s="21"/>
      <c r="AA1954" s="21"/>
    </row>
    <row r="1955" spans="7:27" x14ac:dyDescent="0.2">
      <c r="G1955" s="21"/>
      <c r="H1955" s="21"/>
      <c r="N1955" s="21"/>
      <c r="O1955" s="21"/>
      <c r="T1955" s="21"/>
      <c r="AA1955" s="21"/>
    </row>
    <row r="1956" spans="7:27" x14ac:dyDescent="0.2">
      <c r="G1956" s="21"/>
      <c r="H1956" s="21"/>
      <c r="N1956" s="21"/>
      <c r="O1956" s="21"/>
      <c r="T1956" s="21"/>
      <c r="AA1956" s="21"/>
    </row>
    <row r="1957" spans="7:27" x14ac:dyDescent="0.2">
      <c r="G1957" s="21"/>
      <c r="H1957" s="21"/>
      <c r="N1957" s="21"/>
      <c r="O1957" s="21"/>
      <c r="T1957" s="21"/>
      <c r="AA1957" s="21"/>
    </row>
    <row r="1958" spans="7:27" x14ac:dyDescent="0.2">
      <c r="G1958" s="21"/>
      <c r="H1958" s="21"/>
      <c r="N1958" s="21"/>
      <c r="O1958" s="21"/>
      <c r="T1958" s="21"/>
      <c r="AA1958" s="21"/>
    </row>
    <row r="1959" spans="7:27" x14ac:dyDescent="0.2">
      <c r="G1959" s="21"/>
      <c r="H1959" s="21"/>
      <c r="N1959" s="21"/>
      <c r="O1959" s="21"/>
      <c r="T1959" s="21"/>
      <c r="AA1959" s="21"/>
    </row>
    <row r="1960" spans="7:27" x14ac:dyDescent="0.2">
      <c r="G1960" s="21"/>
      <c r="H1960" s="21"/>
      <c r="N1960" s="21"/>
      <c r="O1960" s="21"/>
      <c r="T1960" s="21"/>
      <c r="AA1960" s="21"/>
    </row>
    <row r="1961" spans="7:27" x14ac:dyDescent="0.2">
      <c r="G1961" s="21"/>
      <c r="H1961" s="21"/>
      <c r="N1961" s="21"/>
      <c r="O1961" s="21"/>
      <c r="T1961" s="21"/>
      <c r="AA1961" s="21"/>
    </row>
    <row r="1962" spans="7:27" x14ac:dyDescent="0.2">
      <c r="G1962" s="21"/>
      <c r="H1962" s="21"/>
      <c r="N1962" s="21"/>
      <c r="O1962" s="21"/>
      <c r="T1962" s="21"/>
      <c r="AA1962" s="21"/>
    </row>
    <row r="1963" spans="7:27" x14ac:dyDescent="0.2">
      <c r="G1963" s="21"/>
      <c r="H1963" s="21"/>
      <c r="N1963" s="21"/>
      <c r="O1963" s="21"/>
      <c r="T1963" s="21"/>
      <c r="AA1963" s="21"/>
    </row>
    <row r="1964" spans="7:27" x14ac:dyDescent="0.2">
      <c r="G1964" s="21"/>
      <c r="H1964" s="21"/>
      <c r="N1964" s="21"/>
      <c r="O1964" s="21"/>
      <c r="T1964" s="21"/>
      <c r="AA1964" s="21"/>
    </row>
    <row r="1965" spans="7:27" x14ac:dyDescent="0.2">
      <c r="G1965" s="21"/>
      <c r="H1965" s="21"/>
      <c r="N1965" s="21"/>
      <c r="O1965" s="21"/>
      <c r="T1965" s="21"/>
      <c r="AA1965" s="21"/>
    </row>
    <row r="1966" spans="7:27" x14ac:dyDescent="0.2">
      <c r="G1966" s="21"/>
      <c r="H1966" s="21"/>
      <c r="N1966" s="21"/>
      <c r="O1966" s="21"/>
      <c r="T1966" s="21"/>
      <c r="AA1966" s="21"/>
    </row>
    <row r="1967" spans="7:27" x14ac:dyDescent="0.2">
      <c r="G1967" s="21"/>
      <c r="H1967" s="21"/>
      <c r="N1967" s="21"/>
      <c r="O1967" s="21"/>
      <c r="T1967" s="21"/>
      <c r="AA1967" s="21"/>
    </row>
    <row r="1968" spans="7:27" x14ac:dyDescent="0.2">
      <c r="G1968" s="21"/>
      <c r="H1968" s="21"/>
      <c r="N1968" s="21"/>
      <c r="O1968" s="21"/>
      <c r="T1968" s="21"/>
      <c r="AA1968" s="21"/>
    </row>
    <row r="1969" spans="7:27" x14ac:dyDescent="0.2">
      <c r="G1969" s="21"/>
      <c r="H1969" s="21"/>
      <c r="N1969" s="21"/>
      <c r="O1969" s="21"/>
      <c r="T1969" s="21"/>
      <c r="AA1969" s="21"/>
    </row>
    <row r="1970" spans="7:27" x14ac:dyDescent="0.2">
      <c r="G1970" s="21"/>
      <c r="H1970" s="21"/>
      <c r="N1970" s="21"/>
      <c r="O1970" s="21"/>
      <c r="T1970" s="21"/>
      <c r="AA1970" s="21"/>
    </row>
    <row r="1971" spans="7:27" x14ac:dyDescent="0.2">
      <c r="G1971" s="21"/>
      <c r="H1971" s="21"/>
      <c r="N1971" s="21"/>
      <c r="O1971" s="21"/>
      <c r="T1971" s="21"/>
      <c r="AA1971" s="21"/>
    </row>
    <row r="1972" spans="7:27" x14ac:dyDescent="0.2">
      <c r="G1972" s="21"/>
      <c r="H1972" s="21"/>
      <c r="N1972" s="21"/>
      <c r="O1972" s="21"/>
      <c r="T1972" s="21"/>
      <c r="AA1972" s="21"/>
    </row>
    <row r="1973" spans="7:27" x14ac:dyDescent="0.2">
      <c r="G1973" s="21"/>
      <c r="H1973" s="21"/>
      <c r="N1973" s="21"/>
      <c r="O1973" s="21"/>
      <c r="T1973" s="21"/>
      <c r="AA1973" s="21"/>
    </row>
    <row r="1974" spans="7:27" x14ac:dyDescent="0.2">
      <c r="G1974" s="21"/>
      <c r="H1974" s="21"/>
      <c r="N1974" s="21"/>
      <c r="O1974" s="21"/>
      <c r="T1974" s="21"/>
      <c r="AA1974" s="21"/>
    </row>
    <row r="1975" spans="7:27" x14ac:dyDescent="0.2">
      <c r="G1975" s="21"/>
      <c r="H1975" s="21"/>
      <c r="N1975" s="21"/>
      <c r="O1975" s="21"/>
      <c r="T1975" s="21"/>
      <c r="AA1975" s="21"/>
    </row>
    <row r="1976" spans="7:27" x14ac:dyDescent="0.2">
      <c r="G1976" s="21"/>
      <c r="H1976" s="21"/>
      <c r="N1976" s="21"/>
      <c r="O1976" s="21"/>
      <c r="T1976" s="21"/>
      <c r="AA1976" s="21"/>
    </row>
    <row r="1977" spans="7:27" x14ac:dyDescent="0.2">
      <c r="G1977" s="21"/>
      <c r="H1977" s="21"/>
      <c r="N1977" s="21"/>
      <c r="O1977" s="21"/>
      <c r="T1977" s="21"/>
      <c r="AA1977" s="21"/>
    </row>
    <row r="1978" spans="7:27" x14ac:dyDescent="0.2">
      <c r="G1978" s="21"/>
      <c r="H1978" s="21"/>
      <c r="N1978" s="21"/>
      <c r="O1978" s="21"/>
      <c r="T1978" s="21"/>
      <c r="AA1978" s="21"/>
    </row>
    <row r="1979" spans="7:27" x14ac:dyDescent="0.2">
      <c r="G1979" s="21"/>
      <c r="H1979" s="21"/>
      <c r="N1979" s="21"/>
      <c r="O1979" s="21"/>
      <c r="T1979" s="21"/>
      <c r="AA1979" s="21"/>
    </row>
    <row r="1980" spans="7:27" x14ac:dyDescent="0.2">
      <c r="G1980" s="21"/>
      <c r="H1980" s="21"/>
      <c r="N1980" s="21"/>
      <c r="O1980" s="21"/>
      <c r="T1980" s="21"/>
      <c r="AA1980" s="21"/>
    </row>
    <row r="1981" spans="7:27" x14ac:dyDescent="0.2">
      <c r="G1981" s="21"/>
      <c r="H1981" s="21"/>
      <c r="N1981" s="21"/>
      <c r="O1981" s="21"/>
      <c r="T1981" s="21"/>
      <c r="AA1981" s="21"/>
    </row>
    <row r="1982" spans="7:27" x14ac:dyDescent="0.2">
      <c r="G1982" s="21"/>
      <c r="H1982" s="21"/>
      <c r="N1982" s="21"/>
      <c r="O1982" s="21"/>
      <c r="T1982" s="21"/>
      <c r="AA1982" s="21"/>
    </row>
    <row r="1983" spans="7:27" x14ac:dyDescent="0.2">
      <c r="G1983" s="21"/>
      <c r="H1983" s="21"/>
      <c r="N1983" s="21"/>
      <c r="O1983" s="21"/>
      <c r="T1983" s="21"/>
      <c r="AA1983" s="21"/>
    </row>
    <row r="1984" spans="7:27" x14ac:dyDescent="0.2">
      <c r="G1984" s="21"/>
      <c r="H1984" s="21"/>
      <c r="N1984" s="21"/>
      <c r="O1984" s="21"/>
      <c r="T1984" s="21"/>
      <c r="AA1984" s="21"/>
    </row>
    <row r="1985" spans="7:27" x14ac:dyDescent="0.2">
      <c r="G1985" s="21"/>
      <c r="H1985" s="21"/>
      <c r="N1985" s="21"/>
      <c r="O1985" s="21"/>
      <c r="T1985" s="21"/>
      <c r="AA1985" s="21"/>
    </row>
    <row r="1986" spans="7:27" x14ac:dyDescent="0.2">
      <c r="G1986" s="21"/>
      <c r="H1986" s="21"/>
      <c r="N1986" s="21"/>
      <c r="O1986" s="21"/>
      <c r="T1986" s="21"/>
      <c r="AA1986" s="21"/>
    </row>
    <row r="1987" spans="7:27" x14ac:dyDescent="0.2">
      <c r="G1987" s="21"/>
      <c r="H1987" s="21"/>
      <c r="N1987" s="21"/>
      <c r="O1987" s="21"/>
      <c r="T1987" s="21"/>
      <c r="AA1987" s="21"/>
    </row>
    <row r="1988" spans="7:27" x14ac:dyDescent="0.2">
      <c r="G1988" s="21"/>
      <c r="H1988" s="21"/>
      <c r="N1988" s="21"/>
      <c r="O1988" s="21"/>
      <c r="T1988" s="21"/>
      <c r="AA1988" s="21"/>
    </row>
    <row r="1989" spans="7:27" x14ac:dyDescent="0.2">
      <c r="G1989" s="21"/>
      <c r="H1989" s="21"/>
      <c r="N1989" s="21"/>
      <c r="O1989" s="21"/>
      <c r="T1989" s="21"/>
      <c r="AA1989" s="21"/>
    </row>
    <row r="1990" spans="7:27" x14ac:dyDescent="0.2">
      <c r="G1990" s="21"/>
      <c r="H1990" s="21"/>
      <c r="N1990" s="21"/>
      <c r="O1990" s="21"/>
      <c r="T1990" s="21"/>
      <c r="AA1990" s="21"/>
    </row>
    <row r="1991" spans="7:27" x14ac:dyDescent="0.2">
      <c r="G1991" s="21"/>
      <c r="H1991" s="21"/>
      <c r="N1991" s="21"/>
      <c r="O1991" s="21"/>
      <c r="T1991" s="21"/>
      <c r="AA1991" s="21"/>
    </row>
    <row r="1992" spans="7:27" x14ac:dyDescent="0.2">
      <c r="G1992" s="21"/>
      <c r="H1992" s="21"/>
      <c r="N1992" s="21"/>
      <c r="O1992" s="21"/>
      <c r="T1992" s="21"/>
      <c r="AA1992" s="21"/>
    </row>
    <row r="1993" spans="7:27" x14ac:dyDescent="0.2">
      <c r="G1993" s="21"/>
      <c r="H1993" s="21"/>
      <c r="N1993" s="21"/>
      <c r="O1993" s="21"/>
      <c r="T1993" s="21"/>
      <c r="AA1993" s="21"/>
    </row>
    <row r="1994" spans="7:27" x14ac:dyDescent="0.2">
      <c r="G1994" s="21"/>
      <c r="H1994" s="21"/>
      <c r="N1994" s="21"/>
      <c r="O1994" s="21"/>
      <c r="T1994" s="21"/>
      <c r="AA1994" s="21"/>
    </row>
    <row r="1995" spans="7:27" x14ac:dyDescent="0.2">
      <c r="G1995" s="21"/>
      <c r="H1995" s="21"/>
      <c r="N1995" s="21"/>
      <c r="O1995" s="21"/>
      <c r="T1995" s="21"/>
      <c r="AA1995" s="21"/>
    </row>
    <row r="1996" spans="7:27" x14ac:dyDescent="0.2">
      <c r="G1996" s="21"/>
      <c r="H1996" s="21"/>
      <c r="N1996" s="21"/>
      <c r="O1996" s="21"/>
      <c r="T1996" s="21"/>
      <c r="AA1996" s="21"/>
    </row>
    <row r="1997" spans="7:27" x14ac:dyDescent="0.2">
      <c r="G1997" s="21"/>
      <c r="H1997" s="21"/>
      <c r="N1997" s="21"/>
      <c r="O1997" s="21"/>
      <c r="T1997" s="21"/>
      <c r="AA1997" s="21"/>
    </row>
    <row r="1998" spans="7:27" x14ac:dyDescent="0.2">
      <c r="G1998" s="21"/>
      <c r="H1998" s="21"/>
      <c r="N1998" s="21"/>
      <c r="O1998" s="21"/>
      <c r="T1998" s="21"/>
      <c r="AA1998" s="21"/>
    </row>
    <row r="1999" spans="7:27" x14ac:dyDescent="0.2">
      <c r="G1999" s="21"/>
      <c r="H1999" s="21"/>
      <c r="N1999" s="21"/>
      <c r="O1999" s="21"/>
      <c r="T1999" s="21"/>
      <c r="AA1999" s="21"/>
    </row>
    <row r="2000" spans="7:27" x14ac:dyDescent="0.2">
      <c r="G2000" s="21"/>
      <c r="H2000" s="21"/>
      <c r="N2000" s="21"/>
      <c r="O2000" s="21"/>
      <c r="T2000" s="21"/>
      <c r="AA2000" s="21"/>
    </row>
    <row r="2001" spans="7:27" x14ac:dyDescent="0.2">
      <c r="G2001" s="21"/>
      <c r="H2001" s="21"/>
      <c r="N2001" s="21"/>
      <c r="O2001" s="21"/>
      <c r="T2001" s="21"/>
      <c r="AA2001" s="21"/>
    </row>
    <row r="2002" spans="7:27" x14ac:dyDescent="0.2">
      <c r="G2002" s="21"/>
      <c r="H2002" s="21"/>
      <c r="N2002" s="21"/>
      <c r="O2002" s="21"/>
      <c r="T2002" s="21"/>
      <c r="AA2002" s="21"/>
    </row>
    <row r="2003" spans="7:27" x14ac:dyDescent="0.2">
      <c r="G2003" s="21"/>
      <c r="H2003" s="21"/>
      <c r="N2003" s="21"/>
      <c r="O2003" s="21"/>
      <c r="T2003" s="21"/>
      <c r="AA2003" s="21"/>
    </row>
    <row r="2004" spans="7:27" x14ac:dyDescent="0.2">
      <c r="G2004" s="21"/>
      <c r="H2004" s="21"/>
      <c r="N2004" s="21"/>
      <c r="O2004" s="21"/>
      <c r="T2004" s="21"/>
      <c r="AA2004" s="21"/>
    </row>
    <row r="2005" spans="7:27" x14ac:dyDescent="0.2">
      <c r="G2005" s="21"/>
      <c r="H2005" s="21"/>
      <c r="N2005" s="21"/>
      <c r="O2005" s="21"/>
      <c r="T2005" s="21"/>
      <c r="AA2005" s="21"/>
    </row>
    <row r="2006" spans="7:27" x14ac:dyDescent="0.2">
      <c r="G2006" s="21"/>
      <c r="H2006" s="21"/>
      <c r="N2006" s="21"/>
      <c r="O2006" s="21"/>
      <c r="T2006" s="21"/>
      <c r="AA2006" s="21"/>
    </row>
    <row r="2007" spans="7:27" x14ac:dyDescent="0.2">
      <c r="G2007" s="21"/>
      <c r="H2007" s="21"/>
      <c r="N2007" s="21"/>
      <c r="O2007" s="21"/>
      <c r="T2007" s="21"/>
      <c r="AA2007" s="21"/>
    </row>
    <row r="2008" spans="7:27" x14ac:dyDescent="0.2">
      <c r="G2008" s="21"/>
      <c r="H2008" s="21"/>
      <c r="N2008" s="21"/>
      <c r="O2008" s="21"/>
      <c r="T2008" s="21"/>
      <c r="AA2008" s="21"/>
    </row>
    <row r="2009" spans="7:27" x14ac:dyDescent="0.2">
      <c r="G2009" s="21"/>
      <c r="H2009" s="21"/>
      <c r="N2009" s="21"/>
      <c r="O2009" s="21"/>
      <c r="T2009" s="21"/>
      <c r="AA2009" s="21"/>
    </row>
    <row r="2010" spans="7:27" x14ac:dyDescent="0.2">
      <c r="G2010" s="21"/>
      <c r="H2010" s="21"/>
      <c r="N2010" s="21"/>
      <c r="O2010" s="21"/>
      <c r="T2010" s="21"/>
      <c r="AA2010" s="21"/>
    </row>
    <row r="2011" spans="7:27" x14ac:dyDescent="0.2">
      <c r="G2011" s="21"/>
      <c r="H2011" s="21"/>
      <c r="N2011" s="21"/>
      <c r="O2011" s="21"/>
      <c r="T2011" s="21"/>
      <c r="AA2011" s="21"/>
    </row>
    <row r="2012" spans="7:27" x14ac:dyDescent="0.2">
      <c r="G2012" s="21"/>
      <c r="H2012" s="21"/>
      <c r="N2012" s="21"/>
      <c r="O2012" s="21"/>
      <c r="T2012" s="21"/>
      <c r="AA2012" s="21"/>
    </row>
    <row r="2013" spans="7:27" x14ac:dyDescent="0.2">
      <c r="G2013" s="21"/>
      <c r="H2013" s="21"/>
      <c r="N2013" s="21"/>
      <c r="O2013" s="21"/>
      <c r="T2013" s="21"/>
      <c r="AA2013" s="21"/>
    </row>
    <row r="2014" spans="7:27" x14ac:dyDescent="0.2">
      <c r="G2014" s="21"/>
      <c r="H2014" s="21"/>
      <c r="N2014" s="21"/>
      <c r="O2014" s="21"/>
      <c r="T2014" s="21"/>
      <c r="AA2014" s="21"/>
    </row>
    <row r="2015" spans="7:27" x14ac:dyDescent="0.2">
      <c r="G2015" s="21"/>
      <c r="H2015" s="21"/>
      <c r="N2015" s="21"/>
      <c r="O2015" s="21"/>
      <c r="T2015" s="21"/>
      <c r="AA2015" s="21"/>
    </row>
    <row r="2016" spans="7:27" x14ac:dyDescent="0.2">
      <c r="G2016" s="21"/>
      <c r="H2016" s="21"/>
      <c r="N2016" s="21"/>
      <c r="O2016" s="21"/>
      <c r="T2016" s="21"/>
      <c r="AA2016" s="21"/>
    </row>
    <row r="2017" spans="7:27" x14ac:dyDescent="0.2">
      <c r="G2017" s="21"/>
      <c r="H2017" s="21"/>
      <c r="N2017" s="21"/>
      <c r="O2017" s="21"/>
      <c r="T2017" s="21"/>
      <c r="AA2017" s="21"/>
    </row>
    <row r="2018" spans="7:27" x14ac:dyDescent="0.2">
      <c r="G2018" s="21"/>
      <c r="H2018" s="21"/>
      <c r="N2018" s="21"/>
      <c r="O2018" s="21"/>
      <c r="T2018" s="21"/>
      <c r="AA2018" s="21"/>
    </row>
    <row r="2019" spans="7:27" x14ac:dyDescent="0.2">
      <c r="G2019" s="21"/>
      <c r="H2019" s="21"/>
      <c r="N2019" s="21"/>
      <c r="O2019" s="21"/>
      <c r="T2019" s="21"/>
      <c r="AA2019" s="21"/>
    </row>
    <row r="2020" spans="7:27" x14ac:dyDescent="0.2">
      <c r="G2020" s="21"/>
      <c r="H2020" s="21"/>
      <c r="N2020" s="21"/>
      <c r="O2020" s="21"/>
      <c r="T2020" s="21"/>
      <c r="AA2020" s="21"/>
    </row>
    <row r="2021" spans="7:27" x14ac:dyDescent="0.2">
      <c r="G2021" s="21"/>
      <c r="H2021" s="21"/>
      <c r="N2021" s="21"/>
      <c r="O2021" s="21"/>
      <c r="T2021" s="21"/>
      <c r="AA2021" s="21"/>
    </row>
    <row r="2022" spans="7:27" x14ac:dyDescent="0.2">
      <c r="G2022" s="21"/>
      <c r="H2022" s="21"/>
      <c r="N2022" s="21"/>
      <c r="O2022" s="21"/>
      <c r="T2022" s="21"/>
      <c r="AA2022" s="21"/>
    </row>
    <row r="2023" spans="7:27" x14ac:dyDescent="0.2">
      <c r="G2023" s="21"/>
      <c r="H2023" s="21"/>
      <c r="N2023" s="21"/>
      <c r="O2023" s="21"/>
      <c r="T2023" s="21"/>
      <c r="AA2023" s="21"/>
    </row>
    <row r="2024" spans="7:27" x14ac:dyDescent="0.2">
      <c r="G2024" s="21"/>
      <c r="H2024" s="21"/>
      <c r="N2024" s="21"/>
      <c r="O2024" s="21"/>
      <c r="T2024" s="21"/>
      <c r="AA2024" s="21"/>
    </row>
    <row r="2025" spans="7:27" x14ac:dyDescent="0.2">
      <c r="G2025" s="21"/>
      <c r="H2025" s="21"/>
      <c r="N2025" s="21"/>
      <c r="O2025" s="21"/>
      <c r="T2025" s="21"/>
      <c r="AA2025" s="21"/>
    </row>
    <row r="2026" spans="7:27" x14ac:dyDescent="0.2">
      <c r="G2026" s="21"/>
      <c r="H2026" s="21"/>
      <c r="N2026" s="21"/>
      <c r="O2026" s="21"/>
      <c r="T2026" s="21"/>
      <c r="AA2026" s="21"/>
    </row>
    <row r="2027" spans="7:27" x14ac:dyDescent="0.2">
      <c r="G2027" s="21"/>
      <c r="H2027" s="21"/>
      <c r="N2027" s="21"/>
      <c r="O2027" s="21"/>
      <c r="T2027" s="21"/>
      <c r="AA2027" s="21"/>
    </row>
    <row r="2028" spans="7:27" x14ac:dyDescent="0.2">
      <c r="G2028" s="21"/>
      <c r="H2028" s="21"/>
      <c r="N2028" s="21"/>
      <c r="O2028" s="21"/>
      <c r="T2028" s="21"/>
      <c r="AA2028" s="21"/>
    </row>
    <row r="2029" spans="7:27" x14ac:dyDescent="0.2">
      <c r="G2029" s="21"/>
      <c r="H2029" s="21"/>
      <c r="N2029" s="21"/>
      <c r="O2029" s="21"/>
      <c r="T2029" s="21"/>
      <c r="AA2029" s="21"/>
    </row>
    <row r="2030" spans="7:27" x14ac:dyDescent="0.2">
      <c r="G2030" s="21"/>
      <c r="H2030" s="21"/>
      <c r="N2030" s="21"/>
      <c r="O2030" s="21"/>
      <c r="T2030" s="21"/>
      <c r="AA2030" s="21"/>
    </row>
    <row r="2031" spans="7:27" x14ac:dyDescent="0.2">
      <c r="G2031" s="21"/>
      <c r="H2031" s="21"/>
      <c r="N2031" s="21"/>
      <c r="O2031" s="21"/>
      <c r="T2031" s="21"/>
      <c r="AA2031" s="21"/>
    </row>
    <row r="2032" spans="7:27" x14ac:dyDescent="0.2">
      <c r="G2032" s="21"/>
      <c r="H2032" s="21"/>
      <c r="N2032" s="21"/>
      <c r="O2032" s="21"/>
      <c r="T2032" s="21"/>
      <c r="AA2032" s="21"/>
    </row>
    <row r="2033" spans="7:27" x14ac:dyDescent="0.2">
      <c r="G2033" s="21"/>
      <c r="H2033" s="21"/>
      <c r="N2033" s="21"/>
      <c r="O2033" s="21"/>
      <c r="T2033" s="21"/>
      <c r="AA2033" s="21"/>
    </row>
    <row r="2034" spans="7:27" x14ac:dyDescent="0.2">
      <c r="G2034" s="21"/>
      <c r="H2034" s="21"/>
      <c r="N2034" s="21"/>
      <c r="O2034" s="21"/>
      <c r="T2034" s="21"/>
      <c r="AA2034" s="21"/>
    </row>
    <row r="2035" spans="7:27" x14ac:dyDescent="0.2">
      <c r="G2035" s="21"/>
      <c r="H2035" s="21"/>
      <c r="N2035" s="21"/>
      <c r="O2035" s="21"/>
      <c r="T2035" s="21"/>
      <c r="AA2035" s="21"/>
    </row>
    <row r="2036" spans="7:27" x14ac:dyDescent="0.2">
      <c r="G2036" s="21"/>
      <c r="H2036" s="21"/>
      <c r="N2036" s="21"/>
      <c r="O2036" s="21"/>
      <c r="T2036" s="21"/>
      <c r="AA2036" s="21"/>
    </row>
    <row r="2037" spans="7:27" x14ac:dyDescent="0.2">
      <c r="G2037" s="21"/>
      <c r="H2037" s="21"/>
      <c r="N2037" s="21"/>
      <c r="O2037" s="21"/>
      <c r="T2037" s="21"/>
      <c r="AA2037" s="21"/>
    </row>
    <row r="2038" spans="7:27" x14ac:dyDescent="0.2">
      <c r="G2038" s="21"/>
      <c r="H2038" s="21"/>
      <c r="N2038" s="21"/>
      <c r="O2038" s="21"/>
      <c r="T2038" s="21"/>
      <c r="AA2038" s="21"/>
    </row>
    <row r="2039" spans="7:27" x14ac:dyDescent="0.2">
      <c r="G2039" s="21"/>
      <c r="H2039" s="21"/>
      <c r="N2039" s="21"/>
      <c r="O2039" s="21"/>
      <c r="T2039" s="21"/>
      <c r="AA2039" s="21"/>
    </row>
    <row r="2040" spans="7:27" x14ac:dyDescent="0.2">
      <c r="G2040" s="21"/>
      <c r="H2040" s="21"/>
      <c r="N2040" s="21"/>
      <c r="O2040" s="21"/>
      <c r="T2040" s="21"/>
      <c r="AA2040" s="21"/>
    </row>
    <row r="2041" spans="7:27" x14ac:dyDescent="0.2">
      <c r="G2041" s="21"/>
      <c r="H2041" s="21"/>
      <c r="N2041" s="21"/>
      <c r="O2041" s="21"/>
      <c r="T2041" s="21"/>
      <c r="AA2041" s="21"/>
    </row>
    <row r="2042" spans="7:27" x14ac:dyDescent="0.2">
      <c r="G2042" s="21"/>
      <c r="H2042" s="21"/>
      <c r="N2042" s="21"/>
      <c r="O2042" s="21"/>
      <c r="T2042" s="21"/>
      <c r="AA2042" s="21"/>
    </row>
    <row r="2043" spans="7:27" x14ac:dyDescent="0.2">
      <c r="G2043" s="21"/>
      <c r="H2043" s="21"/>
      <c r="N2043" s="21"/>
      <c r="O2043" s="21"/>
      <c r="T2043" s="21"/>
      <c r="AA2043" s="21"/>
    </row>
    <row r="2044" spans="7:27" x14ac:dyDescent="0.2">
      <c r="G2044" s="21"/>
      <c r="H2044" s="21"/>
      <c r="N2044" s="21"/>
      <c r="O2044" s="21"/>
      <c r="T2044" s="21"/>
      <c r="AA2044" s="21"/>
    </row>
    <row r="2045" spans="7:27" x14ac:dyDescent="0.2">
      <c r="G2045" s="21"/>
      <c r="H2045" s="21"/>
      <c r="N2045" s="21"/>
      <c r="O2045" s="21"/>
      <c r="T2045" s="21"/>
      <c r="AA2045" s="21"/>
    </row>
    <row r="2046" spans="7:27" x14ac:dyDescent="0.2">
      <c r="G2046" s="21"/>
      <c r="H2046" s="21"/>
      <c r="N2046" s="21"/>
      <c r="O2046" s="21"/>
      <c r="T2046" s="21"/>
      <c r="AA2046" s="21"/>
    </row>
    <row r="2047" spans="7:27" x14ac:dyDescent="0.2">
      <c r="G2047" s="21"/>
      <c r="H2047" s="21"/>
      <c r="N2047" s="21"/>
      <c r="O2047" s="21"/>
      <c r="T2047" s="21"/>
      <c r="AA2047" s="21"/>
    </row>
    <row r="2048" spans="7:27" x14ac:dyDescent="0.2">
      <c r="G2048" s="21"/>
      <c r="H2048" s="21"/>
      <c r="N2048" s="21"/>
      <c r="O2048" s="21"/>
      <c r="T2048" s="21"/>
      <c r="AA2048" s="21"/>
    </row>
    <row r="2049" spans="7:27" x14ac:dyDescent="0.2">
      <c r="G2049" s="21"/>
      <c r="H2049" s="21"/>
      <c r="N2049" s="21"/>
      <c r="O2049" s="21"/>
      <c r="T2049" s="21"/>
      <c r="AA2049" s="21"/>
    </row>
    <row r="2050" spans="7:27" x14ac:dyDescent="0.2">
      <c r="G2050" s="21"/>
      <c r="H2050" s="21"/>
      <c r="N2050" s="21"/>
      <c r="O2050" s="21"/>
      <c r="T2050" s="21"/>
      <c r="AA2050" s="21"/>
    </row>
    <row r="2051" spans="7:27" x14ac:dyDescent="0.2">
      <c r="G2051" s="21"/>
      <c r="H2051" s="21"/>
      <c r="N2051" s="21"/>
      <c r="O2051" s="21"/>
      <c r="T2051" s="21"/>
      <c r="AA2051" s="21"/>
    </row>
    <row r="2052" spans="7:27" x14ac:dyDescent="0.2">
      <c r="G2052" s="21"/>
      <c r="H2052" s="21"/>
      <c r="N2052" s="21"/>
      <c r="O2052" s="21"/>
      <c r="T2052" s="21"/>
      <c r="AA2052" s="21"/>
    </row>
    <row r="2053" spans="7:27" x14ac:dyDescent="0.2">
      <c r="G2053" s="21"/>
      <c r="H2053" s="21"/>
      <c r="N2053" s="21"/>
      <c r="O2053" s="21"/>
      <c r="T2053" s="21"/>
      <c r="AA2053" s="21"/>
    </row>
    <row r="2054" spans="7:27" x14ac:dyDescent="0.2">
      <c r="G2054" s="21"/>
      <c r="H2054" s="21"/>
      <c r="N2054" s="21"/>
      <c r="O2054" s="21"/>
      <c r="T2054" s="21"/>
      <c r="AA2054" s="21"/>
    </row>
    <row r="2055" spans="7:27" x14ac:dyDescent="0.2">
      <c r="G2055" s="21"/>
      <c r="H2055" s="21"/>
      <c r="N2055" s="21"/>
      <c r="O2055" s="21"/>
      <c r="T2055" s="21"/>
      <c r="AA2055" s="21"/>
    </row>
    <row r="2056" spans="7:27" x14ac:dyDescent="0.2">
      <c r="G2056" s="21"/>
      <c r="H2056" s="21"/>
      <c r="N2056" s="21"/>
      <c r="O2056" s="21"/>
      <c r="T2056" s="21"/>
      <c r="AA2056" s="21"/>
    </row>
    <row r="2057" spans="7:27" x14ac:dyDescent="0.2">
      <c r="G2057" s="21"/>
      <c r="H2057" s="21"/>
      <c r="N2057" s="21"/>
      <c r="O2057" s="21"/>
      <c r="T2057" s="21"/>
      <c r="AA2057" s="21"/>
    </row>
    <row r="2058" spans="7:27" x14ac:dyDescent="0.2">
      <c r="G2058" s="21"/>
      <c r="H2058" s="21"/>
      <c r="N2058" s="21"/>
      <c r="O2058" s="21"/>
      <c r="T2058" s="21"/>
      <c r="AA2058" s="21"/>
    </row>
    <row r="2059" spans="7:27" x14ac:dyDescent="0.2">
      <c r="G2059" s="21"/>
      <c r="H2059" s="21"/>
      <c r="N2059" s="21"/>
      <c r="O2059" s="21"/>
      <c r="T2059" s="21"/>
      <c r="AA2059" s="21"/>
    </row>
    <row r="2060" spans="7:27" x14ac:dyDescent="0.2">
      <c r="G2060" s="21"/>
      <c r="H2060" s="21"/>
      <c r="N2060" s="21"/>
      <c r="O2060" s="21"/>
      <c r="T2060" s="21"/>
      <c r="AA2060" s="21"/>
    </row>
    <row r="2061" spans="7:27" x14ac:dyDescent="0.2">
      <c r="G2061" s="21"/>
      <c r="H2061" s="21"/>
      <c r="N2061" s="21"/>
      <c r="O2061" s="21"/>
      <c r="T2061" s="21"/>
      <c r="AA2061" s="21"/>
    </row>
    <row r="2062" spans="7:27" x14ac:dyDescent="0.2">
      <c r="G2062" s="21"/>
      <c r="H2062" s="21"/>
      <c r="N2062" s="21"/>
      <c r="O2062" s="21"/>
      <c r="T2062" s="21"/>
      <c r="AA2062" s="21"/>
    </row>
    <row r="2063" spans="7:27" x14ac:dyDescent="0.2">
      <c r="G2063" s="21"/>
      <c r="H2063" s="21"/>
      <c r="N2063" s="21"/>
      <c r="O2063" s="21"/>
      <c r="T2063" s="21"/>
      <c r="AA2063" s="21"/>
    </row>
    <row r="2064" spans="7:27" x14ac:dyDescent="0.2">
      <c r="G2064" s="21"/>
      <c r="H2064" s="21"/>
      <c r="N2064" s="21"/>
      <c r="O2064" s="21"/>
      <c r="T2064" s="21"/>
      <c r="AA2064" s="21"/>
    </row>
    <row r="2065" spans="7:27" x14ac:dyDescent="0.2">
      <c r="G2065" s="21"/>
      <c r="H2065" s="21"/>
      <c r="N2065" s="21"/>
      <c r="O2065" s="21"/>
      <c r="T2065" s="21"/>
      <c r="AA2065" s="21"/>
    </row>
    <row r="2066" spans="7:27" x14ac:dyDescent="0.2">
      <c r="G2066" s="21"/>
      <c r="H2066" s="21"/>
      <c r="N2066" s="21"/>
      <c r="O2066" s="21"/>
      <c r="T2066" s="21"/>
      <c r="AA2066" s="21"/>
    </row>
    <row r="2067" spans="7:27" x14ac:dyDescent="0.2">
      <c r="G2067" s="21"/>
      <c r="H2067" s="21"/>
      <c r="N2067" s="21"/>
      <c r="O2067" s="21"/>
      <c r="T2067" s="21"/>
      <c r="AA2067" s="21"/>
    </row>
    <row r="2068" spans="7:27" x14ac:dyDescent="0.2">
      <c r="G2068" s="21"/>
      <c r="H2068" s="21"/>
      <c r="N2068" s="21"/>
      <c r="O2068" s="21"/>
      <c r="T2068" s="21"/>
      <c r="AA2068" s="21"/>
    </row>
    <row r="2069" spans="7:27" x14ac:dyDescent="0.2">
      <c r="G2069" s="21"/>
      <c r="H2069" s="21"/>
      <c r="N2069" s="21"/>
      <c r="O2069" s="21"/>
      <c r="T2069" s="21"/>
      <c r="AA2069" s="21"/>
    </row>
    <row r="2070" spans="7:27" x14ac:dyDescent="0.2">
      <c r="G2070" s="21"/>
      <c r="H2070" s="21"/>
      <c r="N2070" s="21"/>
      <c r="O2070" s="21"/>
      <c r="T2070" s="21"/>
      <c r="AA2070" s="21"/>
    </row>
    <row r="2071" spans="7:27" x14ac:dyDescent="0.2">
      <c r="G2071" s="21"/>
      <c r="H2071" s="21"/>
      <c r="N2071" s="21"/>
      <c r="O2071" s="21"/>
      <c r="T2071" s="21"/>
      <c r="AA2071" s="21"/>
    </row>
    <row r="2072" spans="7:27" x14ac:dyDescent="0.2">
      <c r="G2072" s="21"/>
      <c r="H2072" s="21"/>
      <c r="N2072" s="21"/>
      <c r="O2072" s="21"/>
      <c r="T2072" s="21"/>
      <c r="AA2072" s="21"/>
    </row>
    <row r="2073" spans="7:27" x14ac:dyDescent="0.2">
      <c r="G2073" s="21"/>
      <c r="H2073" s="21"/>
      <c r="N2073" s="21"/>
      <c r="O2073" s="21"/>
      <c r="T2073" s="21"/>
      <c r="AA2073" s="21"/>
    </row>
    <row r="2074" spans="7:27" x14ac:dyDescent="0.2">
      <c r="G2074" s="21"/>
      <c r="H2074" s="21"/>
      <c r="N2074" s="21"/>
      <c r="O2074" s="21"/>
      <c r="T2074" s="21"/>
      <c r="AA2074" s="21"/>
    </row>
    <row r="2075" spans="7:27" x14ac:dyDescent="0.2">
      <c r="G2075" s="21"/>
      <c r="H2075" s="21"/>
      <c r="N2075" s="21"/>
      <c r="O2075" s="21"/>
      <c r="T2075" s="21"/>
      <c r="AA2075" s="21"/>
    </row>
    <row r="2076" spans="7:27" x14ac:dyDescent="0.2">
      <c r="G2076" s="21"/>
      <c r="H2076" s="21"/>
      <c r="N2076" s="21"/>
      <c r="O2076" s="21"/>
      <c r="T2076" s="21"/>
      <c r="AA2076" s="21"/>
    </row>
    <row r="2077" spans="7:27" x14ac:dyDescent="0.2">
      <c r="G2077" s="21"/>
      <c r="H2077" s="21"/>
      <c r="N2077" s="21"/>
      <c r="O2077" s="21"/>
      <c r="T2077" s="21"/>
      <c r="AA2077" s="21"/>
    </row>
    <row r="2078" spans="7:27" x14ac:dyDescent="0.2">
      <c r="G2078" s="21"/>
      <c r="H2078" s="21"/>
      <c r="N2078" s="21"/>
      <c r="O2078" s="21"/>
      <c r="T2078" s="21"/>
      <c r="AA2078" s="21"/>
    </row>
    <row r="2079" spans="7:27" x14ac:dyDescent="0.2">
      <c r="G2079" s="21"/>
      <c r="H2079" s="21"/>
      <c r="N2079" s="21"/>
      <c r="O2079" s="21"/>
      <c r="T2079" s="21"/>
      <c r="AA2079" s="21"/>
    </row>
    <row r="2080" spans="7:27" x14ac:dyDescent="0.2">
      <c r="G2080" s="21"/>
      <c r="H2080" s="21"/>
      <c r="N2080" s="21"/>
      <c r="O2080" s="21"/>
      <c r="T2080" s="21"/>
      <c r="AA2080" s="21"/>
    </row>
    <row r="2081" spans="7:27" x14ac:dyDescent="0.2">
      <c r="G2081" s="21"/>
      <c r="H2081" s="21"/>
      <c r="N2081" s="21"/>
      <c r="O2081" s="21"/>
      <c r="T2081" s="21"/>
      <c r="AA2081" s="21"/>
    </row>
    <row r="2082" spans="7:27" x14ac:dyDescent="0.2">
      <c r="G2082" s="21"/>
      <c r="H2082" s="21"/>
      <c r="N2082" s="21"/>
      <c r="O2082" s="21"/>
      <c r="T2082" s="21"/>
      <c r="AA2082" s="21"/>
    </row>
    <row r="2083" spans="7:27" x14ac:dyDescent="0.2">
      <c r="G2083" s="21"/>
      <c r="H2083" s="21"/>
      <c r="N2083" s="21"/>
      <c r="O2083" s="21"/>
      <c r="T2083" s="21"/>
      <c r="AA2083" s="21"/>
    </row>
    <row r="2084" spans="7:27" x14ac:dyDescent="0.2">
      <c r="G2084" s="21"/>
      <c r="H2084" s="21"/>
      <c r="N2084" s="21"/>
      <c r="O2084" s="21"/>
      <c r="T2084" s="21"/>
      <c r="AA2084" s="21"/>
    </row>
    <row r="2085" spans="7:27" x14ac:dyDescent="0.2">
      <c r="G2085" s="21"/>
      <c r="H2085" s="21"/>
      <c r="N2085" s="21"/>
      <c r="O2085" s="21"/>
      <c r="T2085" s="21"/>
      <c r="AA2085" s="21"/>
    </row>
    <row r="2086" spans="7:27" x14ac:dyDescent="0.2">
      <c r="G2086" s="21"/>
      <c r="H2086" s="21"/>
      <c r="N2086" s="21"/>
      <c r="O2086" s="21"/>
      <c r="T2086" s="21"/>
      <c r="AA2086" s="21"/>
    </row>
    <row r="2087" spans="7:27" x14ac:dyDescent="0.2">
      <c r="G2087" s="21"/>
      <c r="H2087" s="21"/>
      <c r="N2087" s="21"/>
      <c r="O2087" s="21"/>
      <c r="T2087" s="21"/>
      <c r="AA2087" s="21"/>
    </row>
    <row r="2088" spans="7:27" x14ac:dyDescent="0.2">
      <c r="G2088" s="21"/>
      <c r="H2088" s="21"/>
      <c r="N2088" s="21"/>
      <c r="O2088" s="21"/>
      <c r="T2088" s="21"/>
      <c r="AA2088" s="21"/>
    </row>
    <row r="2089" spans="7:27" x14ac:dyDescent="0.2">
      <c r="G2089" s="21"/>
      <c r="H2089" s="21"/>
      <c r="N2089" s="21"/>
      <c r="O2089" s="21"/>
      <c r="T2089" s="21"/>
      <c r="AA2089" s="21"/>
    </row>
    <row r="2090" spans="7:27" x14ac:dyDescent="0.2">
      <c r="G2090" s="21"/>
      <c r="H2090" s="21"/>
      <c r="N2090" s="21"/>
      <c r="O2090" s="21"/>
      <c r="T2090" s="21"/>
      <c r="AA2090" s="21"/>
    </row>
    <row r="2091" spans="7:27" x14ac:dyDescent="0.2">
      <c r="G2091" s="21"/>
      <c r="H2091" s="21"/>
      <c r="N2091" s="21"/>
      <c r="O2091" s="21"/>
      <c r="T2091" s="21"/>
      <c r="AA2091" s="21"/>
    </row>
    <row r="2092" spans="7:27" x14ac:dyDescent="0.2">
      <c r="G2092" s="21"/>
      <c r="H2092" s="21"/>
      <c r="N2092" s="21"/>
      <c r="O2092" s="21"/>
      <c r="T2092" s="21"/>
      <c r="AA2092" s="21"/>
    </row>
    <row r="2093" spans="7:27" x14ac:dyDescent="0.2">
      <c r="G2093" s="21"/>
      <c r="H2093" s="21"/>
      <c r="N2093" s="21"/>
      <c r="O2093" s="21"/>
      <c r="T2093" s="21"/>
      <c r="AA2093" s="21"/>
    </row>
    <row r="2094" spans="7:27" x14ac:dyDescent="0.2">
      <c r="G2094" s="21"/>
      <c r="H2094" s="21"/>
      <c r="N2094" s="21"/>
      <c r="O2094" s="21"/>
      <c r="T2094" s="21"/>
      <c r="AA2094" s="21"/>
    </row>
    <row r="2095" spans="7:27" x14ac:dyDescent="0.2">
      <c r="G2095" s="21"/>
      <c r="H2095" s="21"/>
      <c r="N2095" s="21"/>
      <c r="O2095" s="21"/>
      <c r="T2095" s="21"/>
      <c r="AA2095" s="21"/>
    </row>
    <row r="2096" spans="7:27" x14ac:dyDescent="0.2">
      <c r="G2096" s="21"/>
      <c r="H2096" s="21"/>
      <c r="N2096" s="21"/>
      <c r="O2096" s="21"/>
      <c r="T2096" s="21"/>
      <c r="AA2096" s="21"/>
    </row>
    <row r="2097" spans="7:27" x14ac:dyDescent="0.2">
      <c r="G2097" s="21"/>
      <c r="H2097" s="21"/>
      <c r="N2097" s="21"/>
      <c r="O2097" s="21"/>
      <c r="T2097" s="21"/>
      <c r="AA2097" s="21"/>
    </row>
    <row r="2098" spans="7:27" x14ac:dyDescent="0.2">
      <c r="G2098" s="21"/>
      <c r="H2098" s="21"/>
      <c r="N2098" s="21"/>
      <c r="O2098" s="21"/>
      <c r="T2098" s="21"/>
      <c r="AA2098" s="21"/>
    </row>
    <row r="2099" spans="7:27" x14ac:dyDescent="0.2">
      <c r="G2099" s="21"/>
      <c r="H2099" s="21"/>
      <c r="N2099" s="21"/>
      <c r="O2099" s="21"/>
      <c r="T2099" s="21"/>
      <c r="AA2099" s="21"/>
    </row>
    <row r="2100" spans="7:27" x14ac:dyDescent="0.2">
      <c r="G2100" s="21"/>
      <c r="H2100" s="21"/>
      <c r="N2100" s="21"/>
      <c r="O2100" s="21"/>
      <c r="T2100" s="21"/>
      <c r="AA2100" s="21"/>
    </row>
    <row r="2101" spans="7:27" x14ac:dyDescent="0.2">
      <c r="G2101" s="21"/>
      <c r="H2101" s="21"/>
      <c r="N2101" s="21"/>
      <c r="O2101" s="21"/>
      <c r="T2101" s="21"/>
      <c r="AA2101" s="21"/>
    </row>
    <row r="2102" spans="7:27" x14ac:dyDescent="0.2">
      <c r="G2102" s="21"/>
      <c r="H2102" s="21"/>
      <c r="N2102" s="21"/>
      <c r="O2102" s="21"/>
      <c r="T2102" s="21"/>
      <c r="AA2102" s="21"/>
    </row>
    <row r="2103" spans="7:27" x14ac:dyDescent="0.2">
      <c r="G2103" s="21"/>
      <c r="H2103" s="21"/>
      <c r="N2103" s="21"/>
      <c r="O2103" s="21"/>
      <c r="T2103" s="21"/>
      <c r="AA2103" s="21"/>
    </row>
    <row r="2104" spans="7:27" x14ac:dyDescent="0.2">
      <c r="G2104" s="21"/>
      <c r="H2104" s="21"/>
      <c r="N2104" s="21"/>
      <c r="O2104" s="21"/>
      <c r="T2104" s="21"/>
      <c r="AA2104" s="21"/>
    </row>
    <row r="2105" spans="7:27" x14ac:dyDescent="0.2">
      <c r="G2105" s="21"/>
      <c r="H2105" s="21"/>
      <c r="N2105" s="21"/>
      <c r="O2105" s="21"/>
      <c r="T2105" s="21"/>
      <c r="AA2105" s="21"/>
    </row>
    <row r="2106" spans="7:27" x14ac:dyDescent="0.2">
      <c r="G2106" s="21"/>
      <c r="H2106" s="21"/>
      <c r="N2106" s="21"/>
      <c r="O2106" s="21"/>
      <c r="T2106" s="21"/>
      <c r="AA2106" s="21"/>
    </row>
    <row r="2107" spans="7:27" x14ac:dyDescent="0.2">
      <c r="G2107" s="21"/>
      <c r="H2107" s="21"/>
      <c r="N2107" s="21"/>
      <c r="O2107" s="21"/>
      <c r="T2107" s="21"/>
      <c r="AA2107" s="21"/>
    </row>
    <row r="2108" spans="7:27" x14ac:dyDescent="0.2">
      <c r="G2108" s="21"/>
      <c r="H2108" s="21"/>
      <c r="N2108" s="21"/>
      <c r="O2108" s="21"/>
      <c r="T2108" s="21"/>
      <c r="AA2108" s="21"/>
    </row>
    <row r="2109" spans="7:27" x14ac:dyDescent="0.2">
      <c r="G2109" s="21"/>
      <c r="H2109" s="21"/>
      <c r="N2109" s="21"/>
      <c r="O2109" s="21"/>
      <c r="T2109" s="21"/>
      <c r="AA2109" s="21"/>
    </row>
    <row r="2110" spans="7:27" x14ac:dyDescent="0.2">
      <c r="G2110" s="21"/>
      <c r="H2110" s="21"/>
      <c r="N2110" s="21"/>
      <c r="O2110" s="21"/>
      <c r="T2110" s="21"/>
      <c r="AA2110" s="21"/>
    </row>
    <row r="2111" spans="7:27" x14ac:dyDescent="0.2">
      <c r="G2111" s="21"/>
      <c r="H2111" s="21"/>
      <c r="N2111" s="21"/>
      <c r="O2111" s="21"/>
      <c r="T2111" s="21"/>
      <c r="AA2111" s="21"/>
    </row>
    <row r="2112" spans="7:27" x14ac:dyDescent="0.2">
      <c r="G2112" s="21"/>
      <c r="H2112" s="21"/>
      <c r="N2112" s="21"/>
      <c r="O2112" s="21"/>
      <c r="T2112" s="21"/>
      <c r="AA2112" s="21"/>
    </row>
    <row r="2113" spans="7:27" x14ac:dyDescent="0.2">
      <c r="G2113" s="21"/>
      <c r="H2113" s="21"/>
      <c r="N2113" s="21"/>
      <c r="O2113" s="21"/>
      <c r="T2113" s="21"/>
      <c r="AA2113" s="21"/>
    </row>
    <row r="2114" spans="7:27" x14ac:dyDescent="0.2">
      <c r="G2114" s="21"/>
      <c r="H2114" s="21"/>
      <c r="N2114" s="21"/>
      <c r="O2114" s="21"/>
      <c r="T2114" s="21"/>
      <c r="AA2114" s="21"/>
    </row>
    <row r="2115" spans="7:27" x14ac:dyDescent="0.2">
      <c r="G2115" s="21"/>
      <c r="H2115" s="21"/>
      <c r="N2115" s="21"/>
      <c r="O2115" s="21"/>
      <c r="T2115" s="21"/>
      <c r="AA2115" s="21"/>
    </row>
    <row r="2116" spans="7:27" x14ac:dyDescent="0.2">
      <c r="G2116" s="21"/>
      <c r="H2116" s="21"/>
      <c r="N2116" s="21"/>
      <c r="O2116" s="21"/>
      <c r="T2116" s="21"/>
      <c r="AA2116" s="21"/>
    </row>
    <row r="2117" spans="7:27" x14ac:dyDescent="0.2">
      <c r="G2117" s="21"/>
      <c r="H2117" s="21"/>
      <c r="N2117" s="21"/>
      <c r="O2117" s="21"/>
      <c r="T2117" s="21"/>
      <c r="AA2117" s="21"/>
    </row>
    <row r="2118" spans="7:27" x14ac:dyDescent="0.2">
      <c r="G2118" s="21"/>
      <c r="H2118" s="21"/>
      <c r="N2118" s="21"/>
      <c r="O2118" s="21"/>
      <c r="T2118" s="21"/>
      <c r="AA2118" s="21"/>
    </row>
    <row r="2119" spans="7:27" x14ac:dyDescent="0.2">
      <c r="G2119" s="21"/>
      <c r="H2119" s="21"/>
      <c r="N2119" s="21"/>
      <c r="O2119" s="21"/>
      <c r="T2119" s="21"/>
      <c r="AA2119" s="21"/>
    </row>
    <row r="2120" spans="7:27" x14ac:dyDescent="0.2">
      <c r="G2120" s="21"/>
      <c r="H2120" s="21"/>
      <c r="N2120" s="21"/>
      <c r="O2120" s="21"/>
      <c r="T2120" s="21"/>
      <c r="AA2120" s="21"/>
    </row>
    <row r="2121" spans="7:27" x14ac:dyDescent="0.2">
      <c r="G2121" s="21"/>
      <c r="H2121" s="21"/>
      <c r="N2121" s="21"/>
      <c r="O2121" s="21"/>
      <c r="T2121" s="21"/>
      <c r="AA2121" s="21"/>
    </row>
    <row r="2122" spans="7:27" x14ac:dyDescent="0.2">
      <c r="G2122" s="21"/>
      <c r="H2122" s="21"/>
      <c r="N2122" s="21"/>
      <c r="O2122" s="21"/>
      <c r="T2122" s="21"/>
      <c r="AA2122" s="21"/>
    </row>
    <row r="2123" spans="7:27" x14ac:dyDescent="0.2">
      <c r="G2123" s="21"/>
      <c r="H2123" s="21"/>
      <c r="N2123" s="21"/>
      <c r="O2123" s="21"/>
      <c r="T2123" s="21"/>
      <c r="AA2123" s="21"/>
    </row>
    <row r="2124" spans="7:27" x14ac:dyDescent="0.2">
      <c r="G2124" s="21"/>
      <c r="H2124" s="21"/>
      <c r="N2124" s="21"/>
      <c r="O2124" s="21"/>
      <c r="T2124" s="21"/>
      <c r="AA2124" s="21"/>
    </row>
    <row r="2125" spans="7:27" x14ac:dyDescent="0.2">
      <c r="G2125" s="21"/>
      <c r="H2125" s="21"/>
      <c r="N2125" s="21"/>
      <c r="O2125" s="21"/>
      <c r="T2125" s="21"/>
      <c r="AA2125" s="21"/>
    </row>
    <row r="2126" spans="7:27" x14ac:dyDescent="0.2">
      <c r="G2126" s="21"/>
      <c r="H2126" s="21"/>
      <c r="N2126" s="21"/>
      <c r="O2126" s="21"/>
      <c r="T2126" s="21"/>
      <c r="AA2126" s="21"/>
    </row>
    <row r="2127" spans="7:27" x14ac:dyDescent="0.2">
      <c r="G2127" s="21"/>
      <c r="H2127" s="21"/>
      <c r="N2127" s="21"/>
      <c r="O2127" s="21"/>
      <c r="T2127" s="21"/>
      <c r="AA2127" s="21"/>
    </row>
    <row r="2128" spans="7:27" x14ac:dyDescent="0.2">
      <c r="G2128" s="21"/>
      <c r="H2128" s="21"/>
      <c r="N2128" s="21"/>
      <c r="O2128" s="21"/>
      <c r="T2128" s="21"/>
      <c r="AA2128" s="21"/>
    </row>
    <row r="2129" spans="7:27" x14ac:dyDescent="0.2">
      <c r="G2129" s="21"/>
      <c r="H2129" s="21"/>
      <c r="N2129" s="21"/>
      <c r="O2129" s="21"/>
      <c r="T2129" s="21"/>
      <c r="AA2129" s="21"/>
    </row>
    <row r="2130" spans="7:27" x14ac:dyDescent="0.2">
      <c r="G2130" s="21"/>
      <c r="H2130" s="21"/>
      <c r="N2130" s="21"/>
      <c r="O2130" s="21"/>
      <c r="T2130" s="21"/>
      <c r="AA2130" s="21"/>
    </row>
    <row r="2131" spans="7:27" x14ac:dyDescent="0.2">
      <c r="G2131" s="21"/>
      <c r="H2131" s="21"/>
      <c r="N2131" s="21"/>
      <c r="O2131" s="21"/>
      <c r="T2131" s="21"/>
      <c r="AA2131" s="21"/>
    </row>
    <row r="2132" spans="7:27" x14ac:dyDescent="0.2">
      <c r="G2132" s="21"/>
      <c r="H2132" s="21"/>
      <c r="N2132" s="21"/>
      <c r="O2132" s="21"/>
      <c r="T2132" s="21"/>
      <c r="AA2132" s="21"/>
    </row>
    <row r="2133" spans="7:27" x14ac:dyDescent="0.2">
      <c r="G2133" s="21"/>
      <c r="H2133" s="21"/>
      <c r="N2133" s="21"/>
      <c r="O2133" s="21"/>
      <c r="T2133" s="21"/>
      <c r="AA2133" s="21"/>
    </row>
    <row r="2134" spans="7:27" x14ac:dyDescent="0.2">
      <c r="G2134" s="21"/>
      <c r="H2134" s="21"/>
      <c r="N2134" s="21"/>
      <c r="O2134" s="21"/>
      <c r="T2134" s="21"/>
      <c r="AA2134" s="21"/>
    </row>
    <row r="2135" spans="7:27" x14ac:dyDescent="0.2">
      <c r="G2135" s="21"/>
      <c r="H2135" s="21"/>
      <c r="N2135" s="21"/>
      <c r="O2135" s="21"/>
      <c r="T2135" s="21"/>
      <c r="AA2135" s="21"/>
    </row>
    <row r="2136" spans="7:27" x14ac:dyDescent="0.2">
      <c r="G2136" s="21"/>
      <c r="H2136" s="21"/>
      <c r="N2136" s="21"/>
      <c r="O2136" s="21"/>
      <c r="T2136" s="21"/>
      <c r="AA2136" s="21"/>
    </row>
    <row r="2137" spans="7:27" x14ac:dyDescent="0.2">
      <c r="G2137" s="21"/>
      <c r="H2137" s="21"/>
      <c r="N2137" s="21"/>
      <c r="O2137" s="21"/>
      <c r="T2137" s="21"/>
      <c r="AA2137" s="21"/>
    </row>
    <row r="2138" spans="7:27" x14ac:dyDescent="0.2">
      <c r="G2138" s="21"/>
      <c r="H2138" s="21"/>
      <c r="N2138" s="21"/>
      <c r="O2138" s="21"/>
      <c r="T2138" s="21"/>
      <c r="AA2138" s="21"/>
    </row>
    <row r="2139" spans="7:27" x14ac:dyDescent="0.2">
      <c r="G2139" s="21"/>
      <c r="H2139" s="21"/>
      <c r="N2139" s="21"/>
      <c r="O2139" s="21"/>
      <c r="T2139" s="21"/>
      <c r="AA2139" s="21"/>
    </row>
    <row r="2140" spans="7:27" x14ac:dyDescent="0.2">
      <c r="G2140" s="21"/>
      <c r="H2140" s="21"/>
      <c r="N2140" s="21"/>
      <c r="O2140" s="21"/>
      <c r="T2140" s="21"/>
      <c r="AA2140" s="21"/>
    </row>
    <row r="2141" spans="7:27" x14ac:dyDescent="0.2">
      <c r="G2141" s="21"/>
      <c r="H2141" s="21"/>
      <c r="N2141" s="21"/>
      <c r="O2141" s="21"/>
      <c r="T2141" s="21"/>
      <c r="AA2141" s="21"/>
    </row>
    <row r="2142" spans="7:27" x14ac:dyDescent="0.2">
      <c r="G2142" s="21"/>
      <c r="H2142" s="21"/>
      <c r="N2142" s="21"/>
      <c r="O2142" s="21"/>
      <c r="T2142" s="21"/>
      <c r="AA2142" s="21"/>
    </row>
    <row r="2143" spans="7:27" x14ac:dyDescent="0.2">
      <c r="G2143" s="21"/>
      <c r="H2143" s="21"/>
      <c r="N2143" s="21"/>
      <c r="O2143" s="21"/>
      <c r="T2143" s="21"/>
      <c r="AA2143" s="21"/>
    </row>
    <row r="2144" spans="7:27" x14ac:dyDescent="0.2">
      <c r="G2144" s="21"/>
      <c r="H2144" s="21"/>
      <c r="N2144" s="21"/>
      <c r="O2144" s="21"/>
      <c r="T2144" s="21"/>
      <c r="AA2144" s="21"/>
    </row>
    <row r="2145" spans="7:27" x14ac:dyDescent="0.2">
      <c r="G2145" s="21"/>
      <c r="H2145" s="21"/>
      <c r="N2145" s="21"/>
      <c r="O2145" s="21"/>
      <c r="T2145" s="21"/>
      <c r="AA2145" s="21"/>
    </row>
    <row r="2146" spans="7:27" x14ac:dyDescent="0.2">
      <c r="G2146" s="21"/>
      <c r="H2146" s="21"/>
      <c r="N2146" s="21"/>
      <c r="O2146" s="21"/>
      <c r="T2146" s="21"/>
      <c r="AA2146" s="21"/>
    </row>
    <row r="2147" spans="7:27" x14ac:dyDescent="0.2">
      <c r="G2147" s="21"/>
      <c r="H2147" s="21"/>
      <c r="N2147" s="21"/>
      <c r="O2147" s="21"/>
      <c r="T2147" s="21"/>
      <c r="AA2147" s="21"/>
    </row>
    <row r="2148" spans="7:27" x14ac:dyDescent="0.2">
      <c r="G2148" s="21"/>
      <c r="H2148" s="21"/>
      <c r="N2148" s="21"/>
      <c r="O2148" s="21"/>
      <c r="T2148" s="21"/>
      <c r="AA2148" s="21"/>
    </row>
    <row r="2149" spans="7:27" x14ac:dyDescent="0.2">
      <c r="G2149" s="21"/>
      <c r="H2149" s="21"/>
      <c r="N2149" s="21"/>
      <c r="O2149" s="21"/>
      <c r="T2149" s="21"/>
      <c r="AA2149" s="21"/>
    </row>
    <row r="2150" spans="7:27" x14ac:dyDescent="0.2">
      <c r="G2150" s="21"/>
      <c r="H2150" s="21"/>
      <c r="N2150" s="21"/>
      <c r="O2150" s="21"/>
      <c r="T2150" s="21"/>
      <c r="AA2150" s="21"/>
    </row>
    <row r="2151" spans="7:27" x14ac:dyDescent="0.2">
      <c r="G2151" s="21"/>
      <c r="H2151" s="21"/>
      <c r="N2151" s="21"/>
      <c r="O2151" s="21"/>
      <c r="T2151" s="21"/>
      <c r="AA2151" s="21"/>
    </row>
    <row r="2152" spans="7:27" x14ac:dyDescent="0.2">
      <c r="G2152" s="21"/>
      <c r="H2152" s="21"/>
      <c r="N2152" s="21"/>
      <c r="O2152" s="21"/>
      <c r="T2152" s="21"/>
      <c r="AA2152" s="21"/>
    </row>
    <row r="2153" spans="7:27" x14ac:dyDescent="0.2">
      <c r="G2153" s="21"/>
      <c r="H2153" s="21"/>
      <c r="N2153" s="21"/>
      <c r="O2153" s="21"/>
      <c r="T2153" s="21"/>
      <c r="AA2153" s="21"/>
    </row>
    <row r="2154" spans="7:27" x14ac:dyDescent="0.2">
      <c r="G2154" s="21"/>
      <c r="H2154" s="21"/>
      <c r="N2154" s="21"/>
      <c r="O2154" s="21"/>
      <c r="T2154" s="21"/>
      <c r="AA2154" s="21"/>
    </row>
    <row r="2155" spans="7:27" x14ac:dyDescent="0.2">
      <c r="G2155" s="21"/>
      <c r="H2155" s="21"/>
      <c r="N2155" s="21"/>
      <c r="O2155" s="21"/>
      <c r="T2155" s="21"/>
      <c r="AA2155" s="21"/>
    </row>
    <row r="2156" spans="7:27" x14ac:dyDescent="0.2">
      <c r="G2156" s="21"/>
      <c r="H2156" s="21"/>
      <c r="N2156" s="21"/>
      <c r="O2156" s="21"/>
      <c r="T2156" s="21"/>
      <c r="AA2156" s="21"/>
    </row>
    <row r="2157" spans="7:27" x14ac:dyDescent="0.2">
      <c r="G2157" s="21"/>
      <c r="H2157" s="21"/>
      <c r="N2157" s="21"/>
      <c r="O2157" s="21"/>
      <c r="T2157" s="21"/>
      <c r="AA2157" s="21"/>
    </row>
    <row r="2158" spans="7:27" x14ac:dyDescent="0.2">
      <c r="G2158" s="21"/>
      <c r="H2158" s="21"/>
      <c r="N2158" s="21"/>
      <c r="O2158" s="21"/>
      <c r="T2158" s="21"/>
      <c r="AA2158" s="21"/>
    </row>
    <row r="2159" spans="7:27" x14ac:dyDescent="0.2">
      <c r="G2159" s="21"/>
      <c r="H2159" s="21"/>
      <c r="N2159" s="21"/>
      <c r="O2159" s="21"/>
      <c r="T2159" s="21"/>
      <c r="AA2159" s="21"/>
    </row>
    <row r="2160" spans="7:27" x14ac:dyDescent="0.2">
      <c r="G2160" s="21"/>
      <c r="H2160" s="21"/>
      <c r="N2160" s="21"/>
      <c r="O2160" s="21"/>
      <c r="T2160" s="21"/>
      <c r="AA2160" s="21"/>
    </row>
    <row r="2161" spans="7:27" x14ac:dyDescent="0.2">
      <c r="G2161" s="21"/>
      <c r="H2161" s="21"/>
      <c r="N2161" s="21"/>
      <c r="O2161" s="21"/>
      <c r="T2161" s="21"/>
      <c r="AA2161" s="21"/>
    </row>
    <row r="2162" spans="7:27" x14ac:dyDescent="0.2">
      <c r="G2162" s="21"/>
      <c r="H2162" s="21"/>
      <c r="N2162" s="21"/>
      <c r="O2162" s="21"/>
      <c r="T2162" s="21"/>
      <c r="AA2162" s="21"/>
    </row>
    <row r="2163" spans="7:27" x14ac:dyDescent="0.2">
      <c r="G2163" s="21"/>
      <c r="H2163" s="21"/>
      <c r="N2163" s="21"/>
      <c r="O2163" s="21"/>
      <c r="T2163" s="21"/>
      <c r="AA2163" s="21"/>
    </row>
    <row r="2164" spans="7:27" x14ac:dyDescent="0.2">
      <c r="G2164" s="21"/>
      <c r="H2164" s="21"/>
      <c r="N2164" s="21"/>
      <c r="O2164" s="21"/>
      <c r="T2164" s="21"/>
      <c r="AA2164" s="21"/>
    </row>
    <row r="2165" spans="7:27" x14ac:dyDescent="0.2">
      <c r="G2165" s="21"/>
      <c r="H2165" s="21"/>
      <c r="N2165" s="21"/>
      <c r="O2165" s="21"/>
      <c r="T2165" s="21"/>
      <c r="AA2165" s="21"/>
    </row>
    <row r="2166" spans="7:27" x14ac:dyDescent="0.2">
      <c r="G2166" s="21"/>
      <c r="H2166" s="21"/>
      <c r="N2166" s="21"/>
      <c r="O2166" s="21"/>
      <c r="T2166" s="21"/>
      <c r="AA2166" s="21"/>
    </row>
    <row r="2167" spans="7:27" x14ac:dyDescent="0.2">
      <c r="G2167" s="21"/>
      <c r="H2167" s="21"/>
      <c r="N2167" s="21"/>
      <c r="O2167" s="21"/>
      <c r="T2167" s="21"/>
      <c r="AA2167" s="21"/>
    </row>
    <row r="2168" spans="7:27" x14ac:dyDescent="0.2">
      <c r="G2168" s="21"/>
      <c r="H2168" s="21"/>
      <c r="N2168" s="21"/>
      <c r="O2168" s="21"/>
      <c r="T2168" s="21"/>
      <c r="AA2168" s="21"/>
    </row>
    <row r="2169" spans="7:27" x14ac:dyDescent="0.2">
      <c r="G2169" s="21"/>
      <c r="H2169" s="21"/>
      <c r="N2169" s="21"/>
      <c r="O2169" s="21"/>
      <c r="T2169" s="21"/>
      <c r="AA2169" s="21"/>
    </row>
    <row r="2170" spans="7:27" x14ac:dyDescent="0.2">
      <c r="G2170" s="21"/>
      <c r="H2170" s="21"/>
      <c r="N2170" s="21"/>
      <c r="O2170" s="21"/>
      <c r="T2170" s="21"/>
      <c r="AA2170" s="21"/>
    </row>
    <row r="2171" spans="7:27" x14ac:dyDescent="0.2">
      <c r="G2171" s="21"/>
      <c r="H2171" s="21"/>
      <c r="N2171" s="21"/>
      <c r="O2171" s="21"/>
      <c r="T2171" s="21"/>
      <c r="AA2171" s="21"/>
    </row>
    <row r="2172" spans="7:27" x14ac:dyDescent="0.2">
      <c r="G2172" s="21"/>
      <c r="H2172" s="21"/>
      <c r="N2172" s="21"/>
      <c r="O2172" s="21"/>
      <c r="T2172" s="21"/>
      <c r="AA2172" s="21"/>
    </row>
    <row r="2173" spans="7:27" x14ac:dyDescent="0.2">
      <c r="G2173" s="21"/>
      <c r="H2173" s="21"/>
      <c r="N2173" s="21"/>
      <c r="O2173" s="21"/>
      <c r="T2173" s="21"/>
      <c r="AA2173" s="21"/>
    </row>
    <row r="2174" spans="7:27" x14ac:dyDescent="0.2">
      <c r="G2174" s="21"/>
      <c r="H2174" s="21"/>
      <c r="N2174" s="21"/>
      <c r="O2174" s="21"/>
      <c r="T2174" s="21"/>
      <c r="AA2174" s="21"/>
    </row>
    <row r="2175" spans="7:27" x14ac:dyDescent="0.2">
      <c r="G2175" s="21"/>
      <c r="H2175" s="21"/>
      <c r="N2175" s="21"/>
      <c r="O2175" s="21"/>
      <c r="T2175" s="21"/>
      <c r="AA2175" s="21"/>
    </row>
    <row r="2176" spans="7:27" x14ac:dyDescent="0.2">
      <c r="G2176" s="21"/>
      <c r="H2176" s="21"/>
      <c r="N2176" s="21"/>
      <c r="O2176" s="21"/>
      <c r="T2176" s="21"/>
      <c r="AA2176" s="21"/>
    </row>
    <row r="2177" spans="7:27" x14ac:dyDescent="0.2">
      <c r="G2177" s="21"/>
      <c r="H2177" s="21"/>
      <c r="N2177" s="21"/>
      <c r="O2177" s="21"/>
      <c r="T2177" s="21"/>
      <c r="AA2177" s="21"/>
    </row>
    <row r="2178" spans="7:27" x14ac:dyDescent="0.2">
      <c r="G2178" s="21"/>
      <c r="H2178" s="21"/>
      <c r="N2178" s="21"/>
      <c r="O2178" s="21"/>
      <c r="T2178" s="21"/>
      <c r="AA2178" s="21"/>
    </row>
    <row r="2179" spans="7:27" x14ac:dyDescent="0.2">
      <c r="G2179" s="21"/>
      <c r="H2179" s="21"/>
      <c r="N2179" s="21"/>
      <c r="O2179" s="21"/>
      <c r="T2179" s="21"/>
      <c r="AA2179" s="21"/>
    </row>
    <row r="2180" spans="7:27" x14ac:dyDescent="0.2">
      <c r="G2180" s="21"/>
      <c r="H2180" s="21"/>
      <c r="N2180" s="21"/>
      <c r="O2180" s="21"/>
      <c r="T2180" s="21"/>
      <c r="AA2180" s="21"/>
    </row>
    <row r="2181" spans="7:27" x14ac:dyDescent="0.2">
      <c r="G2181" s="21"/>
      <c r="H2181" s="21"/>
      <c r="N2181" s="21"/>
      <c r="O2181" s="21"/>
      <c r="T2181" s="21"/>
      <c r="AA2181" s="21"/>
    </row>
    <row r="2182" spans="7:27" x14ac:dyDescent="0.2">
      <c r="G2182" s="21"/>
      <c r="H2182" s="21"/>
      <c r="N2182" s="21"/>
      <c r="O2182" s="21"/>
      <c r="T2182" s="21"/>
      <c r="AA2182" s="21"/>
    </row>
    <row r="2183" spans="7:27" x14ac:dyDescent="0.2">
      <c r="G2183" s="21"/>
      <c r="H2183" s="21"/>
      <c r="N2183" s="21"/>
      <c r="O2183" s="21"/>
      <c r="T2183" s="21"/>
      <c r="AA2183" s="21"/>
    </row>
    <row r="2184" spans="7:27" x14ac:dyDescent="0.2">
      <c r="G2184" s="21"/>
      <c r="H2184" s="21"/>
      <c r="N2184" s="21"/>
      <c r="O2184" s="21"/>
      <c r="T2184" s="21"/>
      <c r="AA2184" s="21"/>
    </row>
    <row r="2185" spans="7:27" x14ac:dyDescent="0.2">
      <c r="G2185" s="21"/>
      <c r="H2185" s="21"/>
      <c r="N2185" s="21"/>
      <c r="O2185" s="21"/>
      <c r="T2185" s="21"/>
      <c r="AA2185" s="21"/>
    </row>
    <row r="2186" spans="7:27" x14ac:dyDescent="0.2">
      <c r="G2186" s="21"/>
      <c r="H2186" s="21"/>
      <c r="N2186" s="21"/>
      <c r="O2186" s="21"/>
      <c r="T2186" s="21"/>
      <c r="AA2186" s="21"/>
    </row>
    <row r="2187" spans="7:27" x14ac:dyDescent="0.2">
      <c r="G2187" s="21"/>
      <c r="H2187" s="21"/>
      <c r="N2187" s="21"/>
      <c r="O2187" s="21"/>
      <c r="T2187" s="21"/>
      <c r="AA2187" s="21"/>
    </row>
    <row r="2188" spans="7:27" x14ac:dyDescent="0.2">
      <c r="G2188" s="21"/>
      <c r="H2188" s="21"/>
      <c r="N2188" s="21"/>
      <c r="O2188" s="21"/>
      <c r="T2188" s="21"/>
      <c r="AA2188" s="21"/>
    </row>
    <row r="2189" spans="7:27" x14ac:dyDescent="0.2">
      <c r="G2189" s="21"/>
      <c r="H2189" s="21"/>
      <c r="N2189" s="21"/>
      <c r="O2189" s="21"/>
      <c r="T2189" s="21"/>
      <c r="AA2189" s="21"/>
    </row>
    <row r="2190" spans="7:27" x14ac:dyDescent="0.2">
      <c r="G2190" s="21"/>
      <c r="H2190" s="21"/>
      <c r="N2190" s="21"/>
      <c r="O2190" s="21"/>
      <c r="T2190" s="21"/>
      <c r="AA2190" s="21"/>
    </row>
    <row r="2191" spans="7:27" x14ac:dyDescent="0.2">
      <c r="G2191" s="21"/>
      <c r="H2191" s="21"/>
      <c r="N2191" s="21"/>
      <c r="O2191" s="21"/>
      <c r="T2191" s="21"/>
      <c r="AA2191" s="21"/>
    </row>
    <row r="2192" spans="7:27" x14ac:dyDescent="0.2">
      <c r="G2192" s="21"/>
      <c r="H2192" s="21"/>
      <c r="N2192" s="21"/>
      <c r="O2192" s="21"/>
      <c r="T2192" s="21"/>
      <c r="AA2192" s="21"/>
    </row>
    <row r="2193" spans="7:27" x14ac:dyDescent="0.2">
      <c r="G2193" s="21"/>
      <c r="H2193" s="21"/>
      <c r="N2193" s="21"/>
      <c r="O2193" s="21"/>
      <c r="T2193" s="21"/>
      <c r="AA2193" s="21"/>
    </row>
    <row r="2194" spans="7:27" x14ac:dyDescent="0.2">
      <c r="G2194" s="21"/>
      <c r="H2194" s="21"/>
      <c r="N2194" s="21"/>
      <c r="O2194" s="21"/>
      <c r="T2194" s="21"/>
      <c r="AA2194" s="21"/>
    </row>
    <row r="2195" spans="7:27" x14ac:dyDescent="0.2">
      <c r="G2195" s="21"/>
      <c r="H2195" s="21"/>
      <c r="N2195" s="21"/>
      <c r="O2195" s="21"/>
      <c r="T2195" s="21"/>
      <c r="AA2195" s="21"/>
    </row>
    <row r="2196" spans="7:27" x14ac:dyDescent="0.2">
      <c r="G2196" s="21"/>
      <c r="H2196" s="21"/>
      <c r="N2196" s="21"/>
      <c r="O2196" s="21"/>
      <c r="T2196" s="21"/>
      <c r="AA2196" s="21"/>
    </row>
    <row r="2197" spans="7:27" x14ac:dyDescent="0.2">
      <c r="G2197" s="21"/>
      <c r="H2197" s="21"/>
      <c r="N2197" s="21"/>
      <c r="O2197" s="21"/>
      <c r="T2197" s="21"/>
      <c r="AA2197" s="21"/>
    </row>
    <row r="2198" spans="7:27" x14ac:dyDescent="0.2">
      <c r="G2198" s="21"/>
      <c r="H2198" s="21"/>
      <c r="N2198" s="21"/>
      <c r="O2198" s="21"/>
      <c r="T2198" s="21"/>
      <c r="AA2198" s="21"/>
    </row>
    <row r="2199" spans="7:27" x14ac:dyDescent="0.2">
      <c r="G2199" s="21"/>
      <c r="H2199" s="21"/>
      <c r="N2199" s="21"/>
      <c r="O2199" s="21"/>
      <c r="T2199" s="21"/>
      <c r="AA2199" s="21"/>
    </row>
    <row r="2200" spans="7:27" x14ac:dyDescent="0.2">
      <c r="G2200" s="21"/>
      <c r="H2200" s="21"/>
      <c r="N2200" s="21"/>
      <c r="O2200" s="21"/>
      <c r="T2200" s="21"/>
      <c r="AA2200" s="21"/>
    </row>
    <row r="2201" spans="7:27" x14ac:dyDescent="0.2">
      <c r="G2201" s="21"/>
      <c r="H2201" s="21"/>
      <c r="N2201" s="21"/>
      <c r="O2201" s="21"/>
      <c r="T2201" s="21"/>
      <c r="AA2201" s="21"/>
    </row>
    <row r="2202" spans="7:27" x14ac:dyDescent="0.2">
      <c r="G2202" s="21"/>
      <c r="H2202" s="21"/>
      <c r="N2202" s="21"/>
      <c r="O2202" s="21"/>
      <c r="T2202" s="21"/>
      <c r="AA2202" s="21"/>
    </row>
    <row r="2203" spans="7:27" x14ac:dyDescent="0.2">
      <c r="G2203" s="21"/>
      <c r="H2203" s="21"/>
      <c r="N2203" s="21"/>
      <c r="O2203" s="21"/>
      <c r="T2203" s="21"/>
      <c r="AA2203" s="21"/>
    </row>
    <row r="2204" spans="7:27" x14ac:dyDescent="0.2">
      <c r="G2204" s="21"/>
      <c r="H2204" s="21"/>
      <c r="N2204" s="21"/>
      <c r="O2204" s="21"/>
      <c r="T2204" s="21"/>
      <c r="AA2204" s="21"/>
    </row>
    <row r="2205" spans="7:27" x14ac:dyDescent="0.2">
      <c r="G2205" s="21"/>
      <c r="H2205" s="21"/>
      <c r="N2205" s="21"/>
      <c r="O2205" s="21"/>
      <c r="T2205" s="21"/>
      <c r="AA2205" s="21"/>
    </row>
    <row r="2206" spans="7:27" x14ac:dyDescent="0.2">
      <c r="G2206" s="21"/>
      <c r="H2206" s="21"/>
      <c r="N2206" s="21"/>
      <c r="O2206" s="21"/>
      <c r="T2206" s="21"/>
      <c r="AA2206" s="21"/>
    </row>
    <row r="2207" spans="7:27" x14ac:dyDescent="0.2">
      <c r="G2207" s="21"/>
      <c r="H2207" s="21"/>
      <c r="N2207" s="21"/>
      <c r="O2207" s="21"/>
      <c r="T2207" s="21"/>
      <c r="AA2207" s="21"/>
    </row>
    <row r="2208" spans="7:27" x14ac:dyDescent="0.2">
      <c r="G2208" s="21"/>
      <c r="H2208" s="21"/>
      <c r="N2208" s="21"/>
      <c r="O2208" s="21"/>
      <c r="T2208" s="21"/>
      <c r="AA2208" s="21"/>
    </row>
    <row r="2209" spans="7:27" x14ac:dyDescent="0.2">
      <c r="G2209" s="21"/>
      <c r="H2209" s="21"/>
      <c r="N2209" s="21"/>
      <c r="O2209" s="21"/>
      <c r="T2209" s="21"/>
      <c r="AA2209" s="21"/>
    </row>
    <row r="2210" spans="7:27" x14ac:dyDescent="0.2">
      <c r="G2210" s="21"/>
      <c r="H2210" s="21"/>
      <c r="N2210" s="21"/>
      <c r="O2210" s="21"/>
      <c r="T2210" s="21"/>
      <c r="AA2210" s="21"/>
    </row>
    <row r="2211" spans="7:27" x14ac:dyDescent="0.2">
      <c r="G2211" s="21"/>
      <c r="H2211" s="21"/>
      <c r="N2211" s="21"/>
      <c r="O2211" s="21"/>
      <c r="T2211" s="21"/>
      <c r="AA2211" s="21"/>
    </row>
    <row r="2212" spans="7:27" x14ac:dyDescent="0.2">
      <c r="G2212" s="21"/>
      <c r="H2212" s="21"/>
      <c r="N2212" s="21"/>
      <c r="O2212" s="21"/>
      <c r="T2212" s="21"/>
      <c r="AA2212" s="21"/>
    </row>
    <row r="2213" spans="7:27" x14ac:dyDescent="0.2">
      <c r="G2213" s="21"/>
      <c r="H2213" s="21"/>
      <c r="N2213" s="21"/>
      <c r="O2213" s="21"/>
      <c r="T2213" s="21"/>
      <c r="AA2213" s="21"/>
    </row>
    <row r="2214" spans="7:27" x14ac:dyDescent="0.2">
      <c r="G2214" s="21"/>
      <c r="H2214" s="21"/>
      <c r="N2214" s="21"/>
      <c r="O2214" s="21"/>
      <c r="T2214" s="21"/>
      <c r="AA2214" s="21"/>
    </row>
    <row r="2215" spans="7:27" x14ac:dyDescent="0.2">
      <c r="G2215" s="21"/>
      <c r="H2215" s="21"/>
      <c r="N2215" s="21"/>
      <c r="O2215" s="21"/>
      <c r="T2215" s="21"/>
      <c r="AA2215" s="21"/>
    </row>
    <row r="2216" spans="7:27" x14ac:dyDescent="0.2">
      <c r="G2216" s="21"/>
      <c r="H2216" s="21"/>
      <c r="N2216" s="21"/>
      <c r="O2216" s="21"/>
      <c r="T2216" s="21"/>
      <c r="AA2216" s="21"/>
    </row>
    <row r="2217" spans="7:27" x14ac:dyDescent="0.2">
      <c r="G2217" s="21"/>
      <c r="H2217" s="21"/>
      <c r="N2217" s="21"/>
      <c r="O2217" s="21"/>
      <c r="T2217" s="21"/>
      <c r="AA2217" s="21"/>
    </row>
    <row r="2218" spans="7:27" x14ac:dyDescent="0.2">
      <c r="G2218" s="21"/>
      <c r="H2218" s="21"/>
      <c r="N2218" s="21"/>
      <c r="O2218" s="21"/>
      <c r="T2218" s="21"/>
      <c r="AA2218" s="21"/>
    </row>
    <row r="2219" spans="7:27" x14ac:dyDescent="0.2">
      <c r="G2219" s="21"/>
      <c r="H2219" s="21"/>
      <c r="N2219" s="21"/>
      <c r="O2219" s="21"/>
      <c r="T2219" s="21"/>
      <c r="AA2219" s="21"/>
    </row>
    <row r="2220" spans="7:27" x14ac:dyDescent="0.2">
      <c r="G2220" s="21"/>
      <c r="H2220" s="21"/>
      <c r="N2220" s="21"/>
      <c r="O2220" s="21"/>
      <c r="T2220" s="21"/>
      <c r="AA2220" s="21"/>
    </row>
    <row r="2221" spans="7:27" x14ac:dyDescent="0.2">
      <c r="G2221" s="21"/>
      <c r="H2221" s="21"/>
      <c r="N2221" s="21"/>
      <c r="O2221" s="21"/>
      <c r="T2221" s="21"/>
      <c r="AA2221" s="21"/>
    </row>
    <row r="2222" spans="7:27" x14ac:dyDescent="0.2">
      <c r="G2222" s="21"/>
      <c r="H2222" s="21"/>
      <c r="N2222" s="21"/>
      <c r="O2222" s="21"/>
      <c r="T2222" s="21"/>
      <c r="AA2222" s="21"/>
    </row>
    <row r="2223" spans="7:27" x14ac:dyDescent="0.2">
      <c r="G2223" s="21"/>
      <c r="H2223" s="21"/>
      <c r="N2223" s="21"/>
      <c r="O2223" s="21"/>
      <c r="T2223" s="21"/>
      <c r="AA2223" s="21"/>
    </row>
    <row r="2224" spans="7:27" x14ac:dyDescent="0.2">
      <c r="G2224" s="21"/>
      <c r="H2224" s="21"/>
      <c r="N2224" s="21"/>
      <c r="O2224" s="21"/>
      <c r="T2224" s="21"/>
      <c r="AA2224" s="21"/>
    </row>
    <row r="2225" spans="7:27" x14ac:dyDescent="0.2">
      <c r="G2225" s="21"/>
      <c r="H2225" s="21"/>
      <c r="N2225" s="21"/>
      <c r="O2225" s="21"/>
      <c r="T2225" s="21"/>
      <c r="AA2225" s="21"/>
    </row>
    <row r="2226" spans="7:27" x14ac:dyDescent="0.2">
      <c r="G2226" s="21"/>
      <c r="H2226" s="21"/>
      <c r="N2226" s="21"/>
      <c r="O2226" s="21"/>
      <c r="T2226" s="21"/>
      <c r="AA2226" s="21"/>
    </row>
    <row r="2227" spans="7:27" x14ac:dyDescent="0.2">
      <c r="G2227" s="21"/>
      <c r="H2227" s="21"/>
      <c r="N2227" s="21"/>
      <c r="O2227" s="21"/>
      <c r="T2227" s="21"/>
      <c r="AA2227" s="21"/>
    </row>
    <row r="2228" spans="7:27" x14ac:dyDescent="0.2">
      <c r="G2228" s="21"/>
      <c r="H2228" s="21"/>
      <c r="N2228" s="21"/>
      <c r="O2228" s="21"/>
      <c r="T2228" s="21"/>
      <c r="AA2228" s="21"/>
    </row>
    <row r="2229" spans="7:27" x14ac:dyDescent="0.2">
      <c r="G2229" s="21"/>
      <c r="H2229" s="21"/>
      <c r="N2229" s="21"/>
      <c r="O2229" s="21"/>
      <c r="T2229" s="21"/>
      <c r="AA2229" s="21"/>
    </row>
    <row r="2230" spans="7:27" x14ac:dyDescent="0.2">
      <c r="G2230" s="21"/>
      <c r="H2230" s="21"/>
      <c r="N2230" s="21"/>
      <c r="O2230" s="21"/>
      <c r="T2230" s="21"/>
      <c r="AA2230" s="21"/>
    </row>
    <row r="2231" spans="7:27" x14ac:dyDescent="0.2">
      <c r="G2231" s="21"/>
      <c r="H2231" s="21"/>
      <c r="N2231" s="21"/>
      <c r="O2231" s="21"/>
      <c r="T2231" s="21"/>
      <c r="AA2231" s="21"/>
    </row>
    <row r="2232" spans="7:27" x14ac:dyDescent="0.2">
      <c r="G2232" s="21"/>
      <c r="H2232" s="21"/>
      <c r="N2232" s="21"/>
      <c r="O2232" s="21"/>
      <c r="T2232" s="21"/>
      <c r="AA2232" s="21"/>
    </row>
    <row r="2233" spans="7:27" x14ac:dyDescent="0.2">
      <c r="G2233" s="21"/>
      <c r="H2233" s="21"/>
      <c r="N2233" s="21"/>
      <c r="O2233" s="21"/>
      <c r="T2233" s="21"/>
      <c r="AA2233" s="21"/>
    </row>
    <row r="2234" spans="7:27" x14ac:dyDescent="0.2">
      <c r="G2234" s="21"/>
      <c r="H2234" s="21"/>
      <c r="N2234" s="21"/>
      <c r="O2234" s="21"/>
      <c r="T2234" s="21"/>
      <c r="AA2234" s="21"/>
    </row>
    <row r="2235" spans="7:27" x14ac:dyDescent="0.2">
      <c r="G2235" s="21"/>
      <c r="H2235" s="21"/>
      <c r="N2235" s="21"/>
      <c r="O2235" s="21"/>
      <c r="T2235" s="21"/>
      <c r="AA2235" s="21"/>
    </row>
    <row r="2236" spans="7:27" x14ac:dyDescent="0.2">
      <c r="G2236" s="21"/>
      <c r="H2236" s="21"/>
      <c r="N2236" s="21"/>
      <c r="O2236" s="21"/>
      <c r="T2236" s="21"/>
      <c r="AA2236" s="21"/>
    </row>
    <row r="2237" spans="7:27" x14ac:dyDescent="0.2">
      <c r="G2237" s="21"/>
      <c r="H2237" s="21"/>
      <c r="N2237" s="21"/>
      <c r="O2237" s="21"/>
      <c r="T2237" s="21"/>
      <c r="AA2237" s="21"/>
    </row>
    <row r="2238" spans="7:27" x14ac:dyDescent="0.2">
      <c r="G2238" s="21"/>
      <c r="H2238" s="21"/>
      <c r="N2238" s="21"/>
      <c r="O2238" s="21"/>
      <c r="T2238" s="21"/>
      <c r="AA2238" s="21"/>
    </row>
    <row r="2239" spans="7:27" x14ac:dyDescent="0.2">
      <c r="G2239" s="21"/>
      <c r="H2239" s="21"/>
      <c r="N2239" s="21"/>
      <c r="O2239" s="21"/>
      <c r="T2239" s="21"/>
      <c r="AA2239" s="21"/>
    </row>
    <row r="2240" spans="7:27" x14ac:dyDescent="0.2">
      <c r="G2240" s="21"/>
      <c r="H2240" s="21"/>
      <c r="N2240" s="21"/>
      <c r="O2240" s="21"/>
      <c r="T2240" s="21"/>
      <c r="AA2240" s="21"/>
    </row>
    <row r="2241" spans="7:27" x14ac:dyDescent="0.2">
      <c r="G2241" s="21"/>
      <c r="H2241" s="21"/>
      <c r="N2241" s="21"/>
      <c r="O2241" s="21"/>
      <c r="T2241" s="21"/>
      <c r="AA2241" s="21"/>
    </row>
    <row r="2242" spans="7:27" x14ac:dyDescent="0.2">
      <c r="G2242" s="21"/>
      <c r="H2242" s="21"/>
      <c r="N2242" s="21"/>
      <c r="O2242" s="21"/>
      <c r="T2242" s="21"/>
      <c r="AA2242" s="21"/>
    </row>
    <row r="2243" spans="7:27" x14ac:dyDescent="0.2">
      <c r="G2243" s="21"/>
      <c r="H2243" s="21"/>
      <c r="N2243" s="21"/>
      <c r="O2243" s="21"/>
      <c r="T2243" s="21"/>
      <c r="AA2243" s="21"/>
    </row>
    <row r="2244" spans="7:27" x14ac:dyDescent="0.2">
      <c r="G2244" s="21"/>
      <c r="H2244" s="21"/>
      <c r="N2244" s="21"/>
      <c r="O2244" s="21"/>
      <c r="T2244" s="21"/>
      <c r="AA2244" s="21"/>
    </row>
    <row r="2245" spans="7:27" x14ac:dyDescent="0.2">
      <c r="G2245" s="21"/>
      <c r="H2245" s="21"/>
      <c r="N2245" s="21"/>
      <c r="O2245" s="21"/>
      <c r="T2245" s="21"/>
      <c r="AA2245" s="21"/>
    </row>
    <row r="2246" spans="7:27" x14ac:dyDescent="0.2">
      <c r="G2246" s="21"/>
      <c r="H2246" s="21"/>
      <c r="N2246" s="21"/>
      <c r="O2246" s="21"/>
      <c r="T2246" s="21"/>
      <c r="AA2246" s="21"/>
    </row>
    <row r="2247" spans="7:27" x14ac:dyDescent="0.2">
      <c r="G2247" s="21"/>
      <c r="H2247" s="21"/>
      <c r="N2247" s="21"/>
      <c r="O2247" s="21"/>
      <c r="T2247" s="21"/>
      <c r="AA2247" s="21"/>
    </row>
    <row r="2248" spans="7:27" x14ac:dyDescent="0.2">
      <c r="G2248" s="21"/>
      <c r="H2248" s="21"/>
      <c r="N2248" s="21"/>
      <c r="O2248" s="21"/>
      <c r="T2248" s="21"/>
      <c r="AA2248" s="21"/>
    </row>
    <row r="2249" spans="7:27" x14ac:dyDescent="0.2">
      <c r="G2249" s="21"/>
      <c r="H2249" s="21"/>
      <c r="N2249" s="21"/>
      <c r="O2249" s="21"/>
      <c r="T2249" s="21"/>
      <c r="AA2249" s="21"/>
    </row>
    <row r="2250" spans="7:27" x14ac:dyDescent="0.2">
      <c r="G2250" s="21"/>
      <c r="H2250" s="21"/>
      <c r="N2250" s="21"/>
      <c r="O2250" s="21"/>
      <c r="T2250" s="21"/>
      <c r="AA2250" s="21"/>
    </row>
    <row r="2251" spans="7:27" x14ac:dyDescent="0.2">
      <c r="G2251" s="21"/>
      <c r="H2251" s="21"/>
      <c r="N2251" s="21"/>
      <c r="O2251" s="21"/>
      <c r="T2251" s="21"/>
      <c r="AA2251" s="21"/>
    </row>
    <row r="2252" spans="7:27" x14ac:dyDescent="0.2">
      <c r="G2252" s="21"/>
      <c r="H2252" s="21"/>
      <c r="N2252" s="21"/>
      <c r="O2252" s="21"/>
      <c r="T2252" s="21"/>
      <c r="AA2252" s="21"/>
    </row>
    <row r="2253" spans="7:27" x14ac:dyDescent="0.2">
      <c r="G2253" s="21"/>
      <c r="H2253" s="21"/>
      <c r="N2253" s="21"/>
      <c r="O2253" s="21"/>
      <c r="T2253" s="21"/>
      <c r="AA2253" s="21"/>
    </row>
    <row r="2254" spans="7:27" x14ac:dyDescent="0.2">
      <c r="G2254" s="21"/>
      <c r="H2254" s="21"/>
      <c r="N2254" s="21"/>
      <c r="O2254" s="21"/>
      <c r="T2254" s="21"/>
      <c r="AA2254" s="21"/>
    </row>
    <row r="2255" spans="7:27" x14ac:dyDescent="0.2">
      <c r="G2255" s="21"/>
      <c r="H2255" s="21"/>
      <c r="N2255" s="21"/>
      <c r="O2255" s="21"/>
      <c r="T2255" s="21"/>
      <c r="AA2255" s="21"/>
    </row>
    <row r="2256" spans="7:27" x14ac:dyDescent="0.2">
      <c r="G2256" s="21"/>
      <c r="H2256" s="21"/>
      <c r="N2256" s="21"/>
      <c r="O2256" s="21"/>
      <c r="T2256" s="21"/>
      <c r="AA2256" s="21"/>
    </row>
    <row r="2257" spans="7:27" x14ac:dyDescent="0.2">
      <c r="G2257" s="21"/>
      <c r="H2257" s="21"/>
      <c r="N2257" s="21"/>
      <c r="O2257" s="21"/>
      <c r="T2257" s="21"/>
      <c r="AA2257" s="21"/>
    </row>
    <row r="2258" spans="7:27" x14ac:dyDescent="0.2">
      <c r="G2258" s="21"/>
      <c r="H2258" s="21"/>
      <c r="N2258" s="21"/>
      <c r="O2258" s="21"/>
      <c r="T2258" s="21"/>
      <c r="AA2258" s="21"/>
    </row>
    <row r="2259" spans="7:27" x14ac:dyDescent="0.2">
      <c r="G2259" s="21"/>
      <c r="H2259" s="21"/>
      <c r="N2259" s="21"/>
      <c r="O2259" s="21"/>
      <c r="T2259" s="21"/>
      <c r="AA2259" s="21"/>
    </row>
    <row r="2260" spans="7:27" x14ac:dyDescent="0.2">
      <c r="G2260" s="21"/>
      <c r="H2260" s="21"/>
      <c r="N2260" s="21"/>
      <c r="O2260" s="21"/>
      <c r="T2260" s="21"/>
      <c r="AA2260" s="21"/>
    </row>
    <row r="2261" spans="7:27" x14ac:dyDescent="0.2">
      <c r="G2261" s="21"/>
      <c r="H2261" s="21"/>
      <c r="N2261" s="21"/>
      <c r="O2261" s="21"/>
      <c r="T2261" s="21"/>
      <c r="AA2261" s="21"/>
    </row>
    <row r="2262" spans="7:27" x14ac:dyDescent="0.2">
      <c r="G2262" s="21"/>
      <c r="H2262" s="21"/>
      <c r="N2262" s="21"/>
      <c r="O2262" s="21"/>
      <c r="T2262" s="21"/>
      <c r="AA2262" s="21"/>
    </row>
    <row r="2263" spans="7:27" x14ac:dyDescent="0.2">
      <c r="G2263" s="21"/>
      <c r="H2263" s="21"/>
      <c r="N2263" s="21"/>
      <c r="O2263" s="21"/>
      <c r="T2263" s="21"/>
      <c r="AA2263" s="21"/>
    </row>
    <row r="2264" spans="7:27" x14ac:dyDescent="0.2">
      <c r="G2264" s="21"/>
      <c r="H2264" s="21"/>
      <c r="N2264" s="21"/>
      <c r="O2264" s="21"/>
      <c r="T2264" s="21"/>
      <c r="AA2264" s="21"/>
    </row>
    <row r="2265" spans="7:27" x14ac:dyDescent="0.2">
      <c r="G2265" s="21"/>
      <c r="H2265" s="21"/>
      <c r="N2265" s="21"/>
      <c r="O2265" s="21"/>
      <c r="T2265" s="21"/>
      <c r="AA2265" s="21"/>
    </row>
    <row r="2266" spans="7:27" x14ac:dyDescent="0.2">
      <c r="G2266" s="21"/>
      <c r="H2266" s="21"/>
      <c r="N2266" s="21"/>
      <c r="O2266" s="21"/>
      <c r="T2266" s="21"/>
      <c r="AA2266" s="21"/>
    </row>
    <row r="2267" spans="7:27" x14ac:dyDescent="0.2">
      <c r="G2267" s="21"/>
      <c r="H2267" s="21"/>
      <c r="N2267" s="21"/>
      <c r="O2267" s="21"/>
      <c r="T2267" s="21"/>
      <c r="AA2267" s="21"/>
    </row>
    <row r="2268" spans="7:27" x14ac:dyDescent="0.2">
      <c r="G2268" s="21"/>
      <c r="H2268" s="21"/>
      <c r="N2268" s="21"/>
      <c r="O2268" s="21"/>
      <c r="T2268" s="21"/>
      <c r="AA2268" s="21"/>
    </row>
    <row r="2269" spans="7:27" x14ac:dyDescent="0.2">
      <c r="G2269" s="21"/>
      <c r="H2269" s="21"/>
      <c r="N2269" s="21"/>
      <c r="O2269" s="21"/>
      <c r="T2269" s="21"/>
      <c r="AA2269" s="21"/>
    </row>
    <row r="2270" spans="7:27" x14ac:dyDescent="0.2">
      <c r="G2270" s="21"/>
      <c r="H2270" s="21"/>
      <c r="N2270" s="21"/>
      <c r="O2270" s="21"/>
      <c r="T2270" s="21"/>
      <c r="AA2270" s="21"/>
    </row>
    <row r="2271" spans="7:27" x14ac:dyDescent="0.2">
      <c r="G2271" s="21"/>
      <c r="H2271" s="21"/>
      <c r="N2271" s="21"/>
      <c r="O2271" s="21"/>
      <c r="T2271" s="21"/>
      <c r="AA2271" s="21"/>
    </row>
    <row r="2272" spans="7:27" x14ac:dyDescent="0.2">
      <c r="G2272" s="21"/>
      <c r="H2272" s="21"/>
      <c r="N2272" s="21"/>
      <c r="O2272" s="21"/>
      <c r="T2272" s="21"/>
      <c r="AA2272" s="21"/>
    </row>
    <row r="2273" spans="7:27" x14ac:dyDescent="0.2">
      <c r="G2273" s="21"/>
      <c r="H2273" s="21"/>
      <c r="N2273" s="21"/>
      <c r="O2273" s="21"/>
      <c r="T2273" s="21"/>
      <c r="AA2273" s="21"/>
    </row>
    <row r="2274" spans="7:27" x14ac:dyDescent="0.2">
      <c r="G2274" s="21"/>
      <c r="H2274" s="21"/>
      <c r="N2274" s="21"/>
      <c r="O2274" s="21"/>
      <c r="T2274" s="21"/>
      <c r="AA2274" s="21"/>
    </row>
    <row r="2275" spans="7:27" x14ac:dyDescent="0.2">
      <c r="G2275" s="21"/>
      <c r="H2275" s="21"/>
      <c r="N2275" s="21"/>
      <c r="O2275" s="21"/>
      <c r="T2275" s="21"/>
      <c r="AA2275" s="21"/>
    </row>
    <row r="2276" spans="7:27" x14ac:dyDescent="0.2">
      <c r="G2276" s="21"/>
      <c r="H2276" s="21"/>
      <c r="N2276" s="21"/>
      <c r="O2276" s="21"/>
      <c r="T2276" s="21"/>
      <c r="AA2276" s="21"/>
    </row>
    <row r="2277" spans="7:27" x14ac:dyDescent="0.2">
      <c r="G2277" s="21"/>
      <c r="H2277" s="21"/>
      <c r="N2277" s="21"/>
      <c r="O2277" s="21"/>
      <c r="T2277" s="21"/>
      <c r="AA2277" s="21"/>
    </row>
    <row r="2278" spans="7:27" x14ac:dyDescent="0.2">
      <c r="G2278" s="21"/>
      <c r="H2278" s="21"/>
      <c r="N2278" s="21"/>
      <c r="O2278" s="21"/>
      <c r="T2278" s="21"/>
      <c r="AA2278" s="21"/>
    </row>
    <row r="2279" spans="7:27" x14ac:dyDescent="0.2">
      <c r="G2279" s="21"/>
      <c r="H2279" s="21"/>
      <c r="N2279" s="21"/>
      <c r="O2279" s="21"/>
      <c r="T2279" s="21"/>
      <c r="AA2279" s="21"/>
    </row>
    <row r="2280" spans="7:27" x14ac:dyDescent="0.2">
      <c r="G2280" s="21"/>
      <c r="H2280" s="21"/>
      <c r="N2280" s="21"/>
      <c r="O2280" s="21"/>
      <c r="T2280" s="21"/>
      <c r="AA2280" s="21"/>
    </row>
    <row r="2281" spans="7:27" x14ac:dyDescent="0.2">
      <c r="G2281" s="21"/>
      <c r="H2281" s="21"/>
      <c r="N2281" s="21"/>
      <c r="O2281" s="21"/>
      <c r="T2281" s="21"/>
      <c r="AA2281" s="21"/>
    </row>
    <row r="2282" spans="7:27" x14ac:dyDescent="0.2">
      <c r="G2282" s="21"/>
      <c r="H2282" s="21"/>
      <c r="N2282" s="21"/>
      <c r="O2282" s="21"/>
      <c r="T2282" s="21"/>
      <c r="AA2282" s="21"/>
    </row>
    <row r="2283" spans="7:27" x14ac:dyDescent="0.2">
      <c r="G2283" s="21"/>
      <c r="H2283" s="21"/>
      <c r="N2283" s="21"/>
      <c r="O2283" s="21"/>
      <c r="T2283" s="21"/>
      <c r="AA2283" s="21"/>
    </row>
    <row r="2284" spans="7:27" x14ac:dyDescent="0.2">
      <c r="G2284" s="21"/>
      <c r="H2284" s="21"/>
      <c r="N2284" s="21"/>
      <c r="O2284" s="21"/>
      <c r="T2284" s="21"/>
      <c r="AA2284" s="21"/>
    </row>
    <row r="2285" spans="7:27" x14ac:dyDescent="0.2">
      <c r="G2285" s="21"/>
      <c r="H2285" s="21"/>
      <c r="N2285" s="21"/>
      <c r="O2285" s="21"/>
      <c r="T2285" s="21"/>
      <c r="AA2285" s="21"/>
    </row>
    <row r="2286" spans="7:27" x14ac:dyDescent="0.2">
      <c r="G2286" s="21"/>
      <c r="H2286" s="21"/>
      <c r="N2286" s="21"/>
      <c r="O2286" s="21"/>
      <c r="T2286" s="21"/>
      <c r="AA2286" s="21"/>
    </row>
    <row r="2287" spans="7:27" x14ac:dyDescent="0.2">
      <c r="G2287" s="21"/>
      <c r="H2287" s="21"/>
      <c r="N2287" s="21"/>
      <c r="O2287" s="21"/>
      <c r="T2287" s="21"/>
      <c r="AA2287" s="21"/>
    </row>
    <row r="2288" spans="7:27" x14ac:dyDescent="0.2">
      <c r="G2288" s="21"/>
      <c r="H2288" s="21"/>
      <c r="N2288" s="21"/>
      <c r="O2288" s="21"/>
      <c r="T2288" s="21"/>
      <c r="AA2288" s="21"/>
    </row>
    <row r="2289" spans="7:27" x14ac:dyDescent="0.2">
      <c r="G2289" s="21"/>
      <c r="H2289" s="21"/>
      <c r="N2289" s="21"/>
      <c r="O2289" s="21"/>
      <c r="T2289" s="21"/>
      <c r="AA2289" s="21"/>
    </row>
    <row r="2290" spans="7:27" x14ac:dyDescent="0.2">
      <c r="G2290" s="21"/>
      <c r="H2290" s="21"/>
      <c r="N2290" s="21"/>
      <c r="O2290" s="21"/>
      <c r="T2290" s="21"/>
      <c r="AA2290" s="21"/>
    </row>
    <row r="2291" spans="7:27" x14ac:dyDescent="0.2">
      <c r="G2291" s="21"/>
      <c r="H2291" s="21"/>
      <c r="N2291" s="21"/>
      <c r="O2291" s="21"/>
      <c r="T2291" s="21"/>
      <c r="AA2291" s="21"/>
    </row>
    <row r="2292" spans="7:27" x14ac:dyDescent="0.2">
      <c r="G2292" s="21"/>
      <c r="H2292" s="21"/>
      <c r="N2292" s="21"/>
      <c r="O2292" s="21"/>
      <c r="T2292" s="21"/>
      <c r="AA2292" s="21"/>
    </row>
    <row r="2293" spans="7:27" x14ac:dyDescent="0.2">
      <c r="G2293" s="21"/>
      <c r="H2293" s="21"/>
      <c r="N2293" s="21"/>
      <c r="O2293" s="21"/>
      <c r="T2293" s="21"/>
      <c r="AA2293" s="21"/>
    </row>
    <row r="2294" spans="7:27" x14ac:dyDescent="0.2">
      <c r="G2294" s="21"/>
      <c r="H2294" s="21"/>
      <c r="N2294" s="21"/>
      <c r="O2294" s="21"/>
      <c r="T2294" s="21"/>
      <c r="AA2294" s="21"/>
    </row>
    <row r="2295" spans="7:27" x14ac:dyDescent="0.2">
      <c r="G2295" s="21"/>
      <c r="H2295" s="21"/>
      <c r="N2295" s="21"/>
      <c r="O2295" s="21"/>
      <c r="T2295" s="21"/>
      <c r="AA2295" s="21"/>
    </row>
    <row r="2296" spans="7:27" x14ac:dyDescent="0.2">
      <c r="G2296" s="21"/>
      <c r="H2296" s="21"/>
      <c r="N2296" s="21"/>
      <c r="O2296" s="21"/>
      <c r="T2296" s="21"/>
      <c r="AA2296" s="21"/>
    </row>
    <row r="2297" spans="7:27" x14ac:dyDescent="0.2">
      <c r="G2297" s="21"/>
      <c r="H2297" s="21"/>
      <c r="N2297" s="21"/>
      <c r="O2297" s="21"/>
      <c r="T2297" s="21"/>
      <c r="AA2297" s="21"/>
    </row>
    <row r="2298" spans="7:27" x14ac:dyDescent="0.2">
      <c r="G2298" s="21"/>
      <c r="H2298" s="21"/>
      <c r="N2298" s="21"/>
      <c r="O2298" s="21"/>
      <c r="T2298" s="21"/>
      <c r="AA2298" s="21"/>
    </row>
    <row r="2299" spans="7:27" x14ac:dyDescent="0.2">
      <c r="G2299" s="21"/>
      <c r="H2299" s="21"/>
      <c r="N2299" s="21"/>
      <c r="O2299" s="21"/>
      <c r="T2299" s="21"/>
      <c r="AA2299" s="21"/>
    </row>
    <row r="2300" spans="7:27" x14ac:dyDescent="0.2">
      <c r="G2300" s="21"/>
      <c r="H2300" s="21"/>
      <c r="N2300" s="21"/>
      <c r="O2300" s="21"/>
      <c r="T2300" s="21"/>
      <c r="AA2300" s="21"/>
    </row>
    <row r="2301" spans="7:27" x14ac:dyDescent="0.2">
      <c r="G2301" s="21"/>
      <c r="H2301" s="21"/>
      <c r="N2301" s="21"/>
      <c r="O2301" s="21"/>
      <c r="T2301" s="21"/>
      <c r="AA2301" s="21"/>
    </row>
    <row r="2302" spans="7:27" x14ac:dyDescent="0.2">
      <c r="G2302" s="21"/>
      <c r="H2302" s="21"/>
      <c r="N2302" s="21"/>
      <c r="O2302" s="21"/>
      <c r="T2302" s="21"/>
      <c r="AA2302" s="21"/>
    </row>
    <row r="2303" spans="7:27" x14ac:dyDescent="0.2">
      <c r="G2303" s="21"/>
      <c r="H2303" s="21"/>
      <c r="N2303" s="21"/>
      <c r="O2303" s="21"/>
      <c r="T2303" s="21"/>
      <c r="AA2303" s="21"/>
    </row>
    <row r="2304" spans="7:27" x14ac:dyDescent="0.2">
      <c r="G2304" s="21"/>
      <c r="H2304" s="21"/>
      <c r="N2304" s="21"/>
      <c r="O2304" s="21"/>
      <c r="T2304" s="21"/>
      <c r="AA2304" s="21"/>
    </row>
    <row r="2305" spans="7:27" x14ac:dyDescent="0.2">
      <c r="G2305" s="21"/>
      <c r="H2305" s="21"/>
      <c r="N2305" s="21"/>
      <c r="O2305" s="21"/>
      <c r="T2305" s="21"/>
      <c r="AA2305" s="21"/>
    </row>
    <row r="2306" spans="7:27" x14ac:dyDescent="0.2">
      <c r="G2306" s="21"/>
      <c r="H2306" s="21"/>
      <c r="N2306" s="21"/>
      <c r="O2306" s="21"/>
      <c r="T2306" s="21"/>
      <c r="AA2306" s="21"/>
    </row>
    <row r="2307" spans="7:27" x14ac:dyDescent="0.2">
      <c r="G2307" s="21"/>
      <c r="H2307" s="21"/>
      <c r="N2307" s="21"/>
      <c r="O2307" s="21"/>
      <c r="T2307" s="21"/>
      <c r="AA2307" s="21"/>
    </row>
    <row r="2308" spans="7:27" x14ac:dyDescent="0.2">
      <c r="G2308" s="21"/>
      <c r="H2308" s="21"/>
      <c r="N2308" s="21"/>
      <c r="O2308" s="21"/>
      <c r="T2308" s="21"/>
      <c r="AA2308" s="21"/>
    </row>
    <row r="2309" spans="7:27" x14ac:dyDescent="0.2">
      <c r="G2309" s="21"/>
      <c r="H2309" s="21"/>
      <c r="N2309" s="21"/>
      <c r="O2309" s="21"/>
      <c r="T2309" s="21"/>
      <c r="AA2309" s="21"/>
    </row>
    <row r="2310" spans="7:27" x14ac:dyDescent="0.2">
      <c r="G2310" s="21"/>
      <c r="H2310" s="21"/>
      <c r="N2310" s="21"/>
      <c r="O2310" s="21"/>
      <c r="T2310" s="21"/>
      <c r="AA2310" s="21"/>
    </row>
    <row r="2311" spans="7:27" x14ac:dyDescent="0.2">
      <c r="G2311" s="21"/>
      <c r="H2311" s="21"/>
      <c r="N2311" s="21"/>
      <c r="O2311" s="21"/>
      <c r="T2311" s="21"/>
      <c r="AA2311" s="21"/>
    </row>
    <row r="2312" spans="7:27" x14ac:dyDescent="0.2">
      <c r="G2312" s="21"/>
      <c r="H2312" s="21"/>
      <c r="N2312" s="21"/>
      <c r="O2312" s="21"/>
      <c r="T2312" s="21"/>
      <c r="AA2312" s="21"/>
    </row>
    <row r="2313" spans="7:27" x14ac:dyDescent="0.2">
      <c r="G2313" s="21"/>
      <c r="H2313" s="21"/>
      <c r="N2313" s="21"/>
      <c r="O2313" s="21"/>
      <c r="T2313" s="21"/>
      <c r="AA2313" s="21"/>
    </row>
    <row r="2314" spans="7:27" x14ac:dyDescent="0.2">
      <c r="G2314" s="21"/>
      <c r="H2314" s="21"/>
      <c r="N2314" s="21"/>
      <c r="O2314" s="21"/>
      <c r="T2314" s="21"/>
      <c r="AA2314" s="21"/>
    </row>
    <row r="2315" spans="7:27" x14ac:dyDescent="0.2">
      <c r="G2315" s="21"/>
      <c r="H2315" s="21"/>
      <c r="N2315" s="21"/>
      <c r="O2315" s="21"/>
      <c r="T2315" s="21"/>
      <c r="AA2315" s="21"/>
    </row>
    <row r="2316" spans="7:27" x14ac:dyDescent="0.2">
      <c r="G2316" s="21"/>
      <c r="H2316" s="21"/>
      <c r="N2316" s="21"/>
      <c r="O2316" s="21"/>
      <c r="T2316" s="21"/>
      <c r="AA2316" s="21"/>
    </row>
    <row r="2317" spans="7:27" x14ac:dyDescent="0.2">
      <c r="G2317" s="21"/>
      <c r="H2317" s="21"/>
      <c r="N2317" s="21"/>
      <c r="O2317" s="21"/>
      <c r="T2317" s="21"/>
      <c r="AA2317" s="21"/>
    </row>
    <row r="2318" spans="7:27" x14ac:dyDescent="0.2">
      <c r="G2318" s="21"/>
      <c r="H2318" s="21"/>
      <c r="N2318" s="21"/>
      <c r="O2318" s="21"/>
      <c r="T2318" s="21"/>
      <c r="AA2318" s="21"/>
    </row>
    <row r="2319" spans="7:27" x14ac:dyDescent="0.2">
      <c r="G2319" s="21"/>
      <c r="H2319" s="21"/>
      <c r="N2319" s="21"/>
      <c r="O2319" s="21"/>
      <c r="T2319" s="21"/>
      <c r="AA2319" s="21"/>
    </row>
    <row r="2320" spans="7:27" x14ac:dyDescent="0.2">
      <c r="G2320" s="21"/>
      <c r="H2320" s="21"/>
      <c r="N2320" s="21"/>
      <c r="O2320" s="21"/>
      <c r="T2320" s="21"/>
      <c r="AA2320" s="21"/>
    </row>
    <row r="2321" spans="7:27" x14ac:dyDescent="0.2">
      <c r="G2321" s="21"/>
      <c r="H2321" s="21"/>
      <c r="N2321" s="21"/>
      <c r="O2321" s="21"/>
      <c r="T2321" s="21"/>
      <c r="AA2321" s="21"/>
    </row>
    <row r="2322" spans="7:27" x14ac:dyDescent="0.2">
      <c r="G2322" s="21"/>
      <c r="H2322" s="21"/>
      <c r="N2322" s="21"/>
      <c r="O2322" s="21"/>
      <c r="T2322" s="21"/>
      <c r="AA2322" s="21"/>
    </row>
    <row r="2323" spans="7:27" x14ac:dyDescent="0.2">
      <c r="G2323" s="21"/>
      <c r="H2323" s="21"/>
      <c r="N2323" s="21"/>
      <c r="O2323" s="21"/>
      <c r="T2323" s="21"/>
      <c r="AA2323" s="21"/>
    </row>
    <row r="2324" spans="7:27" x14ac:dyDescent="0.2">
      <c r="G2324" s="21"/>
      <c r="H2324" s="21"/>
      <c r="N2324" s="21"/>
      <c r="O2324" s="21"/>
      <c r="T2324" s="21"/>
      <c r="AA2324" s="21"/>
    </row>
    <row r="2325" spans="7:27" x14ac:dyDescent="0.2">
      <c r="G2325" s="21"/>
      <c r="H2325" s="21"/>
      <c r="N2325" s="21"/>
      <c r="O2325" s="21"/>
      <c r="T2325" s="21"/>
      <c r="AA2325" s="21"/>
    </row>
    <row r="2326" spans="7:27" x14ac:dyDescent="0.2">
      <c r="G2326" s="21"/>
      <c r="H2326" s="21"/>
      <c r="N2326" s="21"/>
      <c r="O2326" s="21"/>
      <c r="T2326" s="21"/>
      <c r="AA2326" s="21"/>
    </row>
    <row r="2327" spans="7:27" x14ac:dyDescent="0.2">
      <c r="G2327" s="21"/>
      <c r="H2327" s="21"/>
      <c r="N2327" s="21"/>
      <c r="O2327" s="21"/>
      <c r="T2327" s="21"/>
      <c r="AA2327" s="21"/>
    </row>
    <row r="2328" spans="7:27" x14ac:dyDescent="0.2">
      <c r="G2328" s="21"/>
      <c r="H2328" s="21"/>
      <c r="N2328" s="21"/>
      <c r="O2328" s="21"/>
      <c r="T2328" s="21"/>
      <c r="AA2328" s="21"/>
    </row>
    <row r="2329" spans="7:27" x14ac:dyDescent="0.2">
      <c r="G2329" s="21"/>
      <c r="H2329" s="21"/>
      <c r="N2329" s="21"/>
      <c r="O2329" s="21"/>
      <c r="T2329" s="21"/>
      <c r="AA2329" s="21"/>
    </row>
    <row r="2330" spans="7:27" x14ac:dyDescent="0.2">
      <c r="G2330" s="21"/>
      <c r="H2330" s="21"/>
      <c r="N2330" s="21"/>
      <c r="O2330" s="21"/>
      <c r="T2330" s="21"/>
      <c r="AA2330" s="21"/>
    </row>
    <row r="2331" spans="7:27" x14ac:dyDescent="0.2">
      <c r="G2331" s="21"/>
      <c r="H2331" s="21"/>
      <c r="N2331" s="21"/>
      <c r="O2331" s="21"/>
      <c r="T2331" s="21"/>
      <c r="AA2331" s="21"/>
    </row>
    <row r="2332" spans="7:27" x14ac:dyDescent="0.2">
      <c r="G2332" s="21"/>
      <c r="H2332" s="21"/>
      <c r="N2332" s="21"/>
      <c r="O2332" s="21"/>
      <c r="T2332" s="21"/>
      <c r="AA2332" s="21"/>
    </row>
    <row r="2333" spans="7:27" x14ac:dyDescent="0.2">
      <c r="G2333" s="21"/>
      <c r="H2333" s="21"/>
      <c r="N2333" s="21"/>
      <c r="O2333" s="21"/>
      <c r="T2333" s="21"/>
      <c r="AA2333" s="21"/>
    </row>
    <row r="2334" spans="7:27" x14ac:dyDescent="0.2">
      <c r="G2334" s="21"/>
      <c r="H2334" s="21"/>
      <c r="N2334" s="21"/>
      <c r="O2334" s="21"/>
      <c r="T2334" s="21"/>
      <c r="AA2334" s="21"/>
    </row>
    <row r="2335" spans="7:27" x14ac:dyDescent="0.2">
      <c r="G2335" s="21"/>
      <c r="H2335" s="21"/>
      <c r="N2335" s="21"/>
      <c r="O2335" s="21"/>
      <c r="T2335" s="21"/>
      <c r="AA2335" s="21"/>
    </row>
    <row r="2336" spans="7:27" x14ac:dyDescent="0.2">
      <c r="G2336" s="21"/>
      <c r="H2336" s="21"/>
      <c r="N2336" s="21"/>
      <c r="O2336" s="21"/>
      <c r="T2336" s="21"/>
      <c r="AA2336" s="21"/>
    </row>
    <row r="2337" spans="7:27" x14ac:dyDescent="0.2">
      <c r="G2337" s="21"/>
      <c r="H2337" s="21"/>
      <c r="N2337" s="21"/>
      <c r="O2337" s="21"/>
      <c r="T2337" s="21"/>
      <c r="AA2337" s="21"/>
    </row>
    <row r="2338" spans="7:27" x14ac:dyDescent="0.2">
      <c r="G2338" s="21"/>
      <c r="H2338" s="21"/>
      <c r="N2338" s="21"/>
      <c r="O2338" s="21"/>
      <c r="T2338" s="21"/>
      <c r="AA2338" s="21"/>
    </row>
    <row r="2339" spans="7:27" x14ac:dyDescent="0.2">
      <c r="G2339" s="21"/>
      <c r="H2339" s="21"/>
      <c r="N2339" s="21"/>
      <c r="O2339" s="21"/>
      <c r="T2339" s="21"/>
      <c r="AA2339" s="21"/>
    </row>
    <row r="2340" spans="7:27" x14ac:dyDescent="0.2">
      <c r="G2340" s="21"/>
      <c r="H2340" s="21"/>
      <c r="N2340" s="21"/>
      <c r="O2340" s="21"/>
      <c r="T2340" s="21"/>
      <c r="AA2340" s="21"/>
    </row>
    <row r="2341" spans="7:27" x14ac:dyDescent="0.2">
      <c r="G2341" s="21"/>
      <c r="H2341" s="21"/>
      <c r="N2341" s="21"/>
      <c r="O2341" s="21"/>
      <c r="T2341" s="21"/>
      <c r="AA2341" s="21"/>
    </row>
    <row r="2342" spans="7:27" x14ac:dyDescent="0.2">
      <c r="G2342" s="21"/>
      <c r="H2342" s="21"/>
      <c r="N2342" s="21"/>
      <c r="O2342" s="21"/>
      <c r="T2342" s="21"/>
      <c r="AA2342" s="21"/>
    </row>
    <row r="2343" spans="7:27" x14ac:dyDescent="0.2">
      <c r="G2343" s="21"/>
      <c r="H2343" s="21"/>
      <c r="N2343" s="21"/>
      <c r="O2343" s="21"/>
      <c r="T2343" s="21"/>
      <c r="AA2343" s="21"/>
    </row>
    <row r="2344" spans="7:27" x14ac:dyDescent="0.2">
      <c r="G2344" s="21"/>
      <c r="H2344" s="21"/>
      <c r="N2344" s="21"/>
      <c r="O2344" s="21"/>
      <c r="T2344" s="21"/>
      <c r="AA2344" s="21"/>
    </row>
    <row r="2345" spans="7:27" x14ac:dyDescent="0.2">
      <c r="G2345" s="21"/>
      <c r="H2345" s="21"/>
      <c r="N2345" s="21"/>
      <c r="O2345" s="21"/>
      <c r="T2345" s="21"/>
      <c r="AA2345" s="21"/>
    </row>
    <row r="2346" spans="7:27" x14ac:dyDescent="0.2">
      <c r="G2346" s="21"/>
      <c r="H2346" s="21"/>
      <c r="N2346" s="21"/>
      <c r="O2346" s="21"/>
      <c r="T2346" s="21"/>
      <c r="AA2346" s="21"/>
    </row>
    <row r="2347" spans="7:27" x14ac:dyDescent="0.2">
      <c r="G2347" s="21"/>
      <c r="H2347" s="21"/>
      <c r="N2347" s="21"/>
      <c r="O2347" s="21"/>
      <c r="T2347" s="21"/>
      <c r="AA2347" s="21"/>
    </row>
    <row r="2348" spans="7:27" x14ac:dyDescent="0.2">
      <c r="G2348" s="21"/>
      <c r="H2348" s="21"/>
      <c r="N2348" s="21"/>
      <c r="O2348" s="21"/>
      <c r="T2348" s="21"/>
      <c r="AA2348" s="21"/>
    </row>
    <row r="2349" spans="7:27" x14ac:dyDescent="0.2">
      <c r="G2349" s="21"/>
      <c r="H2349" s="21"/>
      <c r="N2349" s="21"/>
      <c r="O2349" s="21"/>
      <c r="T2349" s="21"/>
      <c r="AA2349" s="21"/>
    </row>
    <row r="2350" spans="7:27" x14ac:dyDescent="0.2">
      <c r="G2350" s="21"/>
      <c r="H2350" s="21"/>
      <c r="N2350" s="21"/>
      <c r="O2350" s="21"/>
      <c r="T2350" s="21"/>
      <c r="AA2350" s="21"/>
    </row>
    <row r="2351" spans="7:27" x14ac:dyDescent="0.2">
      <c r="G2351" s="21"/>
      <c r="H2351" s="21"/>
      <c r="N2351" s="21"/>
      <c r="O2351" s="21"/>
      <c r="T2351" s="21"/>
      <c r="AA2351" s="21"/>
    </row>
    <row r="2352" spans="7:27" x14ac:dyDescent="0.2">
      <c r="G2352" s="21"/>
      <c r="H2352" s="21"/>
      <c r="N2352" s="21"/>
      <c r="O2352" s="21"/>
      <c r="T2352" s="21"/>
      <c r="AA2352" s="21"/>
    </row>
    <row r="2353" spans="7:27" x14ac:dyDescent="0.2">
      <c r="G2353" s="21"/>
      <c r="H2353" s="21"/>
      <c r="N2353" s="21"/>
      <c r="O2353" s="21"/>
      <c r="T2353" s="21"/>
      <c r="AA2353" s="21"/>
    </row>
    <row r="2354" spans="7:27" x14ac:dyDescent="0.2">
      <c r="G2354" s="21"/>
      <c r="H2354" s="21"/>
      <c r="N2354" s="21"/>
      <c r="O2354" s="21"/>
      <c r="T2354" s="21"/>
      <c r="AA2354" s="21"/>
    </row>
    <row r="2355" spans="7:27" x14ac:dyDescent="0.2">
      <c r="G2355" s="21"/>
      <c r="H2355" s="21"/>
      <c r="N2355" s="21"/>
      <c r="O2355" s="21"/>
      <c r="T2355" s="21"/>
      <c r="AA2355" s="21"/>
    </row>
    <row r="2356" spans="7:27" x14ac:dyDescent="0.2">
      <c r="G2356" s="21"/>
      <c r="H2356" s="21"/>
      <c r="N2356" s="21"/>
      <c r="O2356" s="21"/>
      <c r="T2356" s="21"/>
      <c r="AA2356" s="21"/>
    </row>
    <row r="2357" spans="7:27" x14ac:dyDescent="0.2">
      <c r="G2357" s="21"/>
      <c r="H2357" s="21"/>
      <c r="N2357" s="21"/>
      <c r="O2357" s="21"/>
      <c r="T2357" s="21"/>
      <c r="AA2357" s="21"/>
    </row>
    <row r="2358" spans="7:27" x14ac:dyDescent="0.2">
      <c r="G2358" s="21"/>
      <c r="H2358" s="21"/>
      <c r="N2358" s="21"/>
      <c r="O2358" s="21"/>
      <c r="T2358" s="21"/>
      <c r="AA2358" s="21"/>
    </row>
    <row r="2359" spans="7:27" x14ac:dyDescent="0.2">
      <c r="G2359" s="21"/>
      <c r="H2359" s="21"/>
      <c r="N2359" s="21"/>
      <c r="O2359" s="21"/>
      <c r="T2359" s="21"/>
      <c r="AA2359" s="21"/>
    </row>
    <row r="2360" spans="7:27" x14ac:dyDescent="0.2">
      <c r="G2360" s="21"/>
      <c r="H2360" s="21"/>
      <c r="N2360" s="21"/>
      <c r="O2360" s="21"/>
      <c r="T2360" s="21"/>
      <c r="AA2360" s="21"/>
    </row>
    <row r="2361" spans="7:27" x14ac:dyDescent="0.2">
      <c r="G2361" s="21"/>
      <c r="H2361" s="21"/>
      <c r="N2361" s="21"/>
      <c r="O2361" s="21"/>
      <c r="T2361" s="21"/>
      <c r="AA2361" s="21"/>
    </row>
    <row r="2362" spans="7:27" x14ac:dyDescent="0.2">
      <c r="G2362" s="21"/>
      <c r="H2362" s="21"/>
      <c r="N2362" s="21"/>
      <c r="O2362" s="21"/>
      <c r="T2362" s="21"/>
      <c r="AA2362" s="21"/>
    </row>
    <row r="2363" spans="7:27" x14ac:dyDescent="0.2">
      <c r="G2363" s="21"/>
      <c r="H2363" s="21"/>
      <c r="N2363" s="21"/>
      <c r="O2363" s="21"/>
      <c r="T2363" s="21"/>
      <c r="AA2363" s="21"/>
    </row>
    <row r="2364" spans="7:27" x14ac:dyDescent="0.2">
      <c r="G2364" s="21"/>
      <c r="H2364" s="21"/>
      <c r="N2364" s="21"/>
      <c r="O2364" s="21"/>
      <c r="T2364" s="21"/>
      <c r="AA2364" s="21"/>
    </row>
    <row r="2365" spans="7:27" x14ac:dyDescent="0.2">
      <c r="G2365" s="21"/>
      <c r="H2365" s="21"/>
      <c r="N2365" s="21"/>
      <c r="O2365" s="21"/>
      <c r="T2365" s="21"/>
      <c r="AA2365" s="21"/>
    </row>
    <row r="2366" spans="7:27" x14ac:dyDescent="0.2">
      <c r="G2366" s="21"/>
      <c r="H2366" s="21"/>
      <c r="N2366" s="21"/>
      <c r="O2366" s="21"/>
      <c r="T2366" s="21"/>
      <c r="AA2366" s="21"/>
    </row>
    <row r="2367" spans="7:27" x14ac:dyDescent="0.2">
      <c r="G2367" s="21"/>
      <c r="H2367" s="21"/>
      <c r="N2367" s="21"/>
      <c r="O2367" s="21"/>
      <c r="T2367" s="21"/>
      <c r="AA2367" s="21"/>
    </row>
    <row r="2368" spans="7:27" x14ac:dyDescent="0.2">
      <c r="G2368" s="21"/>
      <c r="H2368" s="21"/>
      <c r="N2368" s="21"/>
      <c r="O2368" s="21"/>
      <c r="T2368" s="21"/>
      <c r="AA2368" s="21"/>
    </row>
    <row r="2369" spans="7:27" x14ac:dyDescent="0.2">
      <c r="G2369" s="21"/>
      <c r="H2369" s="21"/>
      <c r="N2369" s="21"/>
      <c r="O2369" s="21"/>
      <c r="T2369" s="21"/>
      <c r="AA2369" s="21"/>
    </row>
    <row r="2370" spans="7:27" x14ac:dyDescent="0.2">
      <c r="G2370" s="21"/>
      <c r="H2370" s="21"/>
      <c r="N2370" s="21"/>
      <c r="O2370" s="21"/>
      <c r="T2370" s="21"/>
      <c r="AA2370" s="21"/>
    </row>
    <row r="2371" spans="7:27" x14ac:dyDescent="0.2">
      <c r="G2371" s="21"/>
      <c r="H2371" s="21"/>
      <c r="N2371" s="21"/>
      <c r="O2371" s="21"/>
      <c r="T2371" s="21"/>
      <c r="AA2371" s="21"/>
    </row>
    <row r="2372" spans="7:27" x14ac:dyDescent="0.2">
      <c r="G2372" s="21"/>
      <c r="H2372" s="21"/>
      <c r="N2372" s="21"/>
      <c r="O2372" s="21"/>
      <c r="T2372" s="21"/>
      <c r="AA2372" s="21"/>
    </row>
    <row r="2373" spans="7:27" x14ac:dyDescent="0.2">
      <c r="G2373" s="21"/>
      <c r="H2373" s="21"/>
      <c r="N2373" s="21"/>
      <c r="O2373" s="21"/>
      <c r="T2373" s="21"/>
      <c r="AA2373" s="21"/>
    </row>
    <row r="2374" spans="7:27" x14ac:dyDescent="0.2">
      <c r="G2374" s="21"/>
      <c r="H2374" s="21"/>
      <c r="N2374" s="21"/>
      <c r="O2374" s="21"/>
      <c r="T2374" s="21"/>
      <c r="AA2374" s="21"/>
    </row>
    <row r="2375" spans="7:27" x14ac:dyDescent="0.2">
      <c r="G2375" s="21"/>
      <c r="H2375" s="21"/>
      <c r="N2375" s="21"/>
      <c r="O2375" s="21"/>
      <c r="T2375" s="21"/>
      <c r="AA2375" s="21"/>
    </row>
    <row r="2376" spans="7:27" x14ac:dyDescent="0.2">
      <c r="G2376" s="21"/>
      <c r="H2376" s="21"/>
      <c r="N2376" s="21"/>
      <c r="O2376" s="21"/>
      <c r="T2376" s="21"/>
      <c r="AA2376" s="21"/>
    </row>
    <row r="2377" spans="7:27" x14ac:dyDescent="0.2">
      <c r="G2377" s="21"/>
      <c r="H2377" s="21"/>
      <c r="N2377" s="21"/>
      <c r="O2377" s="21"/>
      <c r="T2377" s="21"/>
      <c r="AA2377" s="21"/>
    </row>
    <row r="2378" spans="7:27" x14ac:dyDescent="0.2">
      <c r="G2378" s="21"/>
      <c r="H2378" s="21"/>
      <c r="N2378" s="21"/>
      <c r="O2378" s="21"/>
      <c r="T2378" s="21"/>
      <c r="AA2378" s="21"/>
    </row>
    <row r="2379" spans="7:27" x14ac:dyDescent="0.2">
      <c r="G2379" s="21"/>
      <c r="H2379" s="21"/>
      <c r="N2379" s="21"/>
      <c r="O2379" s="21"/>
      <c r="T2379" s="21"/>
      <c r="AA2379" s="21"/>
    </row>
    <row r="2380" spans="7:27" x14ac:dyDescent="0.2">
      <c r="G2380" s="21"/>
      <c r="H2380" s="21"/>
      <c r="N2380" s="21"/>
      <c r="O2380" s="21"/>
      <c r="T2380" s="21"/>
      <c r="AA2380" s="21"/>
    </row>
    <row r="2381" spans="7:27" x14ac:dyDescent="0.2">
      <c r="G2381" s="21"/>
      <c r="H2381" s="21"/>
      <c r="N2381" s="21"/>
      <c r="O2381" s="21"/>
      <c r="T2381" s="21"/>
      <c r="AA2381" s="21"/>
    </row>
    <row r="2382" spans="7:27" x14ac:dyDescent="0.2">
      <c r="G2382" s="21"/>
      <c r="H2382" s="21"/>
      <c r="N2382" s="21"/>
      <c r="O2382" s="21"/>
      <c r="T2382" s="21"/>
      <c r="AA2382" s="21"/>
    </row>
    <row r="2383" spans="7:27" x14ac:dyDescent="0.2">
      <c r="G2383" s="21"/>
      <c r="H2383" s="21"/>
      <c r="N2383" s="21"/>
      <c r="O2383" s="21"/>
      <c r="T2383" s="21"/>
      <c r="AA2383" s="21"/>
    </row>
    <row r="2384" spans="7:27" x14ac:dyDescent="0.2">
      <c r="G2384" s="21"/>
      <c r="H2384" s="21"/>
      <c r="N2384" s="21"/>
      <c r="O2384" s="21"/>
      <c r="T2384" s="21"/>
      <c r="AA2384" s="21"/>
    </row>
    <row r="2385" spans="7:27" x14ac:dyDescent="0.2">
      <c r="G2385" s="21"/>
      <c r="H2385" s="21"/>
      <c r="N2385" s="21"/>
      <c r="O2385" s="21"/>
      <c r="T2385" s="21"/>
      <c r="AA2385" s="21"/>
    </row>
    <row r="2386" spans="7:27" x14ac:dyDescent="0.2">
      <c r="G2386" s="21"/>
      <c r="H2386" s="21"/>
      <c r="N2386" s="21"/>
      <c r="O2386" s="21"/>
      <c r="T2386" s="21"/>
      <c r="AA2386" s="21"/>
    </row>
    <row r="2387" spans="7:27" x14ac:dyDescent="0.2">
      <c r="G2387" s="21"/>
      <c r="H2387" s="21"/>
      <c r="N2387" s="21"/>
      <c r="O2387" s="21"/>
      <c r="T2387" s="21"/>
      <c r="AA2387" s="21"/>
    </row>
    <row r="2388" spans="7:27" x14ac:dyDescent="0.2">
      <c r="G2388" s="21"/>
      <c r="H2388" s="21"/>
      <c r="N2388" s="21"/>
      <c r="O2388" s="21"/>
      <c r="T2388" s="21"/>
      <c r="AA2388" s="21"/>
    </row>
    <row r="2389" spans="7:27" x14ac:dyDescent="0.2">
      <c r="G2389" s="21"/>
      <c r="H2389" s="21"/>
      <c r="N2389" s="21"/>
      <c r="O2389" s="21"/>
      <c r="T2389" s="21"/>
      <c r="AA2389" s="21"/>
    </row>
    <row r="2390" spans="7:27" x14ac:dyDescent="0.2">
      <c r="G2390" s="21"/>
      <c r="H2390" s="21"/>
      <c r="N2390" s="21"/>
      <c r="O2390" s="21"/>
      <c r="T2390" s="21"/>
      <c r="AA2390" s="21"/>
    </row>
    <row r="2391" spans="7:27" x14ac:dyDescent="0.2">
      <c r="G2391" s="21"/>
      <c r="H2391" s="21"/>
      <c r="N2391" s="21"/>
      <c r="O2391" s="21"/>
      <c r="T2391" s="21"/>
      <c r="AA2391" s="21"/>
    </row>
    <row r="2392" spans="7:27" x14ac:dyDescent="0.2">
      <c r="G2392" s="21"/>
      <c r="H2392" s="21"/>
      <c r="N2392" s="21"/>
      <c r="O2392" s="21"/>
      <c r="T2392" s="21"/>
      <c r="AA2392" s="21"/>
    </row>
    <row r="2393" spans="7:27" x14ac:dyDescent="0.2">
      <c r="G2393" s="21"/>
      <c r="H2393" s="21"/>
      <c r="N2393" s="21"/>
      <c r="O2393" s="21"/>
      <c r="T2393" s="21"/>
      <c r="AA2393" s="21"/>
    </row>
    <row r="2394" spans="7:27" x14ac:dyDescent="0.2">
      <c r="G2394" s="21"/>
      <c r="H2394" s="21"/>
      <c r="N2394" s="21"/>
      <c r="O2394" s="21"/>
      <c r="T2394" s="21"/>
      <c r="AA2394" s="21"/>
    </row>
    <row r="2395" spans="7:27" x14ac:dyDescent="0.2">
      <c r="G2395" s="21"/>
      <c r="H2395" s="21"/>
      <c r="N2395" s="21"/>
      <c r="O2395" s="21"/>
      <c r="T2395" s="21"/>
      <c r="AA2395" s="21"/>
    </row>
    <row r="2396" spans="7:27" x14ac:dyDescent="0.2">
      <c r="G2396" s="21"/>
      <c r="H2396" s="21"/>
      <c r="N2396" s="21"/>
      <c r="O2396" s="21"/>
      <c r="T2396" s="21"/>
      <c r="AA2396" s="21"/>
    </row>
    <row r="2397" spans="7:27" x14ac:dyDescent="0.2">
      <c r="G2397" s="21"/>
      <c r="H2397" s="21"/>
      <c r="N2397" s="21"/>
      <c r="O2397" s="21"/>
      <c r="T2397" s="21"/>
      <c r="AA2397" s="21"/>
    </row>
    <row r="2398" spans="7:27" x14ac:dyDescent="0.2">
      <c r="G2398" s="21"/>
      <c r="H2398" s="21"/>
      <c r="N2398" s="21"/>
      <c r="O2398" s="21"/>
      <c r="T2398" s="21"/>
      <c r="AA2398" s="21"/>
    </row>
    <row r="2399" spans="7:27" x14ac:dyDescent="0.2">
      <c r="G2399" s="21"/>
      <c r="H2399" s="21"/>
      <c r="N2399" s="21"/>
      <c r="O2399" s="21"/>
      <c r="T2399" s="21"/>
      <c r="AA2399" s="21"/>
    </row>
    <row r="2400" spans="7:27" x14ac:dyDescent="0.2">
      <c r="G2400" s="21"/>
      <c r="H2400" s="21"/>
      <c r="N2400" s="21"/>
      <c r="O2400" s="21"/>
      <c r="T2400" s="21"/>
      <c r="AA2400" s="21"/>
    </row>
    <row r="2401" spans="7:27" x14ac:dyDescent="0.2">
      <c r="G2401" s="21"/>
      <c r="H2401" s="21"/>
      <c r="N2401" s="21"/>
      <c r="O2401" s="21"/>
      <c r="T2401" s="21"/>
      <c r="AA2401" s="21"/>
    </row>
    <row r="2402" spans="7:27" x14ac:dyDescent="0.2">
      <c r="G2402" s="21"/>
      <c r="H2402" s="21"/>
      <c r="N2402" s="21"/>
      <c r="O2402" s="21"/>
      <c r="T2402" s="21"/>
      <c r="AA2402" s="21"/>
    </row>
    <row r="2403" spans="7:27" x14ac:dyDescent="0.2">
      <c r="G2403" s="21"/>
      <c r="H2403" s="21"/>
      <c r="N2403" s="21"/>
      <c r="O2403" s="21"/>
      <c r="T2403" s="21"/>
      <c r="AA2403" s="21"/>
    </row>
    <row r="2404" spans="7:27" x14ac:dyDescent="0.2">
      <c r="G2404" s="21"/>
      <c r="H2404" s="21"/>
      <c r="N2404" s="21"/>
      <c r="O2404" s="21"/>
      <c r="T2404" s="21"/>
      <c r="AA2404" s="21"/>
    </row>
    <row r="2405" spans="7:27" x14ac:dyDescent="0.2">
      <c r="G2405" s="21"/>
      <c r="H2405" s="21"/>
      <c r="N2405" s="21"/>
      <c r="O2405" s="21"/>
      <c r="T2405" s="21"/>
      <c r="AA2405" s="21"/>
    </row>
    <row r="2406" spans="7:27" x14ac:dyDescent="0.2">
      <c r="G2406" s="21"/>
      <c r="H2406" s="21"/>
      <c r="N2406" s="21"/>
      <c r="O2406" s="21"/>
      <c r="T2406" s="21"/>
      <c r="AA2406" s="21"/>
    </row>
    <row r="2407" spans="7:27" x14ac:dyDescent="0.2">
      <c r="G2407" s="21"/>
      <c r="H2407" s="21"/>
      <c r="N2407" s="21"/>
      <c r="O2407" s="21"/>
      <c r="T2407" s="21"/>
      <c r="AA2407" s="21"/>
    </row>
    <row r="2408" spans="7:27" x14ac:dyDescent="0.2">
      <c r="G2408" s="21"/>
      <c r="H2408" s="21"/>
      <c r="N2408" s="21"/>
      <c r="O2408" s="21"/>
      <c r="T2408" s="21"/>
      <c r="AA2408" s="21"/>
    </row>
    <row r="2409" spans="7:27" x14ac:dyDescent="0.2">
      <c r="G2409" s="21"/>
      <c r="H2409" s="21"/>
      <c r="N2409" s="21"/>
      <c r="O2409" s="21"/>
      <c r="T2409" s="21"/>
      <c r="AA2409" s="21"/>
    </row>
    <row r="2410" spans="7:27" x14ac:dyDescent="0.2">
      <c r="G2410" s="21"/>
      <c r="H2410" s="21"/>
      <c r="N2410" s="21"/>
      <c r="O2410" s="21"/>
      <c r="T2410" s="21"/>
      <c r="AA2410" s="21"/>
    </row>
    <row r="2411" spans="7:27" x14ac:dyDescent="0.2">
      <c r="G2411" s="21"/>
      <c r="H2411" s="21"/>
      <c r="N2411" s="21"/>
      <c r="O2411" s="21"/>
      <c r="T2411" s="21"/>
      <c r="AA2411" s="21"/>
    </row>
    <row r="2412" spans="7:27" x14ac:dyDescent="0.2">
      <c r="G2412" s="21"/>
      <c r="H2412" s="21"/>
      <c r="N2412" s="21"/>
      <c r="O2412" s="21"/>
      <c r="T2412" s="21"/>
      <c r="AA2412" s="21"/>
    </row>
    <row r="2413" spans="7:27" x14ac:dyDescent="0.2">
      <c r="G2413" s="21"/>
      <c r="H2413" s="21"/>
      <c r="N2413" s="21"/>
      <c r="O2413" s="21"/>
      <c r="T2413" s="21"/>
      <c r="AA2413" s="21"/>
    </row>
    <row r="2414" spans="7:27" x14ac:dyDescent="0.2">
      <c r="G2414" s="21"/>
      <c r="H2414" s="21"/>
      <c r="N2414" s="21"/>
      <c r="O2414" s="21"/>
      <c r="T2414" s="21"/>
      <c r="AA2414" s="21"/>
    </row>
    <row r="2415" spans="7:27" x14ac:dyDescent="0.2">
      <c r="G2415" s="21"/>
      <c r="H2415" s="21"/>
      <c r="N2415" s="21"/>
      <c r="O2415" s="21"/>
      <c r="T2415" s="21"/>
      <c r="AA2415" s="21"/>
    </row>
    <row r="2416" spans="7:27" x14ac:dyDescent="0.2">
      <c r="G2416" s="21"/>
      <c r="H2416" s="21"/>
      <c r="N2416" s="21"/>
      <c r="O2416" s="21"/>
      <c r="T2416" s="21"/>
      <c r="AA2416" s="21"/>
    </row>
    <row r="2417" spans="7:27" x14ac:dyDescent="0.2">
      <c r="G2417" s="21"/>
      <c r="H2417" s="21"/>
      <c r="N2417" s="21"/>
      <c r="O2417" s="21"/>
      <c r="T2417" s="21"/>
      <c r="AA2417" s="21"/>
    </row>
    <row r="2418" spans="7:27" x14ac:dyDescent="0.2">
      <c r="G2418" s="21"/>
      <c r="H2418" s="21"/>
      <c r="N2418" s="21"/>
      <c r="O2418" s="21"/>
      <c r="T2418" s="21"/>
      <c r="AA2418" s="21"/>
    </row>
    <row r="2419" spans="7:27" x14ac:dyDescent="0.2">
      <c r="G2419" s="21"/>
      <c r="H2419" s="21"/>
      <c r="N2419" s="21"/>
      <c r="O2419" s="21"/>
      <c r="T2419" s="21"/>
      <c r="AA2419" s="21"/>
    </row>
    <row r="2420" spans="7:27" x14ac:dyDescent="0.2">
      <c r="G2420" s="21"/>
      <c r="H2420" s="21"/>
      <c r="N2420" s="21"/>
      <c r="O2420" s="21"/>
      <c r="T2420" s="21"/>
      <c r="AA2420" s="21"/>
    </row>
    <row r="2421" spans="7:27" x14ac:dyDescent="0.2">
      <c r="G2421" s="21"/>
      <c r="H2421" s="21"/>
      <c r="N2421" s="21"/>
      <c r="O2421" s="21"/>
      <c r="T2421" s="21"/>
      <c r="AA2421" s="21"/>
    </row>
    <row r="2422" spans="7:27" x14ac:dyDescent="0.2">
      <c r="G2422" s="21"/>
      <c r="H2422" s="21"/>
      <c r="N2422" s="21"/>
      <c r="O2422" s="21"/>
      <c r="T2422" s="21"/>
      <c r="AA2422" s="21"/>
    </row>
    <row r="2423" spans="7:27" x14ac:dyDescent="0.2">
      <c r="G2423" s="21"/>
      <c r="H2423" s="21"/>
      <c r="N2423" s="21"/>
      <c r="O2423" s="21"/>
      <c r="T2423" s="21"/>
      <c r="AA2423" s="21"/>
    </row>
    <row r="2424" spans="7:27" x14ac:dyDescent="0.2">
      <c r="G2424" s="21"/>
      <c r="H2424" s="21"/>
      <c r="N2424" s="21"/>
      <c r="O2424" s="21"/>
      <c r="T2424" s="21"/>
      <c r="AA2424" s="21"/>
    </row>
    <row r="2425" spans="7:27" x14ac:dyDescent="0.2">
      <c r="G2425" s="21"/>
      <c r="H2425" s="21"/>
      <c r="N2425" s="21"/>
      <c r="O2425" s="21"/>
      <c r="T2425" s="21"/>
      <c r="AA2425" s="21"/>
    </row>
    <row r="2426" spans="7:27" x14ac:dyDescent="0.2">
      <c r="G2426" s="21"/>
      <c r="H2426" s="21"/>
      <c r="N2426" s="21"/>
      <c r="O2426" s="21"/>
      <c r="T2426" s="21"/>
      <c r="AA2426" s="21"/>
    </row>
    <row r="2427" spans="7:27" x14ac:dyDescent="0.2">
      <c r="G2427" s="21"/>
      <c r="H2427" s="21"/>
      <c r="N2427" s="21"/>
      <c r="O2427" s="21"/>
      <c r="T2427" s="21"/>
      <c r="AA2427" s="21"/>
    </row>
    <row r="2428" spans="7:27" x14ac:dyDescent="0.2">
      <c r="G2428" s="21"/>
      <c r="H2428" s="21"/>
      <c r="N2428" s="21"/>
      <c r="O2428" s="21"/>
      <c r="T2428" s="21"/>
      <c r="AA2428" s="21"/>
    </row>
    <row r="2429" spans="7:27" x14ac:dyDescent="0.2">
      <c r="G2429" s="21"/>
      <c r="H2429" s="21"/>
      <c r="N2429" s="21"/>
      <c r="O2429" s="21"/>
      <c r="T2429" s="21"/>
      <c r="AA2429" s="21"/>
    </row>
    <row r="2430" spans="7:27" x14ac:dyDescent="0.2">
      <c r="G2430" s="21"/>
      <c r="H2430" s="21"/>
      <c r="N2430" s="21"/>
      <c r="O2430" s="21"/>
      <c r="T2430" s="21"/>
      <c r="AA2430" s="21"/>
    </row>
    <row r="2431" spans="7:27" x14ac:dyDescent="0.2">
      <c r="G2431" s="21"/>
      <c r="H2431" s="21"/>
      <c r="N2431" s="21"/>
      <c r="O2431" s="21"/>
      <c r="T2431" s="21"/>
      <c r="AA2431" s="21"/>
    </row>
    <row r="2432" spans="7:27" x14ac:dyDescent="0.2">
      <c r="G2432" s="21"/>
      <c r="H2432" s="21"/>
      <c r="N2432" s="21"/>
      <c r="O2432" s="21"/>
      <c r="T2432" s="21"/>
      <c r="AA2432" s="21"/>
    </row>
    <row r="2433" spans="7:27" x14ac:dyDescent="0.2">
      <c r="G2433" s="21"/>
      <c r="H2433" s="21"/>
      <c r="N2433" s="21"/>
      <c r="O2433" s="21"/>
      <c r="T2433" s="21"/>
      <c r="AA2433" s="21"/>
    </row>
    <row r="2434" spans="7:27" x14ac:dyDescent="0.2">
      <c r="G2434" s="21"/>
      <c r="H2434" s="21"/>
      <c r="N2434" s="21"/>
      <c r="O2434" s="21"/>
      <c r="T2434" s="21"/>
      <c r="AA2434" s="21"/>
    </row>
    <row r="2435" spans="7:27" x14ac:dyDescent="0.2">
      <c r="G2435" s="21"/>
      <c r="H2435" s="21"/>
      <c r="N2435" s="21"/>
      <c r="O2435" s="21"/>
      <c r="T2435" s="21"/>
      <c r="AA2435" s="21"/>
    </row>
    <row r="2436" spans="7:27" x14ac:dyDescent="0.2">
      <c r="G2436" s="21"/>
      <c r="H2436" s="21"/>
      <c r="N2436" s="21"/>
      <c r="O2436" s="21"/>
      <c r="T2436" s="21"/>
      <c r="AA2436" s="21"/>
    </row>
    <row r="2437" spans="7:27" x14ac:dyDescent="0.2">
      <c r="G2437" s="21"/>
      <c r="H2437" s="21"/>
      <c r="N2437" s="21"/>
      <c r="O2437" s="21"/>
      <c r="T2437" s="21"/>
      <c r="AA2437" s="21"/>
    </row>
    <row r="2438" spans="7:27" x14ac:dyDescent="0.2">
      <c r="G2438" s="21"/>
      <c r="H2438" s="21"/>
      <c r="N2438" s="21"/>
      <c r="O2438" s="21"/>
      <c r="T2438" s="21"/>
      <c r="AA2438" s="21"/>
    </row>
    <row r="2439" spans="7:27" x14ac:dyDescent="0.2">
      <c r="G2439" s="21"/>
      <c r="H2439" s="21"/>
      <c r="N2439" s="21"/>
      <c r="O2439" s="21"/>
      <c r="T2439" s="21"/>
      <c r="AA2439" s="21"/>
    </row>
    <row r="2440" spans="7:27" x14ac:dyDescent="0.2">
      <c r="G2440" s="21"/>
      <c r="H2440" s="21"/>
      <c r="N2440" s="21"/>
      <c r="O2440" s="21"/>
      <c r="T2440" s="21"/>
      <c r="AA2440" s="21"/>
    </row>
    <row r="2441" spans="7:27" x14ac:dyDescent="0.2">
      <c r="G2441" s="21"/>
      <c r="H2441" s="21"/>
      <c r="N2441" s="21"/>
      <c r="O2441" s="21"/>
      <c r="T2441" s="21"/>
      <c r="AA2441" s="21"/>
    </row>
    <row r="2442" spans="7:27" x14ac:dyDescent="0.2">
      <c r="G2442" s="21"/>
      <c r="H2442" s="21"/>
      <c r="N2442" s="21"/>
      <c r="O2442" s="21"/>
      <c r="T2442" s="21"/>
      <c r="AA2442" s="21"/>
    </row>
    <row r="2443" spans="7:27" x14ac:dyDescent="0.2">
      <c r="G2443" s="21"/>
      <c r="H2443" s="21"/>
      <c r="N2443" s="21"/>
      <c r="O2443" s="21"/>
      <c r="T2443" s="21"/>
      <c r="AA2443" s="21"/>
    </row>
    <row r="2444" spans="7:27" x14ac:dyDescent="0.2">
      <c r="G2444" s="21"/>
      <c r="H2444" s="21"/>
      <c r="N2444" s="21"/>
      <c r="O2444" s="21"/>
      <c r="T2444" s="21"/>
      <c r="AA2444" s="21"/>
    </row>
    <row r="2445" spans="7:27" x14ac:dyDescent="0.2">
      <c r="G2445" s="21"/>
      <c r="H2445" s="21"/>
      <c r="N2445" s="21"/>
      <c r="O2445" s="21"/>
      <c r="T2445" s="21"/>
      <c r="AA2445" s="21"/>
    </row>
    <row r="2446" spans="7:27" x14ac:dyDescent="0.2">
      <c r="G2446" s="21"/>
      <c r="H2446" s="21"/>
      <c r="N2446" s="21"/>
      <c r="O2446" s="21"/>
      <c r="T2446" s="21"/>
      <c r="AA2446" s="21"/>
    </row>
    <row r="2447" spans="7:27" x14ac:dyDescent="0.2">
      <c r="G2447" s="21"/>
      <c r="H2447" s="21"/>
      <c r="N2447" s="21"/>
      <c r="O2447" s="21"/>
      <c r="T2447" s="21"/>
      <c r="AA2447" s="21"/>
    </row>
    <row r="2448" spans="7:27" x14ac:dyDescent="0.2">
      <c r="G2448" s="21"/>
      <c r="H2448" s="21"/>
      <c r="N2448" s="21"/>
      <c r="O2448" s="21"/>
      <c r="T2448" s="21"/>
      <c r="AA2448" s="21"/>
    </row>
    <row r="2449" spans="7:27" x14ac:dyDescent="0.2">
      <c r="G2449" s="21"/>
      <c r="H2449" s="21"/>
      <c r="N2449" s="21"/>
      <c r="O2449" s="21"/>
      <c r="T2449" s="21"/>
      <c r="AA2449" s="21"/>
    </row>
    <row r="2450" spans="7:27" x14ac:dyDescent="0.2">
      <c r="G2450" s="21"/>
      <c r="H2450" s="21"/>
      <c r="N2450" s="21"/>
      <c r="O2450" s="21"/>
      <c r="T2450" s="21"/>
      <c r="AA2450" s="21"/>
    </row>
    <row r="2451" spans="7:27" x14ac:dyDescent="0.2">
      <c r="G2451" s="21"/>
      <c r="H2451" s="21"/>
      <c r="N2451" s="21"/>
      <c r="O2451" s="21"/>
      <c r="T2451" s="21"/>
      <c r="AA2451" s="21"/>
    </row>
    <row r="2452" spans="7:27" x14ac:dyDescent="0.2">
      <c r="G2452" s="21"/>
      <c r="H2452" s="21"/>
      <c r="N2452" s="21"/>
      <c r="O2452" s="21"/>
      <c r="T2452" s="21"/>
      <c r="AA2452" s="21"/>
    </row>
    <row r="2453" spans="7:27" x14ac:dyDescent="0.2">
      <c r="G2453" s="21"/>
      <c r="H2453" s="21"/>
      <c r="N2453" s="21"/>
      <c r="O2453" s="21"/>
      <c r="T2453" s="21"/>
      <c r="AA2453" s="21"/>
    </row>
    <row r="2454" spans="7:27" x14ac:dyDescent="0.2">
      <c r="G2454" s="21"/>
      <c r="H2454" s="21"/>
      <c r="N2454" s="21"/>
      <c r="O2454" s="21"/>
      <c r="T2454" s="21"/>
      <c r="AA2454" s="21"/>
    </row>
    <row r="2455" spans="7:27" x14ac:dyDescent="0.2">
      <c r="G2455" s="21"/>
      <c r="H2455" s="21"/>
      <c r="N2455" s="21"/>
      <c r="O2455" s="21"/>
      <c r="T2455" s="21"/>
      <c r="AA2455" s="21"/>
    </row>
    <row r="2456" spans="7:27" x14ac:dyDescent="0.2">
      <c r="G2456" s="21"/>
      <c r="H2456" s="21"/>
      <c r="N2456" s="21"/>
      <c r="O2456" s="21"/>
      <c r="T2456" s="21"/>
      <c r="AA2456" s="21"/>
    </row>
    <row r="2457" spans="7:27" x14ac:dyDescent="0.2">
      <c r="G2457" s="21"/>
      <c r="H2457" s="21"/>
      <c r="N2457" s="21"/>
      <c r="O2457" s="21"/>
      <c r="T2457" s="21"/>
      <c r="AA2457" s="21"/>
    </row>
    <row r="2458" spans="7:27" x14ac:dyDescent="0.2">
      <c r="G2458" s="21"/>
      <c r="H2458" s="21"/>
      <c r="N2458" s="21"/>
      <c r="O2458" s="21"/>
      <c r="T2458" s="21"/>
      <c r="AA2458" s="21"/>
    </row>
    <row r="2459" spans="7:27" x14ac:dyDescent="0.2">
      <c r="G2459" s="21"/>
      <c r="H2459" s="21"/>
      <c r="N2459" s="21"/>
      <c r="O2459" s="21"/>
      <c r="T2459" s="21"/>
      <c r="AA2459" s="21"/>
    </row>
    <row r="2460" spans="7:27" x14ac:dyDescent="0.2">
      <c r="G2460" s="21"/>
      <c r="H2460" s="21"/>
      <c r="N2460" s="21"/>
      <c r="O2460" s="21"/>
      <c r="T2460" s="21"/>
      <c r="AA2460" s="21"/>
    </row>
    <row r="2461" spans="7:27" x14ac:dyDescent="0.2">
      <c r="G2461" s="21"/>
      <c r="H2461" s="21"/>
      <c r="N2461" s="21"/>
      <c r="O2461" s="21"/>
      <c r="T2461" s="21"/>
      <c r="AA2461" s="21"/>
    </row>
    <row r="2462" spans="7:27" x14ac:dyDescent="0.2">
      <c r="G2462" s="21"/>
      <c r="H2462" s="21"/>
      <c r="N2462" s="21"/>
      <c r="O2462" s="21"/>
      <c r="T2462" s="21"/>
      <c r="AA2462" s="21"/>
    </row>
    <row r="2463" spans="7:27" x14ac:dyDescent="0.2">
      <c r="G2463" s="21"/>
      <c r="H2463" s="21"/>
      <c r="N2463" s="21"/>
      <c r="O2463" s="21"/>
      <c r="T2463" s="21"/>
      <c r="AA2463" s="21"/>
    </row>
    <row r="2464" spans="7:27" x14ac:dyDescent="0.2">
      <c r="G2464" s="21"/>
      <c r="H2464" s="21"/>
      <c r="N2464" s="21"/>
      <c r="O2464" s="21"/>
      <c r="T2464" s="21"/>
      <c r="AA2464" s="21"/>
    </row>
    <row r="2465" spans="7:27" x14ac:dyDescent="0.2">
      <c r="G2465" s="21"/>
      <c r="H2465" s="21"/>
      <c r="N2465" s="21"/>
      <c r="O2465" s="21"/>
      <c r="T2465" s="21"/>
      <c r="AA2465" s="21"/>
    </row>
    <row r="2466" spans="7:27" x14ac:dyDescent="0.2">
      <c r="G2466" s="21"/>
      <c r="H2466" s="21"/>
      <c r="N2466" s="21"/>
      <c r="O2466" s="21"/>
      <c r="T2466" s="21"/>
      <c r="AA2466" s="21"/>
    </row>
    <row r="2467" spans="7:27" x14ac:dyDescent="0.2">
      <c r="G2467" s="21"/>
      <c r="H2467" s="21"/>
      <c r="N2467" s="21"/>
      <c r="O2467" s="21"/>
      <c r="T2467" s="21"/>
      <c r="AA2467" s="21"/>
    </row>
    <row r="2468" spans="7:27" x14ac:dyDescent="0.2">
      <c r="G2468" s="21"/>
      <c r="H2468" s="21"/>
      <c r="N2468" s="21"/>
      <c r="O2468" s="21"/>
      <c r="T2468" s="21"/>
      <c r="AA2468" s="21"/>
    </row>
    <row r="2469" spans="7:27" x14ac:dyDescent="0.2">
      <c r="G2469" s="21"/>
      <c r="H2469" s="21"/>
      <c r="N2469" s="21"/>
      <c r="O2469" s="21"/>
      <c r="T2469" s="21"/>
      <c r="AA2469" s="21"/>
    </row>
    <row r="2470" spans="7:27" x14ac:dyDescent="0.2">
      <c r="G2470" s="21"/>
      <c r="H2470" s="21"/>
      <c r="N2470" s="21"/>
      <c r="O2470" s="21"/>
      <c r="T2470" s="21"/>
      <c r="AA2470" s="21"/>
    </row>
    <row r="2471" spans="7:27" x14ac:dyDescent="0.2">
      <c r="G2471" s="21"/>
      <c r="H2471" s="21"/>
      <c r="N2471" s="21"/>
      <c r="O2471" s="21"/>
      <c r="T2471" s="21"/>
      <c r="AA2471" s="21"/>
    </row>
    <row r="2472" spans="7:27" x14ac:dyDescent="0.2">
      <c r="G2472" s="21"/>
      <c r="H2472" s="21"/>
      <c r="N2472" s="21"/>
      <c r="O2472" s="21"/>
      <c r="T2472" s="21"/>
      <c r="AA2472" s="21"/>
    </row>
    <row r="2473" spans="7:27" x14ac:dyDescent="0.2">
      <c r="G2473" s="21"/>
      <c r="H2473" s="21"/>
      <c r="N2473" s="21"/>
      <c r="O2473" s="21"/>
      <c r="T2473" s="21"/>
      <c r="AA2473" s="21"/>
    </row>
    <row r="2474" spans="7:27" x14ac:dyDescent="0.2">
      <c r="G2474" s="21"/>
      <c r="H2474" s="21"/>
      <c r="N2474" s="21"/>
      <c r="O2474" s="21"/>
      <c r="T2474" s="21"/>
      <c r="AA2474" s="21"/>
    </row>
    <row r="2475" spans="7:27" x14ac:dyDescent="0.2">
      <c r="G2475" s="21"/>
      <c r="H2475" s="21"/>
      <c r="N2475" s="21"/>
      <c r="O2475" s="21"/>
      <c r="T2475" s="21"/>
      <c r="AA2475" s="21"/>
    </row>
    <row r="2476" spans="7:27" x14ac:dyDescent="0.2">
      <c r="G2476" s="21"/>
      <c r="H2476" s="21"/>
      <c r="N2476" s="21"/>
      <c r="O2476" s="21"/>
      <c r="T2476" s="21"/>
      <c r="AA2476" s="21"/>
    </row>
    <row r="2477" spans="7:27" x14ac:dyDescent="0.2">
      <c r="G2477" s="21"/>
      <c r="H2477" s="21"/>
      <c r="N2477" s="21"/>
      <c r="O2477" s="21"/>
      <c r="T2477" s="21"/>
      <c r="AA2477" s="21"/>
    </row>
    <row r="2478" spans="7:27" x14ac:dyDescent="0.2">
      <c r="G2478" s="21"/>
      <c r="H2478" s="21"/>
      <c r="N2478" s="21"/>
      <c r="O2478" s="21"/>
      <c r="T2478" s="21"/>
      <c r="AA2478" s="21"/>
    </row>
    <row r="2479" spans="7:27" x14ac:dyDescent="0.2">
      <c r="G2479" s="21"/>
      <c r="H2479" s="21"/>
      <c r="N2479" s="21"/>
      <c r="O2479" s="21"/>
      <c r="T2479" s="21"/>
      <c r="AA2479" s="21"/>
    </row>
    <row r="2480" spans="7:27" x14ac:dyDescent="0.2">
      <c r="G2480" s="21"/>
      <c r="H2480" s="21"/>
      <c r="N2480" s="21"/>
      <c r="O2480" s="21"/>
      <c r="T2480" s="21"/>
      <c r="AA2480" s="21"/>
    </row>
    <row r="2481" spans="7:27" x14ac:dyDescent="0.2">
      <c r="G2481" s="21"/>
      <c r="H2481" s="21"/>
      <c r="N2481" s="21"/>
      <c r="O2481" s="21"/>
      <c r="T2481" s="21"/>
      <c r="AA2481" s="21"/>
    </row>
    <row r="2482" spans="7:27" x14ac:dyDescent="0.2">
      <c r="G2482" s="21"/>
      <c r="H2482" s="21"/>
      <c r="N2482" s="21"/>
      <c r="O2482" s="21"/>
      <c r="T2482" s="21"/>
      <c r="AA2482" s="21"/>
    </row>
    <row r="2483" spans="7:27" x14ac:dyDescent="0.2">
      <c r="G2483" s="21"/>
      <c r="H2483" s="21"/>
      <c r="N2483" s="21"/>
      <c r="O2483" s="21"/>
      <c r="T2483" s="21"/>
      <c r="AA2483" s="21"/>
    </row>
    <row r="2484" spans="7:27" x14ac:dyDescent="0.2">
      <c r="G2484" s="21"/>
      <c r="H2484" s="21"/>
      <c r="N2484" s="21"/>
      <c r="O2484" s="21"/>
      <c r="T2484" s="21"/>
      <c r="AA2484" s="21"/>
    </row>
    <row r="2485" spans="7:27" x14ac:dyDescent="0.2">
      <c r="G2485" s="21"/>
      <c r="H2485" s="21"/>
      <c r="N2485" s="21"/>
      <c r="O2485" s="21"/>
      <c r="T2485" s="21"/>
      <c r="AA2485" s="21"/>
    </row>
    <row r="2486" spans="7:27" x14ac:dyDescent="0.2">
      <c r="G2486" s="21"/>
      <c r="H2486" s="21"/>
      <c r="N2486" s="21"/>
      <c r="O2486" s="21"/>
      <c r="T2486" s="21"/>
      <c r="AA2486" s="21"/>
    </row>
    <row r="2487" spans="7:27" x14ac:dyDescent="0.2">
      <c r="G2487" s="21"/>
      <c r="H2487" s="21"/>
      <c r="N2487" s="21"/>
      <c r="O2487" s="21"/>
      <c r="T2487" s="21"/>
      <c r="AA2487" s="21"/>
    </row>
    <row r="2488" spans="7:27" x14ac:dyDescent="0.2">
      <c r="G2488" s="21"/>
      <c r="H2488" s="21"/>
      <c r="N2488" s="21"/>
      <c r="O2488" s="21"/>
      <c r="T2488" s="21"/>
      <c r="AA2488" s="21"/>
    </row>
    <row r="2489" spans="7:27" x14ac:dyDescent="0.2">
      <c r="G2489" s="21"/>
      <c r="H2489" s="21"/>
      <c r="N2489" s="21"/>
      <c r="O2489" s="21"/>
      <c r="T2489" s="21"/>
      <c r="AA2489" s="21"/>
    </row>
    <row r="2490" spans="7:27" x14ac:dyDescent="0.2">
      <c r="G2490" s="21"/>
      <c r="H2490" s="21"/>
      <c r="N2490" s="21"/>
      <c r="O2490" s="21"/>
      <c r="T2490" s="21"/>
      <c r="AA2490" s="21"/>
    </row>
    <row r="2491" spans="7:27" x14ac:dyDescent="0.2">
      <c r="G2491" s="21"/>
      <c r="H2491" s="21"/>
      <c r="N2491" s="21"/>
      <c r="O2491" s="21"/>
      <c r="T2491" s="21"/>
      <c r="AA2491" s="21"/>
    </row>
    <row r="2492" spans="7:27" x14ac:dyDescent="0.2">
      <c r="G2492" s="21"/>
      <c r="H2492" s="21"/>
      <c r="N2492" s="21"/>
      <c r="O2492" s="21"/>
      <c r="T2492" s="21"/>
      <c r="AA2492" s="21"/>
    </row>
    <row r="2493" spans="7:27" x14ac:dyDescent="0.2">
      <c r="G2493" s="21"/>
      <c r="H2493" s="21"/>
      <c r="N2493" s="21"/>
      <c r="O2493" s="21"/>
      <c r="T2493" s="21"/>
      <c r="AA2493" s="21"/>
    </row>
    <row r="2494" spans="7:27" x14ac:dyDescent="0.2">
      <c r="G2494" s="21"/>
      <c r="H2494" s="21"/>
      <c r="N2494" s="21"/>
      <c r="O2494" s="21"/>
      <c r="T2494" s="21"/>
      <c r="AA2494" s="21"/>
    </row>
    <row r="2495" spans="7:27" x14ac:dyDescent="0.2">
      <c r="G2495" s="21"/>
      <c r="H2495" s="21"/>
      <c r="N2495" s="21"/>
      <c r="O2495" s="21"/>
      <c r="T2495" s="21"/>
      <c r="AA2495" s="21"/>
    </row>
    <row r="2496" spans="7:27" x14ac:dyDescent="0.2">
      <c r="G2496" s="21"/>
      <c r="H2496" s="21"/>
      <c r="N2496" s="21"/>
      <c r="O2496" s="21"/>
      <c r="T2496" s="21"/>
      <c r="AA2496" s="21"/>
    </row>
    <row r="2497" spans="7:27" x14ac:dyDescent="0.2">
      <c r="G2497" s="21"/>
      <c r="H2497" s="21"/>
      <c r="N2497" s="21"/>
      <c r="O2497" s="21"/>
      <c r="T2497" s="21"/>
      <c r="AA2497" s="21"/>
    </row>
    <row r="2498" spans="7:27" x14ac:dyDescent="0.2">
      <c r="G2498" s="21"/>
      <c r="H2498" s="21"/>
      <c r="N2498" s="21"/>
      <c r="O2498" s="21"/>
      <c r="T2498" s="21"/>
      <c r="AA2498" s="21"/>
    </row>
    <row r="2499" spans="7:27" x14ac:dyDescent="0.2">
      <c r="G2499" s="21"/>
      <c r="H2499" s="21"/>
      <c r="N2499" s="21"/>
      <c r="O2499" s="21"/>
      <c r="T2499" s="21"/>
      <c r="AA2499" s="21"/>
    </row>
    <row r="2500" spans="7:27" x14ac:dyDescent="0.2">
      <c r="G2500" s="21"/>
      <c r="H2500" s="21"/>
      <c r="N2500" s="21"/>
      <c r="O2500" s="21"/>
      <c r="T2500" s="21"/>
      <c r="AA2500" s="21"/>
    </row>
    <row r="2501" spans="7:27" x14ac:dyDescent="0.2">
      <c r="G2501" s="21"/>
      <c r="H2501" s="21"/>
      <c r="N2501" s="21"/>
      <c r="O2501" s="21"/>
      <c r="T2501" s="21"/>
      <c r="AA2501" s="21"/>
    </row>
    <row r="2502" spans="7:27" x14ac:dyDescent="0.2">
      <c r="G2502" s="21"/>
      <c r="H2502" s="21"/>
      <c r="N2502" s="21"/>
      <c r="O2502" s="21"/>
      <c r="T2502" s="21"/>
      <c r="AA2502" s="21"/>
    </row>
    <row r="2503" spans="7:27" x14ac:dyDescent="0.2">
      <c r="G2503" s="21"/>
      <c r="H2503" s="21"/>
      <c r="N2503" s="21"/>
      <c r="O2503" s="21"/>
      <c r="T2503" s="21"/>
      <c r="AA2503" s="21"/>
    </row>
    <row r="2504" spans="7:27" x14ac:dyDescent="0.2">
      <c r="G2504" s="21"/>
      <c r="H2504" s="21"/>
      <c r="N2504" s="21"/>
      <c r="O2504" s="21"/>
      <c r="T2504" s="21"/>
      <c r="AA2504" s="21"/>
    </row>
    <row r="2505" spans="7:27" x14ac:dyDescent="0.2">
      <c r="G2505" s="21"/>
      <c r="H2505" s="21"/>
      <c r="N2505" s="21"/>
      <c r="O2505" s="21"/>
      <c r="T2505" s="21"/>
      <c r="AA2505" s="21"/>
    </row>
    <row r="2506" spans="7:27" x14ac:dyDescent="0.2">
      <c r="G2506" s="21"/>
      <c r="H2506" s="21"/>
      <c r="N2506" s="21"/>
      <c r="O2506" s="21"/>
      <c r="T2506" s="21"/>
      <c r="AA2506" s="21"/>
    </row>
    <row r="2507" spans="7:27" x14ac:dyDescent="0.2">
      <c r="G2507" s="21"/>
      <c r="H2507" s="21"/>
      <c r="N2507" s="21"/>
      <c r="O2507" s="21"/>
      <c r="T2507" s="21"/>
      <c r="AA2507" s="21"/>
    </row>
    <row r="2508" spans="7:27" x14ac:dyDescent="0.2">
      <c r="G2508" s="21"/>
      <c r="H2508" s="21"/>
      <c r="N2508" s="21"/>
      <c r="O2508" s="21"/>
      <c r="T2508" s="21"/>
      <c r="AA2508" s="21"/>
    </row>
    <row r="2509" spans="7:27" x14ac:dyDescent="0.2">
      <c r="G2509" s="21"/>
      <c r="H2509" s="21"/>
      <c r="N2509" s="21"/>
      <c r="O2509" s="21"/>
      <c r="T2509" s="21"/>
      <c r="AA2509" s="21"/>
    </row>
    <row r="2510" spans="7:27" x14ac:dyDescent="0.2">
      <c r="G2510" s="21"/>
      <c r="H2510" s="21"/>
      <c r="N2510" s="21"/>
      <c r="O2510" s="21"/>
      <c r="T2510" s="21"/>
      <c r="AA2510" s="21"/>
    </row>
    <row r="2511" spans="7:27" x14ac:dyDescent="0.2">
      <c r="G2511" s="21"/>
      <c r="H2511" s="21"/>
      <c r="N2511" s="21"/>
      <c r="O2511" s="21"/>
      <c r="T2511" s="21"/>
      <c r="AA2511" s="21"/>
    </row>
    <row r="2512" spans="7:27" x14ac:dyDescent="0.2">
      <c r="G2512" s="21"/>
      <c r="H2512" s="21"/>
      <c r="N2512" s="21"/>
      <c r="O2512" s="21"/>
      <c r="T2512" s="21"/>
      <c r="AA2512" s="21"/>
    </row>
    <row r="2513" spans="7:27" x14ac:dyDescent="0.2">
      <c r="G2513" s="21"/>
      <c r="H2513" s="21"/>
      <c r="N2513" s="21"/>
      <c r="O2513" s="21"/>
      <c r="T2513" s="21"/>
      <c r="AA2513" s="21"/>
    </row>
    <row r="2514" spans="7:27" x14ac:dyDescent="0.2">
      <c r="G2514" s="21"/>
      <c r="H2514" s="21"/>
      <c r="N2514" s="21"/>
      <c r="O2514" s="21"/>
      <c r="T2514" s="21"/>
      <c r="AA2514" s="21"/>
    </row>
    <row r="2515" spans="7:27" x14ac:dyDescent="0.2">
      <c r="G2515" s="21"/>
      <c r="H2515" s="21"/>
      <c r="N2515" s="21"/>
      <c r="O2515" s="21"/>
      <c r="T2515" s="21"/>
      <c r="AA2515" s="21"/>
    </row>
    <row r="2516" spans="7:27" x14ac:dyDescent="0.2">
      <c r="G2516" s="21"/>
      <c r="H2516" s="21"/>
      <c r="N2516" s="21"/>
      <c r="O2516" s="21"/>
      <c r="T2516" s="21"/>
      <c r="AA2516" s="21"/>
    </row>
    <row r="2517" spans="7:27" x14ac:dyDescent="0.2">
      <c r="G2517" s="21"/>
      <c r="H2517" s="21"/>
      <c r="N2517" s="21"/>
      <c r="O2517" s="21"/>
      <c r="T2517" s="21"/>
      <c r="AA2517" s="21"/>
    </row>
    <row r="2518" spans="7:27" x14ac:dyDescent="0.2">
      <c r="G2518" s="21"/>
      <c r="H2518" s="21"/>
      <c r="N2518" s="21"/>
      <c r="O2518" s="21"/>
      <c r="T2518" s="21"/>
      <c r="AA2518" s="21"/>
    </row>
    <row r="2519" spans="7:27" x14ac:dyDescent="0.2">
      <c r="G2519" s="21"/>
      <c r="H2519" s="21"/>
      <c r="N2519" s="21"/>
      <c r="O2519" s="21"/>
      <c r="T2519" s="21"/>
      <c r="AA2519" s="21"/>
    </row>
    <row r="2520" spans="7:27" x14ac:dyDescent="0.2">
      <c r="G2520" s="21"/>
      <c r="H2520" s="21"/>
      <c r="N2520" s="21"/>
      <c r="O2520" s="21"/>
      <c r="T2520" s="21"/>
      <c r="AA2520" s="21"/>
    </row>
    <row r="2521" spans="7:27" x14ac:dyDescent="0.2">
      <c r="G2521" s="21"/>
      <c r="H2521" s="21"/>
      <c r="N2521" s="21"/>
      <c r="O2521" s="21"/>
      <c r="T2521" s="21"/>
      <c r="AA2521" s="21"/>
    </row>
    <row r="2522" spans="7:27" x14ac:dyDescent="0.2">
      <c r="G2522" s="21"/>
      <c r="H2522" s="21"/>
      <c r="N2522" s="21"/>
      <c r="O2522" s="21"/>
      <c r="T2522" s="21"/>
      <c r="AA2522" s="21"/>
    </row>
    <row r="2523" spans="7:27" x14ac:dyDescent="0.2">
      <c r="G2523" s="21"/>
      <c r="H2523" s="21"/>
      <c r="N2523" s="21"/>
      <c r="O2523" s="21"/>
      <c r="T2523" s="21"/>
      <c r="AA2523" s="21"/>
    </row>
    <row r="2524" spans="7:27" x14ac:dyDescent="0.2">
      <c r="G2524" s="21"/>
      <c r="H2524" s="21"/>
      <c r="N2524" s="21"/>
      <c r="O2524" s="21"/>
      <c r="T2524" s="21"/>
      <c r="AA2524" s="21"/>
    </row>
    <row r="2525" spans="7:27" x14ac:dyDescent="0.2">
      <c r="G2525" s="21"/>
      <c r="H2525" s="21"/>
      <c r="N2525" s="21"/>
      <c r="O2525" s="21"/>
      <c r="T2525" s="21"/>
      <c r="AA2525" s="21"/>
    </row>
    <row r="2526" spans="7:27" x14ac:dyDescent="0.2">
      <c r="G2526" s="21"/>
      <c r="H2526" s="21"/>
      <c r="N2526" s="21"/>
      <c r="O2526" s="21"/>
      <c r="T2526" s="21"/>
      <c r="AA2526" s="21"/>
    </row>
    <row r="2527" spans="7:27" x14ac:dyDescent="0.2">
      <c r="G2527" s="21"/>
      <c r="H2527" s="21"/>
      <c r="N2527" s="21"/>
      <c r="O2527" s="21"/>
      <c r="T2527" s="21"/>
      <c r="AA2527" s="21"/>
    </row>
    <row r="2528" spans="7:27" x14ac:dyDescent="0.2">
      <c r="G2528" s="21"/>
      <c r="H2528" s="21"/>
      <c r="N2528" s="21"/>
      <c r="O2528" s="21"/>
      <c r="T2528" s="21"/>
      <c r="AA2528" s="21"/>
    </row>
    <row r="2529" spans="7:27" x14ac:dyDescent="0.2">
      <c r="G2529" s="21"/>
      <c r="H2529" s="21"/>
      <c r="N2529" s="21"/>
      <c r="O2529" s="21"/>
      <c r="T2529" s="21"/>
      <c r="AA2529" s="21"/>
    </row>
    <row r="2530" spans="7:27" x14ac:dyDescent="0.2">
      <c r="G2530" s="21"/>
      <c r="H2530" s="21"/>
      <c r="N2530" s="21"/>
      <c r="O2530" s="21"/>
      <c r="T2530" s="21"/>
      <c r="AA2530" s="21"/>
    </row>
    <row r="2531" spans="7:27" x14ac:dyDescent="0.2">
      <c r="G2531" s="21"/>
      <c r="H2531" s="21"/>
      <c r="N2531" s="21"/>
      <c r="O2531" s="21"/>
      <c r="T2531" s="21"/>
      <c r="AA2531" s="21"/>
    </row>
    <row r="2532" spans="7:27" x14ac:dyDescent="0.2">
      <c r="G2532" s="21"/>
      <c r="H2532" s="21"/>
      <c r="N2532" s="21"/>
      <c r="O2532" s="21"/>
      <c r="T2532" s="21"/>
      <c r="AA2532" s="21"/>
    </row>
    <row r="2533" spans="7:27" x14ac:dyDescent="0.2">
      <c r="G2533" s="21"/>
      <c r="H2533" s="21"/>
      <c r="N2533" s="21"/>
      <c r="O2533" s="21"/>
      <c r="T2533" s="21"/>
      <c r="AA2533" s="21"/>
    </row>
    <row r="2534" spans="7:27" x14ac:dyDescent="0.2">
      <c r="G2534" s="21"/>
      <c r="H2534" s="21"/>
      <c r="N2534" s="21"/>
      <c r="O2534" s="21"/>
      <c r="T2534" s="21"/>
      <c r="AA2534" s="21"/>
    </row>
    <row r="2535" spans="7:27" x14ac:dyDescent="0.2">
      <c r="G2535" s="21"/>
      <c r="H2535" s="21"/>
      <c r="N2535" s="21"/>
      <c r="O2535" s="21"/>
      <c r="T2535" s="21"/>
      <c r="AA2535" s="21"/>
    </row>
    <row r="2536" spans="7:27" x14ac:dyDescent="0.2">
      <c r="G2536" s="21"/>
      <c r="H2536" s="21"/>
      <c r="N2536" s="21"/>
      <c r="O2536" s="21"/>
      <c r="T2536" s="21"/>
      <c r="AA2536" s="21"/>
    </row>
    <row r="2537" spans="7:27" x14ac:dyDescent="0.2">
      <c r="G2537" s="21"/>
      <c r="H2537" s="21"/>
      <c r="N2537" s="21"/>
      <c r="O2537" s="21"/>
      <c r="T2537" s="21"/>
      <c r="AA2537" s="21"/>
    </row>
    <row r="2538" spans="7:27" x14ac:dyDescent="0.2">
      <c r="G2538" s="21"/>
      <c r="H2538" s="21"/>
      <c r="N2538" s="21"/>
      <c r="O2538" s="21"/>
      <c r="T2538" s="21"/>
      <c r="AA2538" s="21"/>
    </row>
    <row r="2539" spans="7:27" x14ac:dyDescent="0.2">
      <c r="G2539" s="21"/>
      <c r="H2539" s="21"/>
      <c r="N2539" s="21"/>
      <c r="O2539" s="21"/>
      <c r="T2539" s="21"/>
      <c r="AA2539" s="21"/>
    </row>
    <row r="2540" spans="7:27" x14ac:dyDescent="0.2">
      <c r="G2540" s="21"/>
      <c r="H2540" s="21"/>
      <c r="N2540" s="21"/>
      <c r="O2540" s="21"/>
      <c r="T2540" s="21"/>
      <c r="AA2540" s="21"/>
    </row>
    <row r="2541" spans="7:27" x14ac:dyDescent="0.2">
      <c r="G2541" s="21"/>
      <c r="H2541" s="21"/>
      <c r="N2541" s="21"/>
      <c r="O2541" s="21"/>
      <c r="T2541" s="21"/>
      <c r="AA2541" s="21"/>
    </row>
    <row r="2542" spans="7:27" x14ac:dyDescent="0.2">
      <c r="G2542" s="21"/>
      <c r="H2542" s="21"/>
      <c r="N2542" s="21"/>
      <c r="O2542" s="21"/>
      <c r="T2542" s="21"/>
      <c r="AA2542" s="21"/>
    </row>
    <row r="2543" spans="7:27" x14ac:dyDescent="0.2">
      <c r="G2543" s="21"/>
      <c r="H2543" s="21"/>
      <c r="N2543" s="21"/>
      <c r="O2543" s="21"/>
      <c r="T2543" s="21"/>
      <c r="AA2543" s="21"/>
    </row>
    <row r="2544" spans="7:27" x14ac:dyDescent="0.2">
      <c r="G2544" s="21"/>
      <c r="H2544" s="21"/>
      <c r="N2544" s="21"/>
      <c r="O2544" s="21"/>
      <c r="T2544" s="21"/>
      <c r="AA2544" s="21"/>
    </row>
    <row r="2545" spans="7:27" x14ac:dyDescent="0.2">
      <c r="G2545" s="21"/>
      <c r="H2545" s="21"/>
      <c r="N2545" s="21"/>
      <c r="O2545" s="21"/>
      <c r="T2545" s="21"/>
      <c r="AA2545" s="21"/>
    </row>
    <row r="2546" spans="7:27" x14ac:dyDescent="0.2">
      <c r="G2546" s="21"/>
      <c r="H2546" s="21"/>
      <c r="N2546" s="21"/>
      <c r="O2546" s="21"/>
      <c r="T2546" s="21"/>
      <c r="AA2546" s="21"/>
    </row>
    <row r="2547" spans="7:27" x14ac:dyDescent="0.2">
      <c r="G2547" s="21"/>
      <c r="H2547" s="21"/>
      <c r="N2547" s="21"/>
      <c r="O2547" s="21"/>
      <c r="T2547" s="21"/>
      <c r="AA2547" s="21"/>
    </row>
    <row r="2548" spans="7:27" x14ac:dyDescent="0.2">
      <c r="G2548" s="21"/>
      <c r="H2548" s="21"/>
      <c r="N2548" s="21"/>
      <c r="O2548" s="21"/>
      <c r="T2548" s="21"/>
      <c r="AA2548" s="21"/>
    </row>
    <row r="2549" spans="7:27" x14ac:dyDescent="0.2">
      <c r="G2549" s="21"/>
      <c r="H2549" s="21"/>
      <c r="N2549" s="21"/>
      <c r="O2549" s="21"/>
      <c r="T2549" s="21"/>
      <c r="AA2549" s="21"/>
    </row>
    <row r="2550" spans="7:27" x14ac:dyDescent="0.2">
      <c r="G2550" s="21"/>
      <c r="H2550" s="21"/>
      <c r="N2550" s="21"/>
      <c r="O2550" s="21"/>
      <c r="T2550" s="21"/>
      <c r="AA2550" s="21"/>
    </row>
    <row r="2551" spans="7:27" x14ac:dyDescent="0.2">
      <c r="G2551" s="21"/>
      <c r="H2551" s="21"/>
      <c r="N2551" s="21"/>
      <c r="O2551" s="21"/>
      <c r="T2551" s="21"/>
      <c r="AA2551" s="21"/>
    </row>
    <row r="2552" spans="7:27" x14ac:dyDescent="0.2">
      <c r="G2552" s="21"/>
      <c r="H2552" s="21"/>
      <c r="N2552" s="21"/>
      <c r="O2552" s="21"/>
      <c r="T2552" s="21"/>
      <c r="AA2552" s="21"/>
    </row>
    <row r="2553" spans="7:27" x14ac:dyDescent="0.2">
      <c r="G2553" s="21"/>
      <c r="H2553" s="21"/>
      <c r="N2553" s="21"/>
      <c r="O2553" s="21"/>
      <c r="T2553" s="21"/>
      <c r="AA2553" s="21"/>
    </row>
    <row r="2554" spans="7:27" x14ac:dyDescent="0.2">
      <c r="G2554" s="21"/>
      <c r="H2554" s="21"/>
      <c r="N2554" s="21"/>
      <c r="O2554" s="21"/>
      <c r="T2554" s="21"/>
      <c r="AA2554" s="21"/>
    </row>
    <row r="2555" spans="7:27" x14ac:dyDescent="0.2">
      <c r="G2555" s="21"/>
      <c r="H2555" s="21"/>
      <c r="N2555" s="21"/>
      <c r="O2555" s="21"/>
      <c r="T2555" s="21"/>
      <c r="AA2555" s="21"/>
    </row>
    <row r="2556" spans="7:27" x14ac:dyDescent="0.2">
      <c r="G2556" s="21"/>
      <c r="H2556" s="21"/>
      <c r="N2556" s="21"/>
      <c r="O2556" s="21"/>
      <c r="T2556" s="21"/>
      <c r="AA2556" s="21"/>
    </row>
    <row r="2557" spans="7:27" x14ac:dyDescent="0.2">
      <c r="G2557" s="21"/>
      <c r="H2557" s="21"/>
      <c r="N2557" s="21"/>
      <c r="O2557" s="21"/>
      <c r="T2557" s="21"/>
      <c r="AA2557" s="21"/>
    </row>
    <row r="2558" spans="7:27" x14ac:dyDescent="0.2">
      <c r="G2558" s="21"/>
      <c r="H2558" s="21"/>
      <c r="N2558" s="21"/>
      <c r="O2558" s="21"/>
      <c r="T2558" s="21"/>
      <c r="AA2558" s="21"/>
    </row>
    <row r="2559" spans="7:27" x14ac:dyDescent="0.2">
      <c r="G2559" s="21"/>
      <c r="H2559" s="21"/>
      <c r="N2559" s="21"/>
      <c r="O2559" s="21"/>
      <c r="T2559" s="21"/>
      <c r="AA2559" s="21"/>
    </row>
    <row r="2560" spans="7:27" x14ac:dyDescent="0.2">
      <c r="G2560" s="21"/>
      <c r="H2560" s="21"/>
      <c r="N2560" s="21"/>
      <c r="O2560" s="21"/>
      <c r="T2560" s="21"/>
      <c r="AA2560" s="21"/>
    </row>
    <row r="2561" spans="7:27" x14ac:dyDescent="0.2">
      <c r="G2561" s="21"/>
      <c r="H2561" s="21"/>
      <c r="N2561" s="21"/>
      <c r="O2561" s="21"/>
      <c r="T2561" s="21"/>
      <c r="AA2561" s="21"/>
    </row>
    <row r="2562" spans="7:27" x14ac:dyDescent="0.2">
      <c r="G2562" s="21"/>
      <c r="H2562" s="21"/>
      <c r="N2562" s="21"/>
      <c r="O2562" s="21"/>
      <c r="T2562" s="21"/>
      <c r="AA2562" s="21"/>
    </row>
    <row r="2563" spans="7:27" x14ac:dyDescent="0.2">
      <c r="G2563" s="21"/>
      <c r="H2563" s="21"/>
      <c r="N2563" s="21"/>
      <c r="O2563" s="21"/>
      <c r="T2563" s="21"/>
      <c r="AA2563" s="21"/>
    </row>
    <row r="2564" spans="7:27" x14ac:dyDescent="0.2">
      <c r="G2564" s="21"/>
      <c r="H2564" s="21"/>
      <c r="N2564" s="21"/>
      <c r="O2564" s="21"/>
      <c r="T2564" s="21"/>
      <c r="AA2564" s="21"/>
    </row>
    <row r="2565" spans="7:27" x14ac:dyDescent="0.2">
      <c r="G2565" s="21"/>
      <c r="H2565" s="21"/>
      <c r="N2565" s="21"/>
      <c r="O2565" s="21"/>
      <c r="T2565" s="21"/>
      <c r="AA2565" s="21"/>
    </row>
    <row r="2566" spans="7:27" x14ac:dyDescent="0.2">
      <c r="G2566" s="21"/>
      <c r="H2566" s="21"/>
      <c r="N2566" s="21"/>
      <c r="O2566" s="21"/>
      <c r="T2566" s="21"/>
      <c r="AA2566" s="21"/>
    </row>
    <row r="2567" spans="7:27" x14ac:dyDescent="0.2">
      <c r="G2567" s="21"/>
      <c r="H2567" s="21"/>
      <c r="N2567" s="21"/>
      <c r="O2567" s="21"/>
      <c r="T2567" s="21"/>
      <c r="AA2567" s="21"/>
    </row>
    <row r="2568" spans="7:27" x14ac:dyDescent="0.2">
      <c r="G2568" s="21"/>
      <c r="H2568" s="21"/>
      <c r="N2568" s="21"/>
      <c r="O2568" s="21"/>
      <c r="T2568" s="21"/>
      <c r="AA2568" s="21"/>
    </row>
    <row r="2569" spans="7:27" x14ac:dyDescent="0.2">
      <c r="G2569" s="21"/>
      <c r="H2569" s="21"/>
      <c r="N2569" s="21"/>
      <c r="O2569" s="21"/>
      <c r="T2569" s="21"/>
      <c r="AA2569" s="21"/>
    </row>
    <row r="2570" spans="7:27" x14ac:dyDescent="0.2">
      <c r="G2570" s="21"/>
      <c r="H2570" s="21"/>
      <c r="N2570" s="21"/>
      <c r="O2570" s="21"/>
      <c r="T2570" s="21"/>
      <c r="AA2570" s="21"/>
    </row>
    <row r="2571" spans="7:27" x14ac:dyDescent="0.2">
      <c r="G2571" s="21"/>
      <c r="H2571" s="21"/>
      <c r="N2571" s="21"/>
      <c r="O2571" s="21"/>
      <c r="T2571" s="21"/>
      <c r="AA2571" s="21"/>
    </row>
    <row r="2572" spans="7:27" x14ac:dyDescent="0.2">
      <c r="G2572" s="21"/>
      <c r="H2572" s="21"/>
      <c r="N2572" s="21"/>
      <c r="O2572" s="21"/>
      <c r="T2572" s="21"/>
      <c r="AA2572" s="21"/>
    </row>
    <row r="2573" spans="7:27" x14ac:dyDescent="0.2">
      <c r="G2573" s="21"/>
      <c r="H2573" s="21"/>
      <c r="N2573" s="21"/>
      <c r="O2573" s="21"/>
      <c r="T2573" s="21"/>
      <c r="AA2573" s="21"/>
    </row>
    <row r="2574" spans="7:27" x14ac:dyDescent="0.2">
      <c r="G2574" s="21"/>
      <c r="H2574" s="21"/>
      <c r="N2574" s="21"/>
      <c r="O2574" s="21"/>
      <c r="T2574" s="21"/>
      <c r="AA2574" s="21"/>
    </row>
    <row r="2575" spans="7:27" x14ac:dyDescent="0.2">
      <c r="G2575" s="21"/>
      <c r="H2575" s="21"/>
      <c r="N2575" s="21"/>
      <c r="O2575" s="21"/>
      <c r="T2575" s="21"/>
      <c r="AA2575" s="21"/>
    </row>
    <row r="2576" spans="7:27" x14ac:dyDescent="0.2">
      <c r="G2576" s="21"/>
      <c r="H2576" s="21"/>
      <c r="N2576" s="21"/>
      <c r="O2576" s="21"/>
      <c r="T2576" s="21"/>
      <c r="AA2576" s="21"/>
    </row>
    <row r="2577" spans="7:27" x14ac:dyDescent="0.2">
      <c r="G2577" s="21"/>
      <c r="H2577" s="21"/>
      <c r="N2577" s="21"/>
      <c r="O2577" s="21"/>
      <c r="T2577" s="21"/>
      <c r="AA2577" s="21"/>
    </row>
    <row r="2578" spans="7:27" x14ac:dyDescent="0.2">
      <c r="G2578" s="21"/>
      <c r="H2578" s="21"/>
      <c r="N2578" s="21"/>
      <c r="O2578" s="21"/>
      <c r="T2578" s="21"/>
      <c r="AA2578" s="21"/>
    </row>
    <row r="2579" spans="7:27" x14ac:dyDescent="0.2">
      <c r="G2579" s="21"/>
      <c r="H2579" s="21"/>
      <c r="N2579" s="21"/>
      <c r="O2579" s="21"/>
      <c r="T2579" s="21"/>
      <c r="AA2579" s="21"/>
    </row>
    <row r="2580" spans="7:27" x14ac:dyDescent="0.2">
      <c r="G2580" s="21"/>
      <c r="H2580" s="21"/>
      <c r="N2580" s="21"/>
      <c r="O2580" s="21"/>
      <c r="T2580" s="21"/>
      <c r="AA2580" s="21"/>
    </row>
    <row r="2581" spans="7:27" x14ac:dyDescent="0.2">
      <c r="G2581" s="21"/>
      <c r="H2581" s="21"/>
      <c r="N2581" s="21"/>
      <c r="O2581" s="21"/>
      <c r="T2581" s="21"/>
      <c r="AA2581" s="21"/>
    </row>
    <row r="2582" spans="7:27" x14ac:dyDescent="0.2">
      <c r="G2582" s="21"/>
      <c r="H2582" s="21"/>
      <c r="N2582" s="21"/>
      <c r="O2582" s="21"/>
      <c r="T2582" s="21"/>
      <c r="AA2582" s="21"/>
    </row>
    <row r="2583" spans="7:27" x14ac:dyDescent="0.2">
      <c r="G2583" s="21"/>
      <c r="H2583" s="21"/>
      <c r="N2583" s="21"/>
      <c r="O2583" s="21"/>
      <c r="T2583" s="21"/>
      <c r="AA2583" s="21"/>
    </row>
    <row r="2584" spans="7:27" x14ac:dyDescent="0.2">
      <c r="G2584" s="21"/>
      <c r="H2584" s="21"/>
      <c r="N2584" s="21"/>
      <c r="O2584" s="21"/>
      <c r="T2584" s="21"/>
      <c r="AA2584" s="21"/>
    </row>
    <row r="2585" spans="7:27" x14ac:dyDescent="0.2">
      <c r="G2585" s="21"/>
      <c r="H2585" s="21"/>
      <c r="N2585" s="21"/>
      <c r="O2585" s="21"/>
      <c r="T2585" s="21"/>
      <c r="AA2585" s="21"/>
    </row>
    <row r="2586" spans="7:27" x14ac:dyDescent="0.2">
      <c r="G2586" s="21"/>
      <c r="H2586" s="21"/>
      <c r="N2586" s="21"/>
      <c r="O2586" s="21"/>
      <c r="T2586" s="21"/>
      <c r="AA2586" s="21"/>
    </row>
    <row r="2587" spans="7:27" x14ac:dyDescent="0.2">
      <c r="G2587" s="21"/>
      <c r="H2587" s="21"/>
      <c r="N2587" s="21"/>
      <c r="O2587" s="21"/>
      <c r="T2587" s="21"/>
      <c r="AA2587" s="21"/>
    </row>
    <row r="2588" spans="7:27" x14ac:dyDescent="0.2">
      <c r="G2588" s="21"/>
      <c r="H2588" s="21"/>
      <c r="N2588" s="21"/>
      <c r="O2588" s="21"/>
      <c r="T2588" s="21"/>
      <c r="AA2588" s="21"/>
    </row>
    <row r="2589" spans="7:27" x14ac:dyDescent="0.2">
      <c r="G2589" s="21"/>
      <c r="H2589" s="21"/>
      <c r="N2589" s="21"/>
      <c r="O2589" s="21"/>
      <c r="T2589" s="21"/>
      <c r="AA2589" s="21"/>
    </row>
    <row r="2590" spans="7:27" x14ac:dyDescent="0.2">
      <c r="G2590" s="21"/>
      <c r="H2590" s="21"/>
      <c r="N2590" s="21"/>
      <c r="O2590" s="21"/>
      <c r="T2590" s="21"/>
      <c r="AA2590" s="21"/>
    </row>
    <row r="2591" spans="7:27" x14ac:dyDescent="0.2">
      <c r="G2591" s="21"/>
      <c r="H2591" s="21"/>
      <c r="N2591" s="21"/>
      <c r="O2591" s="21"/>
      <c r="T2591" s="21"/>
      <c r="AA2591" s="21"/>
    </row>
    <row r="2592" spans="7:27" x14ac:dyDescent="0.2">
      <c r="G2592" s="21"/>
      <c r="H2592" s="21"/>
      <c r="N2592" s="21"/>
      <c r="O2592" s="21"/>
      <c r="T2592" s="21"/>
      <c r="AA2592" s="21"/>
    </row>
    <row r="2593" spans="7:27" x14ac:dyDescent="0.2">
      <c r="G2593" s="21"/>
      <c r="H2593" s="21"/>
      <c r="N2593" s="21"/>
      <c r="O2593" s="21"/>
      <c r="T2593" s="21"/>
      <c r="AA2593" s="21"/>
    </row>
    <row r="2594" spans="7:27" x14ac:dyDescent="0.2">
      <c r="G2594" s="21"/>
      <c r="H2594" s="21"/>
      <c r="N2594" s="21"/>
      <c r="O2594" s="21"/>
      <c r="T2594" s="21"/>
      <c r="AA2594" s="21"/>
    </row>
    <row r="2595" spans="7:27" x14ac:dyDescent="0.2">
      <c r="G2595" s="21"/>
      <c r="H2595" s="21"/>
      <c r="N2595" s="21"/>
      <c r="O2595" s="21"/>
      <c r="T2595" s="21"/>
      <c r="AA2595" s="21"/>
    </row>
    <row r="2596" spans="7:27" x14ac:dyDescent="0.2">
      <c r="G2596" s="21"/>
      <c r="H2596" s="21"/>
      <c r="N2596" s="21"/>
      <c r="O2596" s="21"/>
      <c r="T2596" s="21"/>
      <c r="AA2596" s="21"/>
    </row>
    <row r="2597" spans="7:27" x14ac:dyDescent="0.2">
      <c r="G2597" s="21"/>
      <c r="H2597" s="21"/>
      <c r="N2597" s="21"/>
      <c r="O2597" s="21"/>
      <c r="T2597" s="21"/>
      <c r="AA2597" s="21"/>
    </row>
    <row r="2598" spans="7:27" x14ac:dyDescent="0.2">
      <c r="G2598" s="21"/>
      <c r="H2598" s="21"/>
      <c r="N2598" s="21"/>
      <c r="O2598" s="21"/>
      <c r="T2598" s="21"/>
      <c r="AA2598" s="21"/>
    </row>
    <row r="2599" spans="7:27" x14ac:dyDescent="0.2">
      <c r="G2599" s="21"/>
      <c r="H2599" s="21"/>
      <c r="N2599" s="21"/>
      <c r="O2599" s="21"/>
      <c r="T2599" s="21"/>
      <c r="AA2599" s="21"/>
    </row>
    <row r="2600" spans="7:27" x14ac:dyDescent="0.2">
      <c r="G2600" s="21"/>
      <c r="H2600" s="21"/>
      <c r="N2600" s="21"/>
      <c r="O2600" s="21"/>
      <c r="T2600" s="21"/>
      <c r="AA2600" s="21"/>
    </row>
    <row r="2601" spans="7:27" x14ac:dyDescent="0.2">
      <c r="G2601" s="21"/>
      <c r="H2601" s="21"/>
      <c r="N2601" s="21"/>
      <c r="O2601" s="21"/>
      <c r="T2601" s="21"/>
      <c r="AA2601" s="21"/>
    </row>
    <row r="2602" spans="7:27" x14ac:dyDescent="0.2">
      <c r="G2602" s="21"/>
      <c r="H2602" s="21"/>
      <c r="N2602" s="21"/>
      <c r="O2602" s="21"/>
      <c r="T2602" s="21"/>
      <c r="AA2602" s="21"/>
    </row>
    <row r="2603" spans="7:27" x14ac:dyDescent="0.2">
      <c r="G2603" s="21"/>
      <c r="H2603" s="21"/>
      <c r="N2603" s="21"/>
      <c r="O2603" s="21"/>
      <c r="T2603" s="21"/>
      <c r="AA2603" s="21"/>
    </row>
    <row r="2604" spans="7:27" x14ac:dyDescent="0.2">
      <c r="G2604" s="21"/>
      <c r="H2604" s="21"/>
      <c r="N2604" s="21"/>
      <c r="O2604" s="21"/>
      <c r="T2604" s="21"/>
      <c r="AA2604" s="21"/>
    </row>
    <row r="2605" spans="7:27" x14ac:dyDescent="0.2">
      <c r="G2605" s="21"/>
      <c r="H2605" s="21"/>
      <c r="N2605" s="21"/>
      <c r="O2605" s="21"/>
      <c r="T2605" s="21"/>
      <c r="AA2605" s="21"/>
    </row>
    <row r="2606" spans="7:27" x14ac:dyDescent="0.2">
      <c r="G2606" s="21"/>
      <c r="H2606" s="21"/>
      <c r="N2606" s="21"/>
      <c r="O2606" s="21"/>
      <c r="T2606" s="21"/>
      <c r="AA2606" s="21"/>
    </row>
    <row r="2607" spans="7:27" x14ac:dyDescent="0.2">
      <c r="G2607" s="21"/>
      <c r="H2607" s="21"/>
      <c r="N2607" s="21"/>
      <c r="O2607" s="21"/>
      <c r="T2607" s="21"/>
      <c r="AA2607" s="21"/>
    </row>
    <row r="2608" spans="7:27" x14ac:dyDescent="0.2">
      <c r="G2608" s="21"/>
      <c r="H2608" s="21"/>
      <c r="N2608" s="21"/>
      <c r="O2608" s="21"/>
      <c r="T2608" s="21"/>
      <c r="AA2608" s="21"/>
    </row>
    <row r="2609" spans="7:27" x14ac:dyDescent="0.2">
      <c r="G2609" s="21"/>
      <c r="H2609" s="21"/>
      <c r="N2609" s="21"/>
      <c r="O2609" s="21"/>
      <c r="T2609" s="21"/>
      <c r="AA2609" s="21"/>
    </row>
    <row r="2610" spans="7:27" x14ac:dyDescent="0.2">
      <c r="G2610" s="21"/>
      <c r="H2610" s="21"/>
      <c r="N2610" s="21"/>
      <c r="O2610" s="21"/>
      <c r="T2610" s="21"/>
      <c r="AA2610" s="21"/>
    </row>
    <row r="2611" spans="7:27" x14ac:dyDescent="0.2">
      <c r="G2611" s="21"/>
      <c r="H2611" s="21"/>
      <c r="N2611" s="21"/>
      <c r="O2611" s="21"/>
      <c r="T2611" s="21"/>
      <c r="AA2611" s="21"/>
    </row>
    <row r="2612" spans="7:27" x14ac:dyDescent="0.2">
      <c r="G2612" s="21"/>
      <c r="H2612" s="21"/>
      <c r="N2612" s="21"/>
      <c r="O2612" s="21"/>
      <c r="T2612" s="21"/>
      <c r="AA2612" s="21"/>
    </row>
    <row r="2613" spans="7:27" x14ac:dyDescent="0.2">
      <c r="G2613" s="21"/>
      <c r="H2613" s="21"/>
      <c r="N2613" s="21"/>
      <c r="O2613" s="21"/>
      <c r="T2613" s="21"/>
      <c r="AA2613" s="21"/>
    </row>
    <row r="2614" spans="7:27" x14ac:dyDescent="0.2">
      <c r="G2614" s="21"/>
      <c r="H2614" s="21"/>
      <c r="N2614" s="21"/>
      <c r="O2614" s="21"/>
      <c r="T2614" s="21"/>
      <c r="AA2614" s="21"/>
    </row>
    <row r="2615" spans="7:27" x14ac:dyDescent="0.2">
      <c r="G2615" s="21"/>
      <c r="H2615" s="21"/>
      <c r="N2615" s="21"/>
      <c r="O2615" s="21"/>
      <c r="T2615" s="21"/>
      <c r="AA2615" s="21"/>
    </row>
    <row r="2616" spans="7:27" x14ac:dyDescent="0.2">
      <c r="G2616" s="21"/>
      <c r="H2616" s="21"/>
      <c r="N2616" s="21"/>
      <c r="O2616" s="21"/>
      <c r="T2616" s="21"/>
      <c r="AA2616" s="21"/>
    </row>
    <row r="2617" spans="7:27" x14ac:dyDescent="0.2">
      <c r="G2617" s="21"/>
      <c r="H2617" s="21"/>
      <c r="N2617" s="21"/>
      <c r="O2617" s="21"/>
      <c r="T2617" s="21"/>
      <c r="AA2617" s="21"/>
    </row>
    <row r="2618" spans="7:27" x14ac:dyDescent="0.2">
      <c r="G2618" s="21"/>
      <c r="H2618" s="21"/>
      <c r="N2618" s="21"/>
      <c r="O2618" s="21"/>
      <c r="T2618" s="21"/>
      <c r="AA2618" s="21"/>
    </row>
    <row r="2619" spans="7:27" x14ac:dyDescent="0.2">
      <c r="G2619" s="21"/>
      <c r="H2619" s="21"/>
      <c r="N2619" s="21"/>
      <c r="O2619" s="21"/>
      <c r="T2619" s="21"/>
      <c r="AA2619" s="21"/>
    </row>
    <row r="2620" spans="7:27" x14ac:dyDescent="0.2">
      <c r="G2620" s="21"/>
      <c r="H2620" s="21"/>
      <c r="N2620" s="21"/>
      <c r="O2620" s="21"/>
      <c r="T2620" s="21"/>
      <c r="AA2620" s="21"/>
    </row>
    <row r="2621" spans="7:27" x14ac:dyDescent="0.2">
      <c r="G2621" s="21"/>
      <c r="H2621" s="21"/>
      <c r="N2621" s="21"/>
      <c r="O2621" s="21"/>
      <c r="T2621" s="21"/>
      <c r="AA2621" s="21"/>
    </row>
    <row r="2622" spans="7:27" x14ac:dyDescent="0.2">
      <c r="G2622" s="21"/>
      <c r="H2622" s="21"/>
      <c r="N2622" s="21"/>
      <c r="O2622" s="21"/>
      <c r="T2622" s="21"/>
      <c r="AA2622" s="21"/>
    </row>
    <row r="2623" spans="7:27" x14ac:dyDescent="0.2">
      <c r="G2623" s="21"/>
      <c r="H2623" s="21"/>
      <c r="N2623" s="21"/>
      <c r="O2623" s="21"/>
      <c r="T2623" s="21"/>
      <c r="AA2623" s="21"/>
    </row>
    <row r="2624" spans="7:27" x14ac:dyDescent="0.2">
      <c r="G2624" s="21"/>
      <c r="H2624" s="21"/>
      <c r="N2624" s="21"/>
      <c r="O2624" s="21"/>
      <c r="T2624" s="21"/>
      <c r="AA2624" s="21"/>
    </row>
    <row r="2625" spans="7:27" x14ac:dyDescent="0.2">
      <c r="G2625" s="21"/>
      <c r="H2625" s="21"/>
      <c r="N2625" s="21"/>
      <c r="O2625" s="21"/>
      <c r="T2625" s="21"/>
      <c r="AA2625" s="21"/>
    </row>
    <row r="2626" spans="7:27" x14ac:dyDescent="0.2">
      <c r="G2626" s="21"/>
      <c r="H2626" s="21"/>
      <c r="N2626" s="21"/>
      <c r="O2626" s="21"/>
      <c r="T2626" s="21"/>
      <c r="AA2626" s="21"/>
    </row>
    <row r="2627" spans="7:27" x14ac:dyDescent="0.2">
      <c r="G2627" s="21"/>
      <c r="H2627" s="21"/>
      <c r="N2627" s="21"/>
      <c r="O2627" s="21"/>
      <c r="T2627" s="21"/>
      <c r="AA2627" s="21"/>
    </row>
    <row r="2628" spans="7:27" x14ac:dyDescent="0.2">
      <c r="G2628" s="21"/>
      <c r="H2628" s="21"/>
      <c r="N2628" s="21"/>
      <c r="O2628" s="21"/>
      <c r="T2628" s="21"/>
      <c r="AA2628" s="21"/>
    </row>
    <row r="2629" spans="7:27" x14ac:dyDescent="0.2">
      <c r="G2629" s="21"/>
      <c r="H2629" s="21"/>
      <c r="N2629" s="21"/>
      <c r="O2629" s="21"/>
      <c r="T2629" s="21"/>
      <c r="AA2629" s="21"/>
    </row>
    <row r="2630" spans="7:27" x14ac:dyDescent="0.2">
      <c r="G2630" s="21"/>
      <c r="H2630" s="21"/>
      <c r="N2630" s="21"/>
      <c r="O2630" s="21"/>
      <c r="T2630" s="21"/>
      <c r="AA2630" s="21"/>
    </row>
    <row r="2631" spans="7:27" x14ac:dyDescent="0.2">
      <c r="G2631" s="21"/>
      <c r="H2631" s="21"/>
      <c r="N2631" s="21"/>
      <c r="O2631" s="21"/>
      <c r="T2631" s="21"/>
      <c r="AA2631" s="21"/>
    </row>
    <row r="2632" spans="7:27" x14ac:dyDescent="0.2">
      <c r="G2632" s="21"/>
      <c r="H2632" s="21"/>
      <c r="N2632" s="21"/>
      <c r="O2632" s="21"/>
      <c r="T2632" s="21"/>
      <c r="AA2632" s="21"/>
    </row>
    <row r="2633" spans="7:27" x14ac:dyDescent="0.2">
      <c r="G2633" s="21"/>
      <c r="H2633" s="21"/>
      <c r="N2633" s="21"/>
      <c r="O2633" s="21"/>
      <c r="T2633" s="21"/>
      <c r="AA2633" s="21"/>
    </row>
    <row r="2634" spans="7:27" x14ac:dyDescent="0.2">
      <c r="G2634" s="21"/>
      <c r="H2634" s="21"/>
      <c r="N2634" s="21"/>
      <c r="O2634" s="21"/>
      <c r="T2634" s="21"/>
      <c r="AA2634" s="21"/>
    </row>
    <row r="2635" spans="7:27" x14ac:dyDescent="0.2">
      <c r="G2635" s="21"/>
      <c r="H2635" s="21"/>
      <c r="N2635" s="21"/>
      <c r="O2635" s="21"/>
      <c r="T2635" s="21"/>
      <c r="AA2635" s="21"/>
    </row>
    <row r="2636" spans="7:27" x14ac:dyDescent="0.2">
      <c r="G2636" s="21"/>
      <c r="H2636" s="21"/>
      <c r="N2636" s="21"/>
      <c r="O2636" s="21"/>
      <c r="T2636" s="21"/>
      <c r="AA2636" s="21"/>
    </row>
    <row r="2637" spans="7:27" x14ac:dyDescent="0.2">
      <c r="G2637" s="21"/>
      <c r="H2637" s="21"/>
      <c r="N2637" s="21"/>
      <c r="O2637" s="21"/>
      <c r="T2637" s="21"/>
      <c r="AA2637" s="21"/>
    </row>
    <row r="2638" spans="7:27" x14ac:dyDescent="0.2">
      <c r="G2638" s="21"/>
      <c r="H2638" s="21"/>
      <c r="N2638" s="21"/>
      <c r="O2638" s="21"/>
      <c r="T2638" s="21"/>
      <c r="AA2638" s="21"/>
    </row>
    <row r="2639" spans="7:27" x14ac:dyDescent="0.2">
      <c r="G2639" s="21"/>
      <c r="H2639" s="21"/>
      <c r="N2639" s="21"/>
      <c r="O2639" s="21"/>
      <c r="T2639" s="21"/>
      <c r="AA2639" s="21"/>
    </row>
    <row r="2640" spans="7:27" x14ac:dyDescent="0.2">
      <c r="G2640" s="21"/>
      <c r="H2640" s="21"/>
      <c r="N2640" s="21"/>
      <c r="O2640" s="21"/>
      <c r="T2640" s="21"/>
      <c r="AA2640" s="21"/>
    </row>
    <row r="2641" spans="7:27" x14ac:dyDescent="0.2">
      <c r="G2641" s="21"/>
      <c r="H2641" s="21"/>
      <c r="N2641" s="21"/>
      <c r="O2641" s="21"/>
      <c r="T2641" s="21"/>
      <c r="AA2641" s="21"/>
    </row>
    <row r="2642" spans="7:27" x14ac:dyDescent="0.2">
      <c r="G2642" s="21"/>
      <c r="H2642" s="21"/>
      <c r="N2642" s="21"/>
      <c r="O2642" s="21"/>
      <c r="T2642" s="21"/>
      <c r="AA2642" s="21"/>
    </row>
    <row r="2643" spans="7:27" x14ac:dyDescent="0.2">
      <c r="G2643" s="21"/>
      <c r="H2643" s="21"/>
      <c r="N2643" s="21"/>
      <c r="O2643" s="21"/>
      <c r="T2643" s="21"/>
      <c r="AA2643" s="21"/>
    </row>
    <row r="2644" spans="7:27" x14ac:dyDescent="0.2">
      <c r="G2644" s="21"/>
      <c r="H2644" s="21"/>
      <c r="N2644" s="21"/>
      <c r="O2644" s="21"/>
      <c r="T2644" s="21"/>
      <c r="AA2644" s="21"/>
    </row>
    <row r="2645" spans="7:27" x14ac:dyDescent="0.2">
      <c r="G2645" s="21"/>
      <c r="H2645" s="21"/>
      <c r="N2645" s="21"/>
      <c r="O2645" s="21"/>
      <c r="T2645" s="21"/>
      <c r="AA2645" s="21"/>
    </row>
    <row r="2646" spans="7:27" x14ac:dyDescent="0.2">
      <c r="G2646" s="21"/>
      <c r="H2646" s="21"/>
      <c r="N2646" s="21"/>
      <c r="O2646" s="21"/>
      <c r="T2646" s="21"/>
      <c r="AA2646" s="21"/>
    </row>
    <row r="2647" spans="7:27" x14ac:dyDescent="0.2">
      <c r="G2647" s="21"/>
      <c r="H2647" s="21"/>
      <c r="N2647" s="21"/>
      <c r="O2647" s="21"/>
      <c r="T2647" s="21"/>
      <c r="AA2647" s="21"/>
    </row>
    <row r="2648" spans="7:27" x14ac:dyDescent="0.2">
      <c r="G2648" s="21"/>
      <c r="H2648" s="21"/>
      <c r="N2648" s="21"/>
      <c r="O2648" s="21"/>
      <c r="T2648" s="21"/>
      <c r="AA2648" s="21"/>
    </row>
    <row r="2649" spans="7:27" x14ac:dyDescent="0.2">
      <c r="G2649" s="21"/>
      <c r="H2649" s="21"/>
      <c r="N2649" s="21"/>
      <c r="O2649" s="21"/>
      <c r="T2649" s="21"/>
      <c r="AA2649" s="21"/>
    </row>
    <row r="2650" spans="7:27" x14ac:dyDescent="0.2">
      <c r="G2650" s="21"/>
      <c r="H2650" s="21"/>
      <c r="N2650" s="21"/>
      <c r="O2650" s="21"/>
      <c r="T2650" s="21"/>
      <c r="AA2650" s="21"/>
    </row>
    <row r="2651" spans="7:27" x14ac:dyDescent="0.2">
      <c r="G2651" s="21"/>
      <c r="H2651" s="21"/>
      <c r="N2651" s="21"/>
      <c r="O2651" s="21"/>
      <c r="T2651" s="21"/>
      <c r="AA2651" s="21"/>
    </row>
    <row r="2652" spans="7:27" x14ac:dyDescent="0.2">
      <c r="G2652" s="21"/>
      <c r="H2652" s="21"/>
      <c r="N2652" s="21"/>
      <c r="O2652" s="21"/>
      <c r="T2652" s="21"/>
      <c r="AA2652" s="21"/>
    </row>
    <row r="2653" spans="7:27" x14ac:dyDescent="0.2">
      <c r="G2653" s="21"/>
      <c r="H2653" s="21"/>
      <c r="N2653" s="21"/>
      <c r="O2653" s="21"/>
      <c r="T2653" s="21"/>
      <c r="AA2653" s="21"/>
    </row>
    <row r="2654" spans="7:27" x14ac:dyDescent="0.2">
      <c r="G2654" s="21"/>
      <c r="H2654" s="21"/>
      <c r="N2654" s="21"/>
      <c r="O2654" s="21"/>
      <c r="T2654" s="21"/>
      <c r="AA2654" s="21"/>
    </row>
    <row r="2655" spans="7:27" x14ac:dyDescent="0.2">
      <c r="G2655" s="21"/>
      <c r="H2655" s="21"/>
      <c r="N2655" s="21"/>
      <c r="O2655" s="21"/>
      <c r="T2655" s="21"/>
      <c r="AA2655" s="21"/>
    </row>
    <row r="2656" spans="7:27" x14ac:dyDescent="0.2">
      <c r="G2656" s="21"/>
      <c r="H2656" s="21"/>
      <c r="N2656" s="21"/>
      <c r="O2656" s="21"/>
      <c r="T2656" s="21"/>
      <c r="AA2656" s="21"/>
    </row>
    <row r="2657" spans="7:27" x14ac:dyDescent="0.2">
      <c r="G2657" s="21"/>
      <c r="H2657" s="21"/>
      <c r="N2657" s="21"/>
      <c r="O2657" s="21"/>
      <c r="T2657" s="21"/>
      <c r="AA2657" s="21"/>
    </row>
    <row r="2658" spans="7:27" x14ac:dyDescent="0.2">
      <c r="G2658" s="21"/>
      <c r="H2658" s="21"/>
      <c r="N2658" s="21"/>
      <c r="O2658" s="21"/>
      <c r="T2658" s="21"/>
      <c r="AA2658" s="21"/>
    </row>
    <row r="2659" spans="7:27" x14ac:dyDescent="0.2">
      <c r="G2659" s="21"/>
      <c r="H2659" s="21"/>
      <c r="N2659" s="21"/>
      <c r="O2659" s="21"/>
      <c r="T2659" s="21"/>
      <c r="AA2659" s="21"/>
    </row>
    <row r="2660" spans="7:27" x14ac:dyDescent="0.2">
      <c r="G2660" s="21"/>
      <c r="H2660" s="21"/>
      <c r="N2660" s="21"/>
      <c r="O2660" s="21"/>
      <c r="T2660" s="21"/>
      <c r="AA2660" s="21"/>
    </row>
    <row r="2661" spans="7:27" x14ac:dyDescent="0.2">
      <c r="G2661" s="21"/>
      <c r="H2661" s="21"/>
      <c r="N2661" s="21"/>
      <c r="O2661" s="21"/>
      <c r="T2661" s="21"/>
      <c r="AA2661" s="21"/>
    </row>
    <row r="2662" spans="7:27" x14ac:dyDescent="0.2">
      <c r="G2662" s="21"/>
      <c r="H2662" s="21"/>
      <c r="N2662" s="21"/>
      <c r="O2662" s="21"/>
      <c r="T2662" s="21"/>
      <c r="AA2662" s="21"/>
    </row>
    <row r="2663" spans="7:27" x14ac:dyDescent="0.2">
      <c r="G2663" s="21"/>
      <c r="H2663" s="21"/>
      <c r="N2663" s="21"/>
      <c r="O2663" s="21"/>
      <c r="T2663" s="21"/>
      <c r="AA2663" s="21"/>
    </row>
    <row r="2664" spans="7:27" x14ac:dyDescent="0.2">
      <c r="G2664" s="21"/>
      <c r="H2664" s="21"/>
      <c r="N2664" s="21"/>
      <c r="O2664" s="21"/>
      <c r="T2664" s="21"/>
      <c r="AA2664" s="21"/>
    </row>
    <row r="2665" spans="7:27" x14ac:dyDescent="0.2">
      <c r="G2665" s="21"/>
      <c r="H2665" s="21"/>
      <c r="N2665" s="21"/>
      <c r="O2665" s="21"/>
      <c r="T2665" s="21"/>
      <c r="AA2665" s="21"/>
    </row>
    <row r="2666" spans="7:27" x14ac:dyDescent="0.2">
      <c r="G2666" s="21"/>
      <c r="H2666" s="21"/>
      <c r="N2666" s="21"/>
      <c r="O2666" s="21"/>
      <c r="T2666" s="21"/>
      <c r="AA2666" s="21"/>
    </row>
    <row r="2667" spans="7:27" x14ac:dyDescent="0.2">
      <c r="G2667" s="21"/>
      <c r="H2667" s="21"/>
      <c r="N2667" s="21"/>
      <c r="O2667" s="21"/>
      <c r="T2667" s="21"/>
      <c r="AA2667" s="21"/>
    </row>
    <row r="2668" spans="7:27" x14ac:dyDescent="0.2">
      <c r="G2668" s="21"/>
      <c r="H2668" s="21"/>
      <c r="N2668" s="21"/>
      <c r="O2668" s="21"/>
      <c r="T2668" s="21"/>
      <c r="AA2668" s="21"/>
    </row>
    <row r="2669" spans="7:27" x14ac:dyDescent="0.2">
      <c r="G2669" s="21"/>
      <c r="H2669" s="21"/>
      <c r="N2669" s="21"/>
      <c r="O2669" s="21"/>
      <c r="T2669" s="21"/>
      <c r="AA2669" s="21"/>
    </row>
    <row r="2670" spans="7:27" x14ac:dyDescent="0.2">
      <c r="G2670" s="21"/>
      <c r="H2670" s="21"/>
      <c r="N2670" s="21"/>
      <c r="O2670" s="21"/>
      <c r="T2670" s="21"/>
      <c r="AA2670" s="21"/>
    </row>
    <row r="2671" spans="7:27" x14ac:dyDescent="0.2">
      <c r="G2671" s="21"/>
      <c r="H2671" s="21"/>
      <c r="N2671" s="21"/>
      <c r="O2671" s="21"/>
      <c r="T2671" s="21"/>
      <c r="AA2671" s="21"/>
    </row>
    <row r="2672" spans="7:27" x14ac:dyDescent="0.2">
      <c r="G2672" s="21"/>
      <c r="H2672" s="21"/>
      <c r="N2672" s="21"/>
      <c r="O2672" s="21"/>
      <c r="T2672" s="21"/>
      <c r="AA2672" s="21"/>
    </row>
    <row r="2673" spans="7:27" x14ac:dyDescent="0.2">
      <c r="G2673" s="21"/>
      <c r="H2673" s="21"/>
      <c r="N2673" s="21"/>
      <c r="O2673" s="21"/>
      <c r="T2673" s="21"/>
      <c r="AA2673" s="21"/>
    </row>
    <row r="2674" spans="7:27" x14ac:dyDescent="0.2">
      <c r="G2674" s="21"/>
      <c r="H2674" s="21"/>
      <c r="N2674" s="21"/>
      <c r="O2674" s="21"/>
      <c r="T2674" s="21"/>
      <c r="AA2674" s="21"/>
    </row>
    <row r="2675" spans="7:27" x14ac:dyDescent="0.2">
      <c r="G2675" s="21"/>
      <c r="H2675" s="21"/>
      <c r="N2675" s="21"/>
      <c r="O2675" s="21"/>
      <c r="T2675" s="21"/>
      <c r="AA2675" s="21"/>
    </row>
    <row r="2676" spans="7:27" x14ac:dyDescent="0.2">
      <c r="G2676" s="21"/>
      <c r="H2676" s="21"/>
      <c r="N2676" s="21"/>
      <c r="O2676" s="21"/>
      <c r="T2676" s="21"/>
      <c r="AA2676" s="21"/>
    </row>
    <row r="2677" spans="7:27" x14ac:dyDescent="0.2">
      <c r="G2677" s="21"/>
      <c r="H2677" s="21"/>
      <c r="N2677" s="21"/>
      <c r="O2677" s="21"/>
      <c r="T2677" s="21"/>
      <c r="AA2677" s="21"/>
    </row>
    <row r="2678" spans="7:27" x14ac:dyDescent="0.2">
      <c r="G2678" s="21"/>
      <c r="H2678" s="21"/>
      <c r="N2678" s="21"/>
      <c r="O2678" s="21"/>
      <c r="T2678" s="21"/>
      <c r="AA2678" s="21"/>
    </row>
    <row r="2679" spans="7:27" x14ac:dyDescent="0.2">
      <c r="G2679" s="21"/>
      <c r="H2679" s="21"/>
      <c r="N2679" s="21"/>
      <c r="O2679" s="21"/>
      <c r="T2679" s="21"/>
      <c r="AA2679" s="21"/>
    </row>
    <row r="2680" spans="7:27" x14ac:dyDescent="0.2">
      <c r="G2680" s="21"/>
      <c r="H2680" s="21"/>
      <c r="N2680" s="21"/>
      <c r="O2680" s="21"/>
      <c r="T2680" s="21"/>
      <c r="AA2680" s="21"/>
    </row>
    <row r="2681" spans="7:27" x14ac:dyDescent="0.2">
      <c r="G2681" s="21"/>
      <c r="H2681" s="21"/>
      <c r="N2681" s="21"/>
      <c r="O2681" s="21"/>
      <c r="T2681" s="21"/>
      <c r="AA2681" s="21"/>
    </row>
    <row r="2682" spans="7:27" x14ac:dyDescent="0.2">
      <c r="G2682" s="21"/>
      <c r="H2682" s="21"/>
      <c r="N2682" s="21"/>
      <c r="O2682" s="21"/>
      <c r="T2682" s="21"/>
      <c r="AA2682" s="21"/>
    </row>
    <row r="2683" spans="7:27" x14ac:dyDescent="0.2">
      <c r="G2683" s="21"/>
      <c r="H2683" s="21"/>
      <c r="N2683" s="21"/>
      <c r="O2683" s="21"/>
      <c r="T2683" s="21"/>
      <c r="AA2683" s="21"/>
    </row>
    <row r="2684" spans="7:27" x14ac:dyDescent="0.2">
      <c r="G2684" s="21"/>
      <c r="H2684" s="21"/>
      <c r="N2684" s="21"/>
      <c r="O2684" s="21"/>
      <c r="T2684" s="21"/>
      <c r="AA2684" s="21"/>
    </row>
    <row r="2685" spans="7:27" x14ac:dyDescent="0.2">
      <c r="G2685" s="21"/>
      <c r="H2685" s="21"/>
      <c r="N2685" s="21"/>
      <c r="O2685" s="21"/>
      <c r="T2685" s="21"/>
      <c r="AA2685" s="21"/>
    </row>
    <row r="2686" spans="7:27" x14ac:dyDescent="0.2">
      <c r="G2686" s="21"/>
      <c r="H2686" s="21"/>
      <c r="N2686" s="21"/>
      <c r="O2686" s="21"/>
      <c r="T2686" s="21"/>
      <c r="AA2686" s="21"/>
    </row>
    <row r="2687" spans="7:27" x14ac:dyDescent="0.2">
      <c r="G2687" s="21"/>
      <c r="H2687" s="21"/>
      <c r="N2687" s="21"/>
      <c r="O2687" s="21"/>
      <c r="T2687" s="21"/>
      <c r="AA2687" s="21"/>
    </row>
    <row r="2688" spans="7:27" x14ac:dyDescent="0.2">
      <c r="G2688" s="21"/>
      <c r="H2688" s="21"/>
      <c r="N2688" s="21"/>
      <c r="O2688" s="21"/>
      <c r="T2688" s="21"/>
      <c r="AA2688" s="21"/>
    </row>
    <row r="2689" spans="7:27" x14ac:dyDescent="0.2">
      <c r="G2689" s="21"/>
      <c r="H2689" s="21"/>
      <c r="N2689" s="21"/>
      <c r="O2689" s="21"/>
      <c r="T2689" s="21"/>
      <c r="AA2689" s="21"/>
    </row>
    <row r="2690" spans="7:27" x14ac:dyDescent="0.2">
      <c r="G2690" s="21"/>
      <c r="H2690" s="21"/>
      <c r="N2690" s="21"/>
      <c r="O2690" s="21"/>
      <c r="T2690" s="21"/>
      <c r="AA2690" s="21"/>
    </row>
    <row r="2691" spans="7:27" x14ac:dyDescent="0.2">
      <c r="G2691" s="21"/>
      <c r="H2691" s="21"/>
      <c r="N2691" s="21"/>
      <c r="O2691" s="21"/>
      <c r="T2691" s="21"/>
      <c r="AA2691" s="21"/>
    </row>
    <row r="2692" spans="7:27" x14ac:dyDescent="0.2">
      <c r="G2692" s="21"/>
      <c r="H2692" s="21"/>
      <c r="N2692" s="21"/>
      <c r="O2692" s="21"/>
      <c r="T2692" s="21"/>
      <c r="AA2692" s="21"/>
    </row>
    <row r="2693" spans="7:27" x14ac:dyDescent="0.2">
      <c r="G2693" s="21"/>
      <c r="H2693" s="21"/>
      <c r="N2693" s="21"/>
      <c r="O2693" s="21"/>
      <c r="T2693" s="21"/>
      <c r="AA2693" s="21"/>
    </row>
    <row r="2694" spans="7:27" x14ac:dyDescent="0.2">
      <c r="G2694" s="21"/>
      <c r="H2694" s="21"/>
      <c r="N2694" s="21"/>
      <c r="O2694" s="21"/>
      <c r="T2694" s="21"/>
      <c r="AA2694" s="21"/>
    </row>
    <row r="2695" spans="7:27" x14ac:dyDescent="0.2">
      <c r="G2695" s="21"/>
      <c r="H2695" s="21"/>
      <c r="N2695" s="21"/>
      <c r="O2695" s="21"/>
      <c r="T2695" s="21"/>
      <c r="AA2695" s="21"/>
    </row>
    <row r="2696" spans="7:27" x14ac:dyDescent="0.2">
      <c r="G2696" s="21"/>
      <c r="H2696" s="21"/>
      <c r="N2696" s="21"/>
      <c r="O2696" s="21"/>
      <c r="T2696" s="21"/>
      <c r="AA2696" s="21"/>
    </row>
    <row r="2697" spans="7:27" x14ac:dyDescent="0.2">
      <c r="G2697" s="21"/>
      <c r="H2697" s="21"/>
      <c r="N2697" s="21"/>
      <c r="O2697" s="21"/>
      <c r="T2697" s="21"/>
      <c r="AA2697" s="21"/>
    </row>
    <row r="2698" spans="7:27" x14ac:dyDescent="0.2">
      <c r="G2698" s="21"/>
      <c r="H2698" s="21"/>
      <c r="N2698" s="21"/>
      <c r="O2698" s="21"/>
      <c r="T2698" s="21"/>
      <c r="AA2698" s="21"/>
    </row>
    <row r="2699" spans="7:27" x14ac:dyDescent="0.2">
      <c r="G2699" s="21"/>
      <c r="H2699" s="21"/>
      <c r="N2699" s="21"/>
      <c r="O2699" s="21"/>
      <c r="T2699" s="21"/>
      <c r="AA2699" s="21"/>
    </row>
    <row r="2700" spans="7:27" x14ac:dyDescent="0.2">
      <c r="G2700" s="21"/>
      <c r="H2700" s="21"/>
      <c r="N2700" s="21"/>
      <c r="O2700" s="21"/>
      <c r="T2700" s="21"/>
      <c r="AA2700" s="21"/>
    </row>
    <row r="2701" spans="7:27" x14ac:dyDescent="0.2">
      <c r="G2701" s="21"/>
      <c r="H2701" s="21"/>
      <c r="N2701" s="21"/>
      <c r="O2701" s="21"/>
      <c r="T2701" s="21"/>
      <c r="AA2701" s="21"/>
    </row>
    <row r="2702" spans="7:27" x14ac:dyDescent="0.2">
      <c r="G2702" s="21"/>
      <c r="H2702" s="21"/>
      <c r="N2702" s="21"/>
      <c r="O2702" s="21"/>
      <c r="T2702" s="21"/>
      <c r="AA2702" s="21"/>
    </row>
    <row r="2703" spans="7:27" x14ac:dyDescent="0.2">
      <c r="G2703" s="21"/>
      <c r="H2703" s="21"/>
      <c r="N2703" s="21"/>
      <c r="O2703" s="21"/>
      <c r="T2703" s="21"/>
      <c r="AA2703" s="21"/>
    </row>
    <row r="2704" spans="7:27" x14ac:dyDescent="0.2">
      <c r="G2704" s="21"/>
      <c r="H2704" s="21"/>
      <c r="N2704" s="21"/>
      <c r="O2704" s="21"/>
      <c r="T2704" s="21"/>
      <c r="AA2704" s="21"/>
    </row>
    <row r="2705" spans="7:27" x14ac:dyDescent="0.2">
      <c r="G2705" s="21"/>
      <c r="H2705" s="21"/>
      <c r="N2705" s="21"/>
      <c r="O2705" s="21"/>
      <c r="T2705" s="21"/>
      <c r="AA2705" s="21"/>
    </row>
    <row r="2706" spans="7:27" x14ac:dyDescent="0.2">
      <c r="G2706" s="21"/>
      <c r="H2706" s="21"/>
      <c r="N2706" s="21"/>
      <c r="O2706" s="21"/>
      <c r="T2706" s="21"/>
      <c r="AA2706" s="21"/>
    </row>
    <row r="2707" spans="7:27" x14ac:dyDescent="0.2">
      <c r="G2707" s="21"/>
      <c r="H2707" s="21"/>
      <c r="N2707" s="21"/>
      <c r="O2707" s="21"/>
      <c r="T2707" s="21"/>
      <c r="AA2707" s="21"/>
    </row>
    <row r="2708" spans="7:27" x14ac:dyDescent="0.2">
      <c r="G2708" s="21"/>
      <c r="H2708" s="21"/>
      <c r="N2708" s="21"/>
      <c r="O2708" s="21"/>
      <c r="T2708" s="21"/>
      <c r="AA2708" s="21"/>
    </row>
    <row r="2709" spans="7:27" x14ac:dyDescent="0.2">
      <c r="G2709" s="21"/>
      <c r="H2709" s="21"/>
      <c r="N2709" s="21"/>
      <c r="O2709" s="21"/>
      <c r="T2709" s="21"/>
      <c r="AA2709" s="21"/>
    </row>
    <row r="2710" spans="7:27" x14ac:dyDescent="0.2">
      <c r="G2710" s="21"/>
      <c r="H2710" s="21"/>
      <c r="N2710" s="21"/>
      <c r="O2710" s="21"/>
      <c r="T2710" s="21"/>
      <c r="AA2710" s="21"/>
    </row>
    <row r="2711" spans="7:27" x14ac:dyDescent="0.2">
      <c r="G2711" s="21"/>
      <c r="H2711" s="21"/>
      <c r="N2711" s="21"/>
      <c r="O2711" s="21"/>
      <c r="T2711" s="21"/>
      <c r="AA2711" s="21"/>
    </row>
    <row r="2712" spans="7:27" x14ac:dyDescent="0.2">
      <c r="G2712" s="21"/>
      <c r="H2712" s="21"/>
      <c r="N2712" s="21"/>
      <c r="O2712" s="21"/>
      <c r="T2712" s="21"/>
      <c r="AA2712" s="21"/>
    </row>
    <row r="2713" spans="7:27" x14ac:dyDescent="0.2">
      <c r="G2713" s="21"/>
      <c r="H2713" s="21"/>
      <c r="N2713" s="21"/>
      <c r="O2713" s="21"/>
      <c r="T2713" s="21"/>
      <c r="AA2713" s="21"/>
    </row>
    <row r="2714" spans="7:27" x14ac:dyDescent="0.2">
      <c r="G2714" s="21"/>
      <c r="H2714" s="21"/>
      <c r="N2714" s="21"/>
      <c r="O2714" s="21"/>
      <c r="T2714" s="21"/>
      <c r="AA2714" s="21"/>
    </row>
    <row r="2715" spans="7:27" x14ac:dyDescent="0.2">
      <c r="G2715" s="21"/>
      <c r="H2715" s="21"/>
      <c r="N2715" s="21"/>
      <c r="O2715" s="21"/>
      <c r="T2715" s="21"/>
      <c r="AA2715" s="21"/>
    </row>
    <row r="2716" spans="7:27" x14ac:dyDescent="0.2">
      <c r="G2716" s="21"/>
      <c r="H2716" s="21"/>
      <c r="N2716" s="21"/>
      <c r="O2716" s="21"/>
      <c r="T2716" s="21"/>
      <c r="AA2716" s="21"/>
    </row>
    <row r="2717" spans="7:27" x14ac:dyDescent="0.2">
      <c r="G2717" s="21"/>
      <c r="H2717" s="21"/>
      <c r="N2717" s="21"/>
      <c r="O2717" s="21"/>
      <c r="T2717" s="21"/>
      <c r="AA2717" s="21"/>
    </row>
    <row r="2718" spans="7:27" x14ac:dyDescent="0.2">
      <c r="G2718" s="21"/>
      <c r="H2718" s="21"/>
      <c r="N2718" s="21"/>
      <c r="O2718" s="21"/>
      <c r="T2718" s="21"/>
      <c r="AA2718" s="21"/>
    </row>
    <row r="2719" spans="7:27" x14ac:dyDescent="0.2">
      <c r="G2719" s="21"/>
      <c r="H2719" s="21"/>
      <c r="N2719" s="21"/>
      <c r="O2719" s="21"/>
      <c r="T2719" s="21"/>
      <c r="AA2719" s="21"/>
    </row>
    <row r="2720" spans="7:27" x14ac:dyDescent="0.2">
      <c r="G2720" s="21"/>
      <c r="H2720" s="21"/>
      <c r="N2720" s="21"/>
      <c r="O2720" s="21"/>
      <c r="T2720" s="21"/>
      <c r="AA2720" s="21"/>
    </row>
    <row r="2721" spans="7:27" x14ac:dyDescent="0.2">
      <c r="G2721" s="21"/>
      <c r="H2721" s="21"/>
      <c r="N2721" s="21"/>
      <c r="O2721" s="21"/>
      <c r="T2721" s="21"/>
      <c r="AA2721" s="21"/>
    </row>
    <row r="2722" spans="7:27" x14ac:dyDescent="0.2">
      <c r="G2722" s="21"/>
      <c r="H2722" s="21"/>
      <c r="N2722" s="21"/>
      <c r="O2722" s="21"/>
      <c r="T2722" s="21"/>
      <c r="AA2722" s="21"/>
    </row>
    <row r="2723" spans="7:27" x14ac:dyDescent="0.2">
      <c r="G2723" s="21"/>
      <c r="H2723" s="21"/>
      <c r="N2723" s="21"/>
      <c r="O2723" s="21"/>
      <c r="T2723" s="21"/>
      <c r="AA2723" s="21"/>
    </row>
    <row r="2724" spans="7:27" x14ac:dyDescent="0.2">
      <c r="G2724" s="21"/>
      <c r="H2724" s="21"/>
      <c r="N2724" s="21"/>
      <c r="O2724" s="21"/>
      <c r="T2724" s="21"/>
      <c r="AA2724" s="21"/>
    </row>
    <row r="2725" spans="7:27" x14ac:dyDescent="0.2">
      <c r="G2725" s="21"/>
      <c r="H2725" s="21"/>
      <c r="N2725" s="21"/>
      <c r="O2725" s="21"/>
      <c r="T2725" s="21"/>
      <c r="AA2725" s="21"/>
    </row>
    <row r="2726" spans="7:27" x14ac:dyDescent="0.2">
      <c r="G2726" s="21"/>
      <c r="H2726" s="21"/>
      <c r="N2726" s="21"/>
      <c r="O2726" s="21"/>
      <c r="T2726" s="21"/>
      <c r="AA2726" s="21"/>
    </row>
    <row r="2727" spans="7:27" x14ac:dyDescent="0.2">
      <c r="G2727" s="21"/>
      <c r="H2727" s="21"/>
      <c r="N2727" s="21"/>
      <c r="O2727" s="21"/>
      <c r="T2727" s="21"/>
      <c r="AA2727" s="21"/>
    </row>
    <row r="2728" spans="7:27" x14ac:dyDescent="0.2">
      <c r="G2728" s="21"/>
      <c r="H2728" s="21"/>
      <c r="N2728" s="21"/>
      <c r="O2728" s="21"/>
      <c r="T2728" s="21"/>
      <c r="AA2728" s="21"/>
    </row>
    <row r="2729" spans="7:27" x14ac:dyDescent="0.2">
      <c r="G2729" s="21"/>
      <c r="H2729" s="21"/>
      <c r="N2729" s="21"/>
      <c r="O2729" s="21"/>
      <c r="T2729" s="21"/>
      <c r="AA2729" s="21"/>
    </row>
    <row r="2730" spans="7:27" x14ac:dyDescent="0.2">
      <c r="G2730" s="21"/>
      <c r="H2730" s="21"/>
      <c r="N2730" s="21"/>
      <c r="O2730" s="21"/>
      <c r="T2730" s="21"/>
      <c r="AA2730" s="21"/>
    </row>
    <row r="2731" spans="7:27" x14ac:dyDescent="0.2">
      <c r="G2731" s="21"/>
      <c r="H2731" s="21"/>
      <c r="N2731" s="21"/>
      <c r="O2731" s="21"/>
      <c r="T2731" s="21"/>
      <c r="AA2731" s="21"/>
    </row>
    <row r="2732" spans="7:27" x14ac:dyDescent="0.2">
      <c r="G2732" s="21"/>
      <c r="H2732" s="21"/>
      <c r="N2732" s="21"/>
      <c r="O2732" s="21"/>
      <c r="T2732" s="21"/>
      <c r="AA2732" s="21"/>
    </row>
    <row r="2733" spans="7:27" x14ac:dyDescent="0.2">
      <c r="G2733" s="21"/>
      <c r="H2733" s="21"/>
      <c r="N2733" s="21"/>
      <c r="O2733" s="21"/>
      <c r="T2733" s="21"/>
      <c r="AA2733" s="21"/>
    </row>
    <row r="2734" spans="7:27" x14ac:dyDescent="0.2">
      <c r="G2734" s="21"/>
      <c r="H2734" s="21"/>
      <c r="N2734" s="21"/>
      <c r="O2734" s="21"/>
      <c r="T2734" s="21"/>
      <c r="AA2734" s="21"/>
    </row>
    <row r="2735" spans="7:27" x14ac:dyDescent="0.2">
      <c r="G2735" s="21"/>
      <c r="H2735" s="21"/>
      <c r="N2735" s="21"/>
      <c r="O2735" s="21"/>
      <c r="T2735" s="21"/>
      <c r="AA2735" s="21"/>
    </row>
    <row r="2736" spans="7:27" x14ac:dyDescent="0.2">
      <c r="G2736" s="21"/>
      <c r="H2736" s="21"/>
      <c r="N2736" s="21"/>
      <c r="O2736" s="21"/>
      <c r="T2736" s="21"/>
      <c r="AA2736" s="21"/>
    </row>
    <row r="2737" spans="7:27" x14ac:dyDescent="0.2">
      <c r="G2737" s="21"/>
      <c r="H2737" s="21"/>
      <c r="N2737" s="21"/>
      <c r="O2737" s="21"/>
      <c r="T2737" s="21"/>
      <c r="AA2737" s="21"/>
    </row>
    <row r="2738" spans="7:27" x14ac:dyDescent="0.2">
      <c r="G2738" s="21"/>
      <c r="H2738" s="21"/>
      <c r="N2738" s="21"/>
      <c r="O2738" s="21"/>
      <c r="T2738" s="21"/>
      <c r="AA2738" s="21"/>
    </row>
    <row r="2739" spans="7:27" x14ac:dyDescent="0.2">
      <c r="G2739" s="21"/>
      <c r="H2739" s="21"/>
      <c r="N2739" s="21"/>
      <c r="O2739" s="21"/>
      <c r="T2739" s="21"/>
      <c r="AA2739" s="21"/>
    </row>
    <row r="2740" spans="7:27" x14ac:dyDescent="0.2">
      <c r="G2740" s="21"/>
      <c r="H2740" s="21"/>
      <c r="N2740" s="21"/>
      <c r="O2740" s="21"/>
      <c r="T2740" s="21"/>
      <c r="AA2740" s="21"/>
    </row>
    <row r="2741" spans="7:27" x14ac:dyDescent="0.2">
      <c r="G2741" s="21"/>
      <c r="H2741" s="21"/>
      <c r="N2741" s="21"/>
      <c r="O2741" s="21"/>
      <c r="T2741" s="21"/>
      <c r="AA2741" s="21"/>
    </row>
    <row r="2742" spans="7:27" x14ac:dyDescent="0.2">
      <c r="G2742" s="21"/>
      <c r="H2742" s="21"/>
      <c r="N2742" s="21"/>
      <c r="O2742" s="21"/>
      <c r="T2742" s="21"/>
      <c r="AA2742" s="21"/>
    </row>
    <row r="2743" spans="7:27" x14ac:dyDescent="0.2">
      <c r="G2743" s="21"/>
      <c r="H2743" s="21"/>
      <c r="N2743" s="21"/>
      <c r="O2743" s="21"/>
      <c r="T2743" s="21"/>
      <c r="AA2743" s="21"/>
    </row>
    <row r="2744" spans="7:27" x14ac:dyDescent="0.2">
      <c r="G2744" s="21"/>
      <c r="H2744" s="21"/>
      <c r="N2744" s="21"/>
      <c r="O2744" s="21"/>
      <c r="T2744" s="21"/>
      <c r="AA2744" s="21"/>
    </row>
    <row r="2745" spans="7:27" x14ac:dyDescent="0.2">
      <c r="G2745" s="21"/>
      <c r="H2745" s="21"/>
      <c r="N2745" s="21"/>
      <c r="O2745" s="21"/>
      <c r="T2745" s="21"/>
      <c r="AA2745" s="21"/>
    </row>
    <row r="2746" spans="7:27" x14ac:dyDescent="0.2">
      <c r="G2746" s="21"/>
      <c r="H2746" s="21"/>
      <c r="N2746" s="21"/>
      <c r="O2746" s="21"/>
      <c r="T2746" s="21"/>
      <c r="AA2746" s="21"/>
    </row>
    <row r="2747" spans="7:27" x14ac:dyDescent="0.2">
      <c r="G2747" s="21"/>
      <c r="H2747" s="21"/>
      <c r="N2747" s="21"/>
      <c r="O2747" s="21"/>
      <c r="T2747" s="21"/>
      <c r="AA2747" s="21"/>
    </row>
    <row r="2748" spans="7:27" x14ac:dyDescent="0.2">
      <c r="G2748" s="21"/>
      <c r="H2748" s="21"/>
      <c r="N2748" s="21"/>
      <c r="O2748" s="21"/>
      <c r="T2748" s="21"/>
      <c r="AA2748" s="21"/>
    </row>
    <row r="2749" spans="7:27" x14ac:dyDescent="0.2">
      <c r="G2749" s="21"/>
      <c r="H2749" s="21"/>
      <c r="N2749" s="21"/>
      <c r="O2749" s="21"/>
      <c r="T2749" s="21"/>
      <c r="AA2749" s="21"/>
    </row>
    <row r="2750" spans="7:27" x14ac:dyDescent="0.2">
      <c r="G2750" s="21"/>
      <c r="H2750" s="21"/>
      <c r="N2750" s="21"/>
      <c r="O2750" s="21"/>
      <c r="T2750" s="21"/>
      <c r="AA2750" s="21"/>
    </row>
    <row r="2751" spans="7:27" x14ac:dyDescent="0.2">
      <c r="G2751" s="21"/>
      <c r="H2751" s="21"/>
      <c r="N2751" s="21"/>
      <c r="O2751" s="21"/>
      <c r="T2751" s="21"/>
      <c r="AA2751" s="21"/>
    </row>
    <row r="2752" spans="7:27" x14ac:dyDescent="0.2">
      <c r="G2752" s="21"/>
      <c r="H2752" s="21"/>
      <c r="N2752" s="21"/>
      <c r="O2752" s="21"/>
      <c r="T2752" s="21"/>
      <c r="AA2752" s="21"/>
    </row>
    <row r="2753" spans="7:27" x14ac:dyDescent="0.2">
      <c r="G2753" s="21"/>
      <c r="H2753" s="21"/>
      <c r="N2753" s="21"/>
      <c r="O2753" s="21"/>
      <c r="T2753" s="21"/>
      <c r="AA2753" s="21"/>
    </row>
    <row r="2754" spans="7:27" x14ac:dyDescent="0.2">
      <c r="G2754" s="21"/>
      <c r="H2754" s="21"/>
      <c r="N2754" s="21"/>
      <c r="O2754" s="21"/>
      <c r="T2754" s="21"/>
      <c r="AA2754" s="21"/>
    </row>
    <row r="2755" spans="7:27" x14ac:dyDescent="0.2">
      <c r="G2755" s="21"/>
      <c r="H2755" s="21"/>
      <c r="N2755" s="21"/>
      <c r="O2755" s="21"/>
      <c r="T2755" s="21"/>
      <c r="AA2755" s="21"/>
    </row>
    <row r="2756" spans="7:27" x14ac:dyDescent="0.2">
      <c r="G2756" s="21"/>
      <c r="H2756" s="21"/>
      <c r="N2756" s="21"/>
      <c r="O2756" s="21"/>
      <c r="T2756" s="21"/>
      <c r="AA2756" s="21"/>
    </row>
    <row r="2757" spans="7:27" x14ac:dyDescent="0.2">
      <c r="G2757" s="21"/>
      <c r="H2757" s="21"/>
      <c r="N2757" s="21"/>
      <c r="O2757" s="21"/>
      <c r="T2757" s="21"/>
      <c r="AA2757" s="21"/>
    </row>
    <row r="2758" spans="7:27" x14ac:dyDescent="0.2">
      <c r="G2758" s="21"/>
      <c r="H2758" s="21"/>
      <c r="N2758" s="21"/>
      <c r="O2758" s="21"/>
      <c r="T2758" s="21"/>
      <c r="AA2758" s="21"/>
    </row>
    <row r="2759" spans="7:27" x14ac:dyDescent="0.2">
      <c r="G2759" s="21"/>
      <c r="H2759" s="21"/>
      <c r="N2759" s="21"/>
      <c r="O2759" s="21"/>
      <c r="T2759" s="21"/>
      <c r="AA2759" s="21"/>
    </row>
    <row r="2760" spans="7:27" x14ac:dyDescent="0.2">
      <c r="G2760" s="21"/>
      <c r="H2760" s="21"/>
      <c r="N2760" s="21"/>
      <c r="O2760" s="21"/>
      <c r="T2760" s="21"/>
      <c r="AA2760" s="21"/>
    </row>
    <row r="2761" spans="7:27" x14ac:dyDescent="0.2">
      <c r="G2761" s="21"/>
      <c r="H2761" s="21"/>
      <c r="N2761" s="21"/>
      <c r="O2761" s="21"/>
      <c r="T2761" s="21"/>
      <c r="AA2761" s="21"/>
    </row>
    <row r="2762" spans="7:27" x14ac:dyDescent="0.2">
      <c r="G2762" s="21"/>
      <c r="H2762" s="21"/>
      <c r="N2762" s="21"/>
      <c r="O2762" s="21"/>
      <c r="T2762" s="21"/>
      <c r="AA2762" s="21"/>
    </row>
    <row r="2763" spans="7:27" x14ac:dyDescent="0.2">
      <c r="G2763" s="21"/>
      <c r="H2763" s="21"/>
      <c r="N2763" s="21"/>
      <c r="O2763" s="21"/>
      <c r="T2763" s="21"/>
      <c r="AA2763" s="21"/>
    </row>
    <row r="2764" spans="7:27" x14ac:dyDescent="0.2">
      <c r="G2764" s="21"/>
      <c r="H2764" s="21"/>
      <c r="N2764" s="21"/>
      <c r="O2764" s="21"/>
      <c r="T2764" s="21"/>
      <c r="AA2764" s="21"/>
    </row>
    <row r="2765" spans="7:27" x14ac:dyDescent="0.2">
      <c r="G2765" s="21"/>
      <c r="H2765" s="21"/>
      <c r="N2765" s="21"/>
      <c r="O2765" s="21"/>
      <c r="T2765" s="21"/>
      <c r="AA2765" s="21"/>
    </row>
    <row r="2766" spans="7:27" x14ac:dyDescent="0.2">
      <c r="G2766" s="21"/>
      <c r="H2766" s="21"/>
      <c r="N2766" s="21"/>
      <c r="O2766" s="21"/>
      <c r="T2766" s="21"/>
      <c r="AA2766" s="21"/>
    </row>
    <row r="2767" spans="7:27" x14ac:dyDescent="0.2">
      <c r="G2767" s="21"/>
      <c r="H2767" s="21"/>
      <c r="N2767" s="21"/>
      <c r="O2767" s="21"/>
      <c r="T2767" s="21"/>
      <c r="AA2767" s="21"/>
    </row>
    <row r="2768" spans="7:27" x14ac:dyDescent="0.2">
      <c r="G2768" s="21"/>
      <c r="H2768" s="21"/>
      <c r="N2768" s="21"/>
      <c r="O2768" s="21"/>
      <c r="T2768" s="21"/>
      <c r="AA2768" s="21"/>
    </row>
    <row r="2769" spans="7:27" x14ac:dyDescent="0.2">
      <c r="G2769" s="21"/>
      <c r="H2769" s="21"/>
      <c r="N2769" s="21"/>
      <c r="O2769" s="21"/>
      <c r="T2769" s="21"/>
      <c r="AA2769" s="21"/>
    </row>
    <row r="2770" spans="7:27" x14ac:dyDescent="0.2">
      <c r="G2770" s="21"/>
      <c r="H2770" s="21"/>
      <c r="N2770" s="21"/>
      <c r="O2770" s="21"/>
      <c r="T2770" s="21"/>
      <c r="AA2770" s="21"/>
    </row>
    <row r="2771" spans="7:27" x14ac:dyDescent="0.2">
      <c r="G2771" s="21"/>
      <c r="H2771" s="21"/>
      <c r="N2771" s="21"/>
      <c r="O2771" s="21"/>
      <c r="T2771" s="21"/>
      <c r="AA2771" s="21"/>
    </row>
    <row r="2772" spans="7:27" x14ac:dyDescent="0.2">
      <c r="G2772" s="21"/>
      <c r="H2772" s="21"/>
      <c r="N2772" s="21"/>
      <c r="O2772" s="21"/>
      <c r="T2772" s="21"/>
      <c r="AA2772" s="21"/>
    </row>
    <row r="2773" spans="7:27" x14ac:dyDescent="0.2">
      <c r="G2773" s="21"/>
      <c r="H2773" s="21"/>
      <c r="N2773" s="21"/>
      <c r="O2773" s="21"/>
      <c r="T2773" s="21"/>
      <c r="AA2773" s="21"/>
    </row>
    <row r="2774" spans="7:27" x14ac:dyDescent="0.2">
      <c r="G2774" s="21"/>
      <c r="H2774" s="21"/>
      <c r="N2774" s="21"/>
      <c r="O2774" s="21"/>
      <c r="T2774" s="21"/>
      <c r="AA2774" s="21"/>
    </row>
    <row r="2775" spans="7:27" x14ac:dyDescent="0.2">
      <c r="G2775" s="21"/>
      <c r="H2775" s="21"/>
      <c r="N2775" s="21"/>
      <c r="O2775" s="21"/>
      <c r="T2775" s="21"/>
      <c r="AA2775" s="21"/>
    </row>
    <row r="2776" spans="7:27" x14ac:dyDescent="0.2">
      <c r="G2776" s="21"/>
      <c r="H2776" s="21"/>
      <c r="N2776" s="21"/>
      <c r="O2776" s="21"/>
      <c r="T2776" s="21"/>
      <c r="AA2776" s="21"/>
    </row>
    <row r="2777" spans="7:27" x14ac:dyDescent="0.2">
      <c r="G2777" s="21"/>
      <c r="H2777" s="21"/>
      <c r="N2777" s="21"/>
      <c r="O2777" s="21"/>
      <c r="T2777" s="21"/>
      <c r="AA2777" s="21"/>
    </row>
    <row r="2778" spans="7:27" x14ac:dyDescent="0.2">
      <c r="G2778" s="21"/>
      <c r="H2778" s="21"/>
      <c r="N2778" s="21"/>
      <c r="O2778" s="21"/>
      <c r="T2778" s="21"/>
      <c r="AA2778" s="21"/>
    </row>
    <row r="2779" spans="7:27" x14ac:dyDescent="0.2">
      <c r="G2779" s="21"/>
      <c r="H2779" s="21"/>
      <c r="N2779" s="21"/>
      <c r="O2779" s="21"/>
      <c r="T2779" s="21"/>
      <c r="AA2779" s="21"/>
    </row>
    <row r="2780" spans="7:27" x14ac:dyDescent="0.2">
      <c r="G2780" s="21"/>
      <c r="H2780" s="21"/>
      <c r="N2780" s="21"/>
      <c r="O2780" s="21"/>
      <c r="T2780" s="21"/>
      <c r="AA2780" s="21"/>
    </row>
    <row r="2781" spans="7:27" x14ac:dyDescent="0.2">
      <c r="G2781" s="21"/>
      <c r="H2781" s="21"/>
      <c r="N2781" s="21"/>
      <c r="O2781" s="21"/>
      <c r="T2781" s="21"/>
      <c r="AA2781" s="21"/>
    </row>
    <row r="2782" spans="7:27" x14ac:dyDescent="0.2">
      <c r="G2782" s="21"/>
      <c r="H2782" s="21"/>
      <c r="N2782" s="21"/>
      <c r="O2782" s="21"/>
      <c r="T2782" s="21"/>
      <c r="AA2782" s="21"/>
    </row>
    <row r="2783" spans="7:27" x14ac:dyDescent="0.2">
      <c r="G2783" s="21"/>
      <c r="H2783" s="21"/>
      <c r="N2783" s="21"/>
      <c r="O2783" s="21"/>
      <c r="T2783" s="21"/>
      <c r="AA2783" s="21"/>
    </row>
    <row r="2784" spans="7:27" x14ac:dyDescent="0.2">
      <c r="G2784" s="21"/>
      <c r="H2784" s="21"/>
      <c r="N2784" s="21"/>
      <c r="O2784" s="21"/>
      <c r="T2784" s="21"/>
      <c r="AA2784" s="21"/>
    </row>
    <row r="2785" spans="7:27" x14ac:dyDescent="0.2">
      <c r="G2785" s="21"/>
      <c r="H2785" s="21"/>
      <c r="N2785" s="21"/>
      <c r="O2785" s="21"/>
      <c r="T2785" s="21"/>
      <c r="AA2785" s="21"/>
    </row>
    <row r="2786" spans="7:27" x14ac:dyDescent="0.2">
      <c r="G2786" s="21"/>
      <c r="H2786" s="21"/>
      <c r="N2786" s="21"/>
      <c r="O2786" s="21"/>
      <c r="T2786" s="21"/>
      <c r="AA2786" s="21"/>
    </row>
    <row r="2787" spans="7:27" x14ac:dyDescent="0.2">
      <c r="G2787" s="21"/>
      <c r="H2787" s="21"/>
      <c r="N2787" s="21"/>
      <c r="O2787" s="21"/>
      <c r="T2787" s="21"/>
      <c r="AA2787" s="21"/>
    </row>
    <row r="2788" spans="7:27" x14ac:dyDescent="0.2">
      <c r="G2788" s="21"/>
      <c r="H2788" s="21"/>
      <c r="N2788" s="21"/>
      <c r="O2788" s="21"/>
      <c r="T2788" s="21"/>
      <c r="AA2788" s="21"/>
    </row>
    <row r="2789" spans="7:27" x14ac:dyDescent="0.2">
      <c r="G2789" s="21"/>
      <c r="H2789" s="21"/>
      <c r="N2789" s="21"/>
      <c r="O2789" s="21"/>
      <c r="T2789" s="21"/>
      <c r="AA2789" s="21"/>
    </row>
    <row r="2790" spans="7:27" x14ac:dyDescent="0.2">
      <c r="G2790" s="21"/>
      <c r="H2790" s="21"/>
      <c r="N2790" s="21"/>
      <c r="O2790" s="21"/>
      <c r="T2790" s="21"/>
      <c r="AA2790" s="21"/>
    </row>
    <row r="2791" spans="7:27" x14ac:dyDescent="0.2">
      <c r="G2791" s="21"/>
      <c r="H2791" s="21"/>
      <c r="N2791" s="21"/>
      <c r="O2791" s="21"/>
      <c r="T2791" s="21"/>
      <c r="AA2791" s="21"/>
    </row>
    <row r="2792" spans="7:27" x14ac:dyDescent="0.2">
      <c r="G2792" s="21"/>
      <c r="H2792" s="21"/>
      <c r="N2792" s="21"/>
      <c r="O2792" s="21"/>
      <c r="T2792" s="21"/>
      <c r="AA2792" s="21"/>
    </row>
    <row r="2793" spans="7:27" x14ac:dyDescent="0.2">
      <c r="G2793" s="21"/>
      <c r="H2793" s="21"/>
      <c r="N2793" s="21"/>
      <c r="O2793" s="21"/>
      <c r="T2793" s="21"/>
      <c r="AA2793" s="21"/>
    </row>
    <row r="2794" spans="7:27" x14ac:dyDescent="0.2">
      <c r="G2794" s="21"/>
      <c r="H2794" s="21"/>
      <c r="N2794" s="21"/>
      <c r="O2794" s="21"/>
      <c r="T2794" s="21"/>
      <c r="AA2794" s="21"/>
    </row>
    <row r="2795" spans="7:27" x14ac:dyDescent="0.2">
      <c r="G2795" s="21"/>
      <c r="H2795" s="21"/>
      <c r="N2795" s="21"/>
      <c r="O2795" s="21"/>
      <c r="T2795" s="21"/>
      <c r="AA2795" s="21"/>
    </row>
    <row r="2796" spans="7:27" x14ac:dyDescent="0.2">
      <c r="G2796" s="21"/>
      <c r="H2796" s="21"/>
      <c r="N2796" s="21"/>
      <c r="O2796" s="21"/>
      <c r="T2796" s="21"/>
      <c r="AA2796" s="21"/>
    </row>
    <row r="2797" spans="7:27" x14ac:dyDescent="0.2">
      <c r="G2797" s="21"/>
      <c r="H2797" s="21"/>
      <c r="N2797" s="21"/>
      <c r="O2797" s="21"/>
      <c r="T2797" s="21"/>
      <c r="AA2797" s="21"/>
    </row>
    <row r="2798" spans="7:27" x14ac:dyDescent="0.2">
      <c r="G2798" s="21"/>
      <c r="H2798" s="21"/>
      <c r="N2798" s="21"/>
      <c r="O2798" s="21"/>
      <c r="T2798" s="21"/>
      <c r="AA2798" s="21"/>
    </row>
    <row r="2799" spans="7:27" x14ac:dyDescent="0.2">
      <c r="G2799" s="21"/>
      <c r="H2799" s="21"/>
      <c r="N2799" s="21"/>
      <c r="O2799" s="21"/>
      <c r="T2799" s="21"/>
      <c r="AA2799" s="21"/>
    </row>
    <row r="2800" spans="7:27" x14ac:dyDescent="0.2">
      <c r="G2800" s="21"/>
      <c r="H2800" s="21"/>
      <c r="N2800" s="21"/>
      <c r="O2800" s="21"/>
      <c r="T2800" s="21"/>
      <c r="AA2800" s="21"/>
    </row>
    <row r="2801" spans="7:27" x14ac:dyDescent="0.2">
      <c r="G2801" s="21"/>
      <c r="H2801" s="21"/>
      <c r="N2801" s="21"/>
      <c r="O2801" s="21"/>
      <c r="T2801" s="21"/>
      <c r="AA2801" s="21"/>
    </row>
    <row r="2802" spans="7:27" x14ac:dyDescent="0.2">
      <c r="G2802" s="21"/>
      <c r="H2802" s="21"/>
      <c r="N2802" s="21"/>
      <c r="O2802" s="21"/>
      <c r="T2802" s="21"/>
      <c r="AA2802" s="21"/>
    </row>
    <row r="2803" spans="7:27" x14ac:dyDescent="0.2">
      <c r="G2803" s="21"/>
      <c r="H2803" s="21"/>
      <c r="N2803" s="21"/>
      <c r="O2803" s="21"/>
      <c r="T2803" s="21"/>
      <c r="AA2803" s="21"/>
    </row>
    <row r="2804" spans="7:27" x14ac:dyDescent="0.2">
      <c r="G2804" s="21"/>
      <c r="H2804" s="21"/>
      <c r="N2804" s="21"/>
      <c r="O2804" s="21"/>
      <c r="T2804" s="21"/>
      <c r="AA2804" s="21"/>
    </row>
    <row r="2805" spans="7:27" x14ac:dyDescent="0.2">
      <c r="G2805" s="21"/>
      <c r="H2805" s="21"/>
      <c r="N2805" s="21"/>
      <c r="O2805" s="21"/>
      <c r="T2805" s="21"/>
      <c r="AA2805" s="21"/>
    </row>
    <row r="2806" spans="7:27" x14ac:dyDescent="0.2">
      <c r="G2806" s="21"/>
      <c r="H2806" s="21"/>
      <c r="N2806" s="21"/>
      <c r="O2806" s="21"/>
      <c r="T2806" s="21"/>
      <c r="AA2806" s="21"/>
    </row>
    <row r="2807" spans="7:27" x14ac:dyDescent="0.2">
      <c r="G2807" s="21"/>
      <c r="H2807" s="21"/>
      <c r="N2807" s="21"/>
      <c r="O2807" s="21"/>
      <c r="T2807" s="21"/>
      <c r="AA2807" s="21"/>
    </row>
    <row r="2808" spans="7:27" x14ac:dyDescent="0.2">
      <c r="G2808" s="21"/>
      <c r="H2808" s="21"/>
      <c r="N2808" s="21"/>
      <c r="O2808" s="21"/>
      <c r="T2808" s="21"/>
      <c r="AA2808" s="21"/>
    </row>
    <row r="2809" spans="7:27" x14ac:dyDescent="0.2">
      <c r="G2809" s="21"/>
      <c r="H2809" s="21"/>
      <c r="N2809" s="21"/>
      <c r="O2809" s="21"/>
      <c r="T2809" s="21"/>
      <c r="AA2809" s="21"/>
    </row>
    <row r="2810" spans="7:27" x14ac:dyDescent="0.2">
      <c r="G2810" s="21"/>
      <c r="H2810" s="21"/>
      <c r="N2810" s="21"/>
      <c r="O2810" s="21"/>
      <c r="T2810" s="21"/>
      <c r="AA2810" s="21"/>
    </row>
    <row r="2811" spans="7:27" x14ac:dyDescent="0.2">
      <c r="G2811" s="21"/>
      <c r="H2811" s="21"/>
      <c r="N2811" s="21"/>
      <c r="O2811" s="21"/>
      <c r="T2811" s="21"/>
      <c r="AA2811" s="21"/>
    </row>
    <row r="2812" spans="7:27" x14ac:dyDescent="0.2">
      <c r="G2812" s="21"/>
      <c r="H2812" s="21"/>
      <c r="N2812" s="21"/>
      <c r="O2812" s="21"/>
      <c r="T2812" s="21"/>
      <c r="AA2812" s="21"/>
    </row>
    <row r="2813" spans="7:27" x14ac:dyDescent="0.2">
      <c r="G2813" s="21"/>
      <c r="H2813" s="21"/>
      <c r="N2813" s="21"/>
      <c r="O2813" s="21"/>
      <c r="T2813" s="21"/>
      <c r="AA2813" s="21"/>
    </row>
    <row r="2814" spans="7:27" x14ac:dyDescent="0.2">
      <c r="G2814" s="21"/>
      <c r="H2814" s="21"/>
      <c r="N2814" s="21"/>
      <c r="O2814" s="21"/>
      <c r="T2814" s="21"/>
      <c r="AA2814" s="21"/>
    </row>
    <row r="2815" spans="7:27" x14ac:dyDescent="0.2">
      <c r="G2815" s="21"/>
      <c r="H2815" s="21"/>
      <c r="N2815" s="21"/>
      <c r="O2815" s="21"/>
      <c r="T2815" s="21"/>
      <c r="AA2815" s="21"/>
    </row>
    <row r="2816" spans="7:27" x14ac:dyDescent="0.2">
      <c r="G2816" s="21"/>
      <c r="H2816" s="21"/>
      <c r="N2816" s="21"/>
      <c r="O2816" s="21"/>
      <c r="T2816" s="21"/>
      <c r="AA2816" s="21"/>
    </row>
    <row r="2817" spans="7:27" x14ac:dyDescent="0.2">
      <c r="G2817" s="21"/>
      <c r="H2817" s="21"/>
      <c r="N2817" s="21"/>
      <c r="O2817" s="21"/>
      <c r="T2817" s="21"/>
      <c r="AA2817" s="21"/>
    </row>
    <row r="2818" spans="7:27" x14ac:dyDescent="0.2">
      <c r="G2818" s="21"/>
      <c r="H2818" s="21"/>
      <c r="N2818" s="21"/>
      <c r="O2818" s="21"/>
      <c r="T2818" s="21"/>
      <c r="AA2818" s="21"/>
    </row>
    <row r="2819" spans="7:27" x14ac:dyDescent="0.2">
      <c r="G2819" s="21"/>
      <c r="H2819" s="21"/>
      <c r="N2819" s="21"/>
      <c r="O2819" s="21"/>
      <c r="T2819" s="21"/>
      <c r="AA2819" s="21"/>
    </row>
    <row r="2820" spans="7:27" x14ac:dyDescent="0.2">
      <c r="G2820" s="21"/>
      <c r="H2820" s="21"/>
      <c r="N2820" s="21"/>
      <c r="O2820" s="21"/>
      <c r="T2820" s="21"/>
      <c r="AA2820" s="21"/>
    </row>
    <row r="2821" spans="7:27" x14ac:dyDescent="0.2">
      <c r="G2821" s="21"/>
      <c r="H2821" s="21"/>
      <c r="N2821" s="21"/>
      <c r="O2821" s="21"/>
      <c r="T2821" s="21"/>
      <c r="AA2821" s="21"/>
    </row>
    <row r="2822" spans="7:27" x14ac:dyDescent="0.2">
      <c r="G2822" s="21"/>
      <c r="H2822" s="21"/>
      <c r="N2822" s="21"/>
      <c r="O2822" s="21"/>
      <c r="T2822" s="21"/>
      <c r="AA2822" s="21"/>
    </row>
    <row r="2823" spans="7:27" x14ac:dyDescent="0.2">
      <c r="G2823" s="21"/>
      <c r="H2823" s="21"/>
      <c r="N2823" s="21"/>
      <c r="O2823" s="21"/>
      <c r="T2823" s="21"/>
      <c r="AA2823" s="21"/>
    </row>
    <row r="2824" spans="7:27" x14ac:dyDescent="0.2">
      <c r="G2824" s="21"/>
      <c r="H2824" s="21"/>
      <c r="N2824" s="21"/>
      <c r="O2824" s="21"/>
      <c r="T2824" s="21"/>
      <c r="AA2824" s="21"/>
    </row>
    <row r="2825" spans="7:27" x14ac:dyDescent="0.2">
      <c r="G2825" s="21"/>
      <c r="H2825" s="21"/>
      <c r="N2825" s="21"/>
      <c r="O2825" s="21"/>
      <c r="T2825" s="21"/>
      <c r="AA2825" s="21"/>
    </row>
    <row r="2826" spans="7:27" x14ac:dyDescent="0.2">
      <c r="G2826" s="21"/>
      <c r="H2826" s="21"/>
      <c r="N2826" s="21"/>
      <c r="O2826" s="21"/>
      <c r="T2826" s="21"/>
      <c r="AA2826" s="21"/>
    </row>
    <row r="2827" spans="7:27" x14ac:dyDescent="0.2">
      <c r="G2827" s="21"/>
      <c r="H2827" s="21"/>
      <c r="N2827" s="21"/>
      <c r="O2827" s="21"/>
      <c r="T2827" s="21"/>
      <c r="AA2827" s="21"/>
    </row>
    <row r="2828" spans="7:27" x14ac:dyDescent="0.2">
      <c r="G2828" s="21"/>
      <c r="H2828" s="21"/>
      <c r="N2828" s="21"/>
      <c r="O2828" s="21"/>
      <c r="T2828" s="21"/>
      <c r="AA2828" s="21"/>
    </row>
    <row r="2829" spans="7:27" x14ac:dyDescent="0.2">
      <c r="G2829" s="21"/>
      <c r="H2829" s="21"/>
      <c r="N2829" s="21"/>
      <c r="O2829" s="21"/>
      <c r="T2829" s="21"/>
      <c r="AA2829" s="21"/>
    </row>
    <row r="2830" spans="7:27" x14ac:dyDescent="0.2">
      <c r="G2830" s="21"/>
      <c r="H2830" s="21"/>
      <c r="N2830" s="21"/>
      <c r="O2830" s="21"/>
      <c r="T2830" s="21"/>
      <c r="AA2830" s="21"/>
    </row>
    <row r="2831" spans="7:27" x14ac:dyDescent="0.2">
      <c r="G2831" s="21"/>
      <c r="H2831" s="21"/>
      <c r="N2831" s="21"/>
      <c r="O2831" s="21"/>
      <c r="T2831" s="21"/>
      <c r="AA2831" s="21"/>
    </row>
    <row r="2832" spans="7:27" x14ac:dyDescent="0.2">
      <c r="G2832" s="21"/>
      <c r="H2832" s="21"/>
      <c r="N2832" s="21"/>
      <c r="O2832" s="21"/>
      <c r="T2832" s="21"/>
      <c r="AA2832" s="21"/>
    </row>
    <row r="2833" spans="7:27" x14ac:dyDescent="0.2">
      <c r="G2833" s="21"/>
      <c r="H2833" s="21"/>
      <c r="N2833" s="21"/>
      <c r="O2833" s="21"/>
      <c r="T2833" s="21"/>
      <c r="AA2833" s="21"/>
    </row>
    <row r="2834" spans="7:27" x14ac:dyDescent="0.2">
      <c r="G2834" s="21"/>
      <c r="H2834" s="21"/>
      <c r="N2834" s="21"/>
      <c r="O2834" s="21"/>
      <c r="T2834" s="21"/>
      <c r="AA2834" s="21"/>
    </row>
    <row r="2835" spans="7:27" x14ac:dyDescent="0.2">
      <c r="G2835" s="21"/>
      <c r="H2835" s="21"/>
      <c r="N2835" s="21"/>
      <c r="O2835" s="21"/>
      <c r="T2835" s="21"/>
      <c r="AA2835" s="21"/>
    </row>
    <row r="2836" spans="7:27" x14ac:dyDescent="0.2">
      <c r="G2836" s="21"/>
      <c r="H2836" s="21"/>
      <c r="N2836" s="21"/>
      <c r="O2836" s="21"/>
      <c r="T2836" s="21"/>
      <c r="AA2836" s="21"/>
    </row>
    <row r="2837" spans="7:27" x14ac:dyDescent="0.2">
      <c r="G2837" s="21"/>
      <c r="H2837" s="21"/>
      <c r="N2837" s="21"/>
      <c r="O2837" s="21"/>
      <c r="T2837" s="21"/>
      <c r="AA2837" s="21"/>
    </row>
    <row r="2838" spans="7:27" x14ac:dyDescent="0.2">
      <c r="G2838" s="21"/>
      <c r="H2838" s="21"/>
      <c r="N2838" s="21"/>
      <c r="O2838" s="21"/>
      <c r="T2838" s="21"/>
      <c r="AA2838" s="21"/>
    </row>
    <row r="2839" spans="7:27" x14ac:dyDescent="0.2">
      <c r="G2839" s="21"/>
      <c r="H2839" s="21"/>
      <c r="N2839" s="21"/>
      <c r="O2839" s="21"/>
      <c r="T2839" s="21"/>
      <c r="AA2839" s="21"/>
    </row>
    <row r="2840" spans="7:27" x14ac:dyDescent="0.2">
      <c r="G2840" s="21"/>
      <c r="H2840" s="21"/>
      <c r="N2840" s="21"/>
      <c r="O2840" s="21"/>
      <c r="T2840" s="21"/>
      <c r="AA2840" s="21"/>
    </row>
    <row r="2841" spans="7:27" x14ac:dyDescent="0.2">
      <c r="G2841" s="21"/>
      <c r="H2841" s="21"/>
      <c r="N2841" s="21"/>
      <c r="O2841" s="21"/>
      <c r="T2841" s="21"/>
      <c r="AA2841" s="21"/>
    </row>
    <row r="2842" spans="7:27" x14ac:dyDescent="0.2">
      <c r="G2842" s="21"/>
      <c r="H2842" s="21"/>
      <c r="N2842" s="21"/>
      <c r="O2842" s="21"/>
      <c r="T2842" s="21"/>
      <c r="AA2842" s="21"/>
    </row>
    <row r="2843" spans="7:27" x14ac:dyDescent="0.2">
      <c r="G2843" s="21"/>
      <c r="H2843" s="21"/>
      <c r="N2843" s="21"/>
      <c r="O2843" s="21"/>
      <c r="T2843" s="21"/>
      <c r="AA2843" s="21"/>
    </row>
    <row r="2844" spans="7:27" x14ac:dyDescent="0.2">
      <c r="G2844" s="21"/>
      <c r="H2844" s="21"/>
      <c r="N2844" s="21"/>
      <c r="O2844" s="21"/>
      <c r="T2844" s="21"/>
      <c r="AA2844" s="21"/>
    </row>
    <row r="2845" spans="7:27" x14ac:dyDescent="0.2">
      <c r="G2845" s="21"/>
      <c r="H2845" s="21"/>
      <c r="N2845" s="21"/>
      <c r="O2845" s="21"/>
      <c r="T2845" s="21"/>
      <c r="AA2845" s="21"/>
    </row>
    <row r="2846" spans="7:27" x14ac:dyDescent="0.2">
      <c r="G2846" s="21"/>
      <c r="H2846" s="21"/>
      <c r="N2846" s="21"/>
      <c r="O2846" s="21"/>
      <c r="T2846" s="21"/>
      <c r="AA2846" s="21"/>
    </row>
    <row r="2847" spans="7:27" x14ac:dyDescent="0.2">
      <c r="G2847" s="21"/>
      <c r="H2847" s="21"/>
      <c r="N2847" s="21"/>
      <c r="O2847" s="21"/>
      <c r="T2847" s="21"/>
      <c r="AA2847" s="21"/>
    </row>
    <row r="2848" spans="7:27" x14ac:dyDescent="0.2">
      <c r="G2848" s="21"/>
      <c r="H2848" s="21"/>
      <c r="N2848" s="21"/>
      <c r="O2848" s="21"/>
      <c r="T2848" s="21"/>
      <c r="AA2848" s="21"/>
    </row>
    <row r="2849" spans="7:27" x14ac:dyDescent="0.2">
      <c r="G2849" s="21"/>
      <c r="H2849" s="21"/>
      <c r="N2849" s="21"/>
      <c r="O2849" s="21"/>
      <c r="T2849" s="21"/>
      <c r="AA2849" s="21"/>
    </row>
    <row r="2850" spans="7:27" x14ac:dyDescent="0.2">
      <c r="G2850" s="21"/>
      <c r="H2850" s="21"/>
      <c r="N2850" s="21"/>
      <c r="O2850" s="21"/>
      <c r="T2850" s="21"/>
      <c r="AA2850" s="21"/>
    </row>
    <row r="2851" spans="7:27" x14ac:dyDescent="0.2">
      <c r="G2851" s="21"/>
      <c r="H2851" s="21"/>
      <c r="N2851" s="21"/>
      <c r="O2851" s="21"/>
      <c r="T2851" s="21"/>
      <c r="AA2851" s="21"/>
    </row>
    <row r="2852" spans="7:27" x14ac:dyDescent="0.2">
      <c r="G2852" s="21"/>
      <c r="H2852" s="21"/>
      <c r="N2852" s="21"/>
      <c r="O2852" s="21"/>
      <c r="T2852" s="21"/>
      <c r="AA2852" s="21"/>
    </row>
    <row r="2853" spans="7:27" x14ac:dyDescent="0.2">
      <c r="G2853" s="21"/>
      <c r="H2853" s="21"/>
      <c r="N2853" s="21"/>
      <c r="O2853" s="21"/>
      <c r="T2853" s="21"/>
      <c r="AA2853" s="21"/>
    </row>
    <row r="2854" spans="7:27" x14ac:dyDescent="0.2">
      <c r="G2854" s="21"/>
      <c r="H2854" s="21"/>
      <c r="N2854" s="21"/>
      <c r="O2854" s="21"/>
      <c r="T2854" s="21"/>
      <c r="AA2854" s="21"/>
    </row>
    <row r="2855" spans="7:27" x14ac:dyDescent="0.2">
      <c r="G2855" s="21"/>
      <c r="H2855" s="21"/>
      <c r="N2855" s="21"/>
      <c r="O2855" s="21"/>
      <c r="T2855" s="21"/>
      <c r="AA2855" s="21"/>
    </row>
    <row r="2856" spans="7:27" x14ac:dyDescent="0.2">
      <c r="G2856" s="21"/>
      <c r="H2856" s="21"/>
      <c r="N2856" s="21"/>
      <c r="O2856" s="21"/>
      <c r="T2856" s="21"/>
      <c r="AA2856" s="21"/>
    </row>
    <row r="2857" spans="7:27" x14ac:dyDescent="0.2">
      <c r="G2857" s="21"/>
      <c r="H2857" s="21"/>
      <c r="N2857" s="21"/>
      <c r="O2857" s="21"/>
      <c r="T2857" s="21"/>
      <c r="AA2857" s="21"/>
    </row>
    <row r="2858" spans="7:27" x14ac:dyDescent="0.2">
      <c r="G2858" s="21"/>
      <c r="H2858" s="21"/>
      <c r="N2858" s="21"/>
      <c r="O2858" s="21"/>
      <c r="T2858" s="21"/>
      <c r="AA2858" s="21"/>
    </row>
    <row r="2859" spans="7:27" x14ac:dyDescent="0.2">
      <c r="G2859" s="21"/>
      <c r="H2859" s="21"/>
      <c r="N2859" s="21"/>
      <c r="O2859" s="21"/>
      <c r="T2859" s="21"/>
      <c r="AA2859" s="21"/>
    </row>
    <row r="2860" spans="7:27" x14ac:dyDescent="0.2">
      <c r="G2860" s="21"/>
      <c r="H2860" s="21"/>
      <c r="N2860" s="21"/>
      <c r="O2860" s="21"/>
      <c r="T2860" s="21"/>
      <c r="AA2860" s="21"/>
    </row>
    <row r="2861" spans="7:27" x14ac:dyDescent="0.2">
      <c r="G2861" s="21"/>
      <c r="H2861" s="21"/>
      <c r="N2861" s="21"/>
      <c r="O2861" s="21"/>
      <c r="T2861" s="21"/>
      <c r="AA2861" s="21"/>
    </row>
    <row r="2862" spans="7:27" x14ac:dyDescent="0.2">
      <c r="G2862" s="21"/>
      <c r="H2862" s="21"/>
      <c r="N2862" s="21"/>
      <c r="O2862" s="21"/>
      <c r="T2862" s="21"/>
      <c r="AA2862" s="21"/>
    </row>
    <row r="2863" spans="7:27" x14ac:dyDescent="0.2">
      <c r="G2863" s="21"/>
      <c r="H2863" s="21"/>
      <c r="N2863" s="21"/>
      <c r="O2863" s="21"/>
      <c r="T2863" s="21"/>
      <c r="AA2863" s="21"/>
    </row>
    <row r="2864" spans="7:27" x14ac:dyDescent="0.2">
      <c r="G2864" s="21"/>
      <c r="H2864" s="21"/>
      <c r="N2864" s="21"/>
      <c r="O2864" s="21"/>
      <c r="T2864" s="21"/>
      <c r="AA2864" s="21"/>
    </row>
    <row r="2865" spans="7:27" x14ac:dyDescent="0.2">
      <c r="G2865" s="21"/>
      <c r="H2865" s="21"/>
      <c r="N2865" s="21"/>
      <c r="O2865" s="21"/>
      <c r="T2865" s="21"/>
      <c r="AA2865" s="21"/>
    </row>
    <row r="2866" spans="7:27" x14ac:dyDescent="0.2">
      <c r="G2866" s="21"/>
      <c r="H2866" s="21"/>
      <c r="N2866" s="21"/>
      <c r="O2866" s="21"/>
      <c r="T2866" s="21"/>
      <c r="AA2866" s="21"/>
    </row>
    <row r="2867" spans="7:27" x14ac:dyDescent="0.2">
      <c r="G2867" s="21"/>
      <c r="H2867" s="21"/>
      <c r="N2867" s="21"/>
      <c r="O2867" s="21"/>
      <c r="T2867" s="21"/>
      <c r="AA2867" s="21"/>
    </row>
    <row r="2868" spans="7:27" x14ac:dyDescent="0.2">
      <c r="G2868" s="21"/>
      <c r="H2868" s="21"/>
      <c r="N2868" s="21"/>
      <c r="O2868" s="21"/>
      <c r="T2868" s="21"/>
      <c r="AA2868" s="21"/>
    </row>
    <row r="2869" spans="7:27" x14ac:dyDescent="0.2">
      <c r="G2869" s="21"/>
      <c r="H2869" s="21"/>
      <c r="N2869" s="21"/>
      <c r="O2869" s="21"/>
      <c r="T2869" s="21"/>
      <c r="AA2869" s="21"/>
    </row>
    <row r="2870" spans="7:27" x14ac:dyDescent="0.2">
      <c r="G2870" s="21"/>
      <c r="H2870" s="21"/>
      <c r="N2870" s="21"/>
      <c r="O2870" s="21"/>
      <c r="T2870" s="21"/>
      <c r="AA2870" s="21"/>
    </row>
    <row r="2871" spans="7:27" x14ac:dyDescent="0.2">
      <c r="G2871" s="21"/>
      <c r="H2871" s="21"/>
      <c r="N2871" s="21"/>
      <c r="O2871" s="21"/>
      <c r="T2871" s="21"/>
      <c r="AA2871" s="21"/>
    </row>
    <row r="2872" spans="7:27" x14ac:dyDescent="0.2">
      <c r="G2872" s="21"/>
      <c r="H2872" s="21"/>
      <c r="N2872" s="21"/>
      <c r="O2872" s="21"/>
      <c r="T2872" s="21"/>
      <c r="AA2872" s="21"/>
    </row>
    <row r="2873" spans="7:27" x14ac:dyDescent="0.2">
      <c r="G2873" s="21"/>
      <c r="H2873" s="21"/>
      <c r="N2873" s="21"/>
      <c r="O2873" s="21"/>
      <c r="T2873" s="21"/>
      <c r="AA2873" s="21"/>
    </row>
    <row r="2874" spans="7:27" x14ac:dyDescent="0.2">
      <c r="G2874" s="21"/>
      <c r="H2874" s="21"/>
      <c r="N2874" s="21"/>
      <c r="O2874" s="21"/>
      <c r="T2874" s="21"/>
      <c r="AA2874" s="21"/>
    </row>
    <row r="2875" spans="7:27" x14ac:dyDescent="0.2">
      <c r="G2875" s="21"/>
      <c r="H2875" s="21"/>
      <c r="N2875" s="21"/>
      <c r="O2875" s="21"/>
      <c r="T2875" s="21"/>
      <c r="AA2875" s="21"/>
    </row>
    <row r="2876" spans="7:27" x14ac:dyDescent="0.2">
      <c r="G2876" s="21"/>
      <c r="H2876" s="21"/>
      <c r="N2876" s="21"/>
      <c r="O2876" s="21"/>
      <c r="T2876" s="21"/>
      <c r="AA2876" s="21"/>
    </row>
    <row r="2877" spans="7:27" x14ac:dyDescent="0.2">
      <c r="G2877" s="21"/>
      <c r="H2877" s="21"/>
      <c r="N2877" s="21"/>
      <c r="O2877" s="21"/>
      <c r="T2877" s="21"/>
      <c r="AA2877" s="21"/>
    </row>
    <row r="2878" spans="7:27" x14ac:dyDescent="0.2">
      <c r="G2878" s="21"/>
      <c r="H2878" s="21"/>
      <c r="N2878" s="21"/>
      <c r="O2878" s="21"/>
      <c r="T2878" s="21"/>
      <c r="AA2878" s="21"/>
    </row>
    <row r="2879" spans="7:27" x14ac:dyDescent="0.2">
      <c r="G2879" s="21"/>
      <c r="H2879" s="21"/>
      <c r="N2879" s="21"/>
      <c r="O2879" s="21"/>
      <c r="T2879" s="21"/>
      <c r="AA2879" s="21"/>
    </row>
    <row r="2880" spans="7:27" x14ac:dyDescent="0.2">
      <c r="G2880" s="21"/>
      <c r="H2880" s="21"/>
      <c r="N2880" s="21"/>
      <c r="O2880" s="21"/>
      <c r="T2880" s="21"/>
      <c r="AA2880" s="21"/>
    </row>
    <row r="2881" spans="7:27" x14ac:dyDescent="0.2">
      <c r="G2881" s="21"/>
      <c r="H2881" s="21"/>
      <c r="N2881" s="21"/>
      <c r="O2881" s="21"/>
      <c r="T2881" s="21"/>
      <c r="AA2881" s="21"/>
    </row>
    <row r="2882" spans="7:27" x14ac:dyDescent="0.2">
      <c r="G2882" s="21"/>
      <c r="H2882" s="21"/>
      <c r="N2882" s="21"/>
      <c r="O2882" s="21"/>
      <c r="T2882" s="21"/>
      <c r="AA2882" s="21"/>
    </row>
    <row r="2883" spans="7:27" x14ac:dyDescent="0.2">
      <c r="G2883" s="21"/>
      <c r="H2883" s="21"/>
      <c r="N2883" s="21"/>
      <c r="O2883" s="21"/>
      <c r="T2883" s="21"/>
      <c r="AA2883" s="21"/>
    </row>
    <row r="2884" spans="7:27" x14ac:dyDescent="0.2">
      <c r="G2884" s="21"/>
      <c r="H2884" s="21"/>
      <c r="N2884" s="21"/>
      <c r="O2884" s="21"/>
      <c r="T2884" s="21"/>
      <c r="AA2884" s="21"/>
    </row>
    <row r="2885" spans="7:27" x14ac:dyDescent="0.2">
      <c r="G2885" s="21"/>
      <c r="H2885" s="21"/>
      <c r="N2885" s="21"/>
      <c r="O2885" s="21"/>
      <c r="T2885" s="21"/>
      <c r="AA2885" s="21"/>
    </row>
    <row r="2886" spans="7:27" x14ac:dyDescent="0.2">
      <c r="G2886" s="21"/>
      <c r="H2886" s="21"/>
      <c r="N2886" s="21"/>
      <c r="O2886" s="21"/>
      <c r="T2886" s="21"/>
      <c r="AA2886" s="21"/>
    </row>
    <row r="2887" spans="7:27" x14ac:dyDescent="0.2">
      <c r="G2887" s="21"/>
      <c r="H2887" s="21"/>
      <c r="N2887" s="21"/>
      <c r="O2887" s="21"/>
      <c r="T2887" s="21"/>
      <c r="AA2887" s="21"/>
    </row>
    <row r="2888" spans="7:27" x14ac:dyDescent="0.2">
      <c r="G2888" s="21"/>
      <c r="H2888" s="21"/>
      <c r="N2888" s="21"/>
      <c r="O2888" s="21"/>
      <c r="T2888" s="21"/>
      <c r="AA2888" s="21"/>
    </row>
    <row r="2889" spans="7:27" x14ac:dyDescent="0.2">
      <c r="G2889" s="21"/>
      <c r="H2889" s="21"/>
      <c r="N2889" s="21"/>
      <c r="O2889" s="21"/>
      <c r="T2889" s="21"/>
      <c r="AA2889" s="21"/>
    </row>
    <row r="2890" spans="7:27" x14ac:dyDescent="0.2">
      <c r="G2890" s="21"/>
      <c r="H2890" s="21"/>
      <c r="N2890" s="21"/>
      <c r="O2890" s="21"/>
      <c r="T2890" s="21"/>
      <c r="AA2890" s="21"/>
    </row>
    <row r="2891" spans="7:27" x14ac:dyDescent="0.2">
      <c r="G2891" s="21"/>
      <c r="H2891" s="21"/>
      <c r="N2891" s="21"/>
      <c r="O2891" s="21"/>
      <c r="T2891" s="21"/>
      <c r="AA2891" s="21"/>
    </row>
    <row r="2892" spans="7:27" x14ac:dyDescent="0.2">
      <c r="G2892" s="21"/>
      <c r="H2892" s="21"/>
      <c r="N2892" s="21"/>
      <c r="O2892" s="21"/>
      <c r="T2892" s="21"/>
      <c r="AA2892" s="21"/>
    </row>
    <row r="2893" spans="7:27" x14ac:dyDescent="0.2">
      <c r="G2893" s="21"/>
      <c r="H2893" s="21"/>
      <c r="N2893" s="21"/>
      <c r="O2893" s="21"/>
      <c r="T2893" s="21"/>
      <c r="AA2893" s="21"/>
    </row>
    <row r="2894" spans="7:27" x14ac:dyDescent="0.2">
      <c r="G2894" s="21"/>
      <c r="H2894" s="21"/>
      <c r="N2894" s="21"/>
      <c r="O2894" s="21"/>
      <c r="T2894" s="21"/>
      <c r="AA2894" s="21"/>
    </row>
    <row r="2895" spans="7:27" x14ac:dyDescent="0.2">
      <c r="G2895" s="21"/>
      <c r="H2895" s="21"/>
      <c r="N2895" s="21"/>
      <c r="O2895" s="21"/>
      <c r="T2895" s="21"/>
      <c r="AA2895" s="21"/>
    </row>
    <row r="2896" spans="7:27" x14ac:dyDescent="0.2">
      <c r="G2896" s="21"/>
      <c r="H2896" s="21"/>
      <c r="N2896" s="21"/>
      <c r="O2896" s="21"/>
      <c r="T2896" s="21"/>
      <c r="AA2896" s="21"/>
    </row>
    <row r="2897" spans="7:27" x14ac:dyDescent="0.2">
      <c r="G2897" s="21"/>
      <c r="H2897" s="21"/>
      <c r="N2897" s="21"/>
      <c r="O2897" s="21"/>
      <c r="T2897" s="21"/>
      <c r="AA2897" s="21"/>
    </row>
    <row r="2898" spans="7:27" x14ac:dyDescent="0.2">
      <c r="G2898" s="21"/>
      <c r="H2898" s="21"/>
      <c r="N2898" s="21"/>
      <c r="O2898" s="21"/>
      <c r="T2898" s="21"/>
      <c r="AA2898" s="21"/>
    </row>
    <row r="2899" spans="7:27" x14ac:dyDescent="0.2">
      <c r="G2899" s="21"/>
      <c r="H2899" s="21"/>
      <c r="N2899" s="21"/>
      <c r="O2899" s="21"/>
      <c r="T2899" s="21"/>
      <c r="AA2899" s="21"/>
    </row>
    <row r="2900" spans="7:27" x14ac:dyDescent="0.2">
      <c r="G2900" s="21"/>
      <c r="H2900" s="21"/>
      <c r="N2900" s="21"/>
      <c r="O2900" s="21"/>
      <c r="T2900" s="21"/>
      <c r="AA2900" s="21"/>
    </row>
    <row r="2901" spans="7:27" x14ac:dyDescent="0.2">
      <c r="G2901" s="21"/>
      <c r="H2901" s="21"/>
      <c r="N2901" s="21"/>
      <c r="O2901" s="21"/>
      <c r="T2901" s="21"/>
      <c r="AA2901" s="21"/>
    </row>
    <row r="2902" spans="7:27" x14ac:dyDescent="0.2">
      <c r="G2902" s="21"/>
      <c r="H2902" s="21"/>
      <c r="N2902" s="21"/>
      <c r="O2902" s="21"/>
      <c r="T2902" s="21"/>
      <c r="AA2902" s="21"/>
    </row>
    <row r="2903" spans="7:27" x14ac:dyDescent="0.2">
      <c r="G2903" s="21"/>
      <c r="H2903" s="21"/>
      <c r="N2903" s="21"/>
      <c r="O2903" s="21"/>
      <c r="T2903" s="21"/>
      <c r="AA2903" s="21"/>
    </row>
    <row r="2904" spans="7:27" x14ac:dyDescent="0.2">
      <c r="G2904" s="21"/>
      <c r="H2904" s="21"/>
      <c r="N2904" s="21"/>
      <c r="O2904" s="21"/>
      <c r="T2904" s="21"/>
      <c r="AA2904" s="21"/>
    </row>
    <row r="2905" spans="7:27" x14ac:dyDescent="0.2">
      <c r="G2905" s="21"/>
      <c r="H2905" s="21"/>
      <c r="N2905" s="21"/>
      <c r="O2905" s="21"/>
      <c r="T2905" s="21"/>
      <c r="AA2905" s="21"/>
    </row>
    <row r="2906" spans="7:27" x14ac:dyDescent="0.2">
      <c r="G2906" s="21"/>
      <c r="H2906" s="21"/>
      <c r="N2906" s="21"/>
      <c r="O2906" s="21"/>
      <c r="T2906" s="21"/>
      <c r="AA2906" s="21"/>
    </row>
    <row r="2907" spans="7:27" x14ac:dyDescent="0.2">
      <c r="G2907" s="21"/>
      <c r="H2907" s="21"/>
      <c r="N2907" s="21"/>
      <c r="O2907" s="21"/>
      <c r="T2907" s="21"/>
      <c r="AA2907" s="21"/>
    </row>
    <row r="2908" spans="7:27" x14ac:dyDescent="0.2">
      <c r="G2908" s="21"/>
      <c r="H2908" s="21"/>
      <c r="N2908" s="21"/>
      <c r="O2908" s="21"/>
      <c r="T2908" s="21"/>
      <c r="AA2908" s="21"/>
    </row>
    <row r="2909" spans="7:27" x14ac:dyDescent="0.2">
      <c r="G2909" s="21"/>
      <c r="H2909" s="21"/>
      <c r="N2909" s="21"/>
      <c r="O2909" s="21"/>
      <c r="T2909" s="21"/>
      <c r="AA2909" s="21"/>
    </row>
    <row r="2910" spans="7:27" x14ac:dyDescent="0.2">
      <c r="G2910" s="21"/>
      <c r="H2910" s="21"/>
      <c r="N2910" s="21"/>
      <c r="O2910" s="21"/>
      <c r="T2910" s="21"/>
      <c r="AA2910" s="21"/>
    </row>
    <row r="2911" spans="7:27" x14ac:dyDescent="0.2">
      <c r="G2911" s="21"/>
      <c r="H2911" s="21"/>
      <c r="N2911" s="21"/>
      <c r="O2911" s="21"/>
      <c r="T2911" s="21"/>
      <c r="AA2911" s="21"/>
    </row>
    <row r="2912" spans="7:27" x14ac:dyDescent="0.2">
      <c r="G2912" s="21"/>
      <c r="H2912" s="21"/>
      <c r="N2912" s="21"/>
      <c r="O2912" s="21"/>
      <c r="T2912" s="21"/>
      <c r="AA2912" s="21"/>
    </row>
    <row r="2913" spans="7:27" x14ac:dyDescent="0.2">
      <c r="G2913" s="21"/>
      <c r="H2913" s="21"/>
      <c r="N2913" s="21"/>
      <c r="O2913" s="21"/>
      <c r="T2913" s="21"/>
      <c r="AA2913" s="21"/>
    </row>
    <row r="2914" spans="7:27" x14ac:dyDescent="0.2">
      <c r="G2914" s="21"/>
      <c r="H2914" s="21"/>
      <c r="N2914" s="21"/>
      <c r="O2914" s="21"/>
      <c r="T2914" s="21"/>
      <c r="AA2914" s="21"/>
    </row>
    <row r="2915" spans="7:27" x14ac:dyDescent="0.2">
      <c r="G2915" s="21"/>
      <c r="H2915" s="21"/>
      <c r="N2915" s="21"/>
      <c r="O2915" s="21"/>
      <c r="T2915" s="21"/>
      <c r="AA2915" s="21"/>
    </row>
    <row r="2916" spans="7:27" x14ac:dyDescent="0.2">
      <c r="G2916" s="21"/>
      <c r="H2916" s="21"/>
      <c r="N2916" s="21"/>
      <c r="O2916" s="21"/>
      <c r="T2916" s="21"/>
      <c r="AA2916" s="21"/>
    </row>
    <row r="2917" spans="7:27" x14ac:dyDescent="0.2">
      <c r="G2917" s="21"/>
      <c r="H2917" s="21"/>
      <c r="N2917" s="21"/>
      <c r="O2917" s="21"/>
      <c r="T2917" s="21"/>
      <c r="AA2917" s="21"/>
    </row>
    <row r="2918" spans="7:27" x14ac:dyDescent="0.2">
      <c r="G2918" s="21"/>
      <c r="H2918" s="21"/>
      <c r="N2918" s="21"/>
      <c r="O2918" s="21"/>
      <c r="T2918" s="21"/>
      <c r="AA2918" s="21"/>
    </row>
    <row r="2919" spans="7:27" x14ac:dyDescent="0.2">
      <c r="G2919" s="21"/>
      <c r="H2919" s="21"/>
      <c r="N2919" s="21"/>
      <c r="O2919" s="21"/>
      <c r="T2919" s="21"/>
      <c r="AA2919" s="21"/>
    </row>
    <row r="2920" spans="7:27" x14ac:dyDescent="0.2">
      <c r="G2920" s="21"/>
      <c r="H2920" s="21"/>
      <c r="N2920" s="21"/>
      <c r="O2920" s="21"/>
      <c r="T2920" s="21"/>
      <c r="AA2920" s="21"/>
    </row>
    <row r="2921" spans="7:27" x14ac:dyDescent="0.2">
      <c r="G2921" s="21"/>
      <c r="H2921" s="21"/>
      <c r="N2921" s="21"/>
      <c r="O2921" s="21"/>
      <c r="T2921" s="21"/>
      <c r="AA2921" s="21"/>
    </row>
    <row r="2922" spans="7:27" x14ac:dyDescent="0.2">
      <c r="G2922" s="21"/>
      <c r="H2922" s="21"/>
      <c r="N2922" s="21"/>
      <c r="O2922" s="21"/>
      <c r="T2922" s="21"/>
      <c r="AA2922" s="21"/>
    </row>
    <row r="2923" spans="7:27" x14ac:dyDescent="0.2">
      <c r="G2923" s="21"/>
      <c r="H2923" s="21"/>
      <c r="N2923" s="21"/>
      <c r="O2923" s="21"/>
      <c r="T2923" s="21"/>
      <c r="AA2923" s="21"/>
    </row>
    <row r="2924" spans="7:27" x14ac:dyDescent="0.2">
      <c r="G2924" s="21"/>
      <c r="H2924" s="21"/>
      <c r="N2924" s="21"/>
      <c r="O2924" s="21"/>
      <c r="T2924" s="21"/>
      <c r="AA2924" s="21"/>
    </row>
    <row r="2925" spans="7:27" x14ac:dyDescent="0.2">
      <c r="G2925" s="21"/>
      <c r="H2925" s="21"/>
      <c r="N2925" s="21"/>
      <c r="O2925" s="21"/>
      <c r="T2925" s="21"/>
      <c r="AA2925" s="21"/>
    </row>
    <row r="2926" spans="7:27" x14ac:dyDescent="0.2">
      <c r="G2926" s="21"/>
      <c r="H2926" s="21"/>
      <c r="N2926" s="21"/>
      <c r="O2926" s="21"/>
      <c r="T2926" s="21"/>
      <c r="AA2926" s="21"/>
    </row>
    <row r="2927" spans="7:27" x14ac:dyDescent="0.2">
      <c r="G2927" s="21"/>
      <c r="H2927" s="21"/>
      <c r="N2927" s="21"/>
      <c r="O2927" s="21"/>
      <c r="T2927" s="21"/>
      <c r="AA2927" s="21"/>
    </row>
    <row r="2928" spans="7:27" x14ac:dyDescent="0.2">
      <c r="G2928" s="21"/>
      <c r="H2928" s="21"/>
      <c r="N2928" s="21"/>
      <c r="O2928" s="21"/>
      <c r="T2928" s="21"/>
      <c r="AA2928" s="21"/>
    </row>
    <row r="2929" spans="7:27" x14ac:dyDescent="0.2">
      <c r="G2929" s="21"/>
      <c r="H2929" s="21"/>
      <c r="N2929" s="21"/>
      <c r="O2929" s="21"/>
      <c r="T2929" s="21"/>
      <c r="AA2929" s="21"/>
    </row>
    <row r="2930" spans="7:27" x14ac:dyDescent="0.2">
      <c r="G2930" s="21"/>
      <c r="H2930" s="21"/>
      <c r="N2930" s="21"/>
      <c r="O2930" s="21"/>
      <c r="T2930" s="21"/>
      <c r="AA2930" s="21"/>
    </row>
    <row r="2931" spans="7:27" x14ac:dyDescent="0.2">
      <c r="G2931" s="21"/>
      <c r="H2931" s="21"/>
      <c r="N2931" s="21"/>
      <c r="O2931" s="21"/>
      <c r="T2931" s="21"/>
      <c r="AA2931" s="21"/>
    </row>
    <row r="2932" spans="7:27" x14ac:dyDescent="0.2">
      <c r="G2932" s="21"/>
      <c r="H2932" s="21"/>
      <c r="N2932" s="21"/>
      <c r="O2932" s="21"/>
      <c r="T2932" s="21"/>
      <c r="AA2932" s="21"/>
    </row>
    <row r="2933" spans="7:27" x14ac:dyDescent="0.2">
      <c r="G2933" s="21"/>
      <c r="H2933" s="21"/>
      <c r="N2933" s="21"/>
      <c r="O2933" s="21"/>
      <c r="T2933" s="21"/>
      <c r="AA2933" s="21"/>
    </row>
    <row r="2934" spans="7:27" x14ac:dyDescent="0.2">
      <c r="G2934" s="21"/>
      <c r="H2934" s="21"/>
      <c r="N2934" s="21"/>
      <c r="O2934" s="21"/>
      <c r="T2934" s="21"/>
      <c r="AA2934" s="21"/>
    </row>
    <row r="2935" spans="7:27" x14ac:dyDescent="0.2">
      <c r="G2935" s="21"/>
      <c r="H2935" s="21"/>
      <c r="N2935" s="21"/>
      <c r="O2935" s="21"/>
      <c r="T2935" s="21"/>
      <c r="AA2935" s="21"/>
    </row>
    <row r="2936" spans="7:27" x14ac:dyDescent="0.2">
      <c r="G2936" s="21"/>
      <c r="H2936" s="21"/>
      <c r="N2936" s="21"/>
      <c r="O2936" s="21"/>
      <c r="T2936" s="21"/>
      <c r="AA2936" s="21"/>
    </row>
    <row r="2937" spans="7:27" x14ac:dyDescent="0.2">
      <c r="G2937" s="21"/>
      <c r="H2937" s="21"/>
      <c r="N2937" s="21"/>
      <c r="O2937" s="21"/>
      <c r="T2937" s="21"/>
      <c r="AA2937" s="21"/>
    </row>
    <row r="2938" spans="7:27" x14ac:dyDescent="0.2">
      <c r="G2938" s="21"/>
      <c r="H2938" s="21"/>
      <c r="N2938" s="21"/>
      <c r="O2938" s="21"/>
      <c r="T2938" s="21"/>
      <c r="AA2938" s="21"/>
    </row>
    <row r="2939" spans="7:27" x14ac:dyDescent="0.2">
      <c r="G2939" s="21"/>
      <c r="H2939" s="21"/>
      <c r="N2939" s="21"/>
      <c r="O2939" s="21"/>
      <c r="T2939" s="21"/>
      <c r="AA2939" s="21"/>
    </row>
    <row r="2940" spans="7:27" x14ac:dyDescent="0.2">
      <c r="G2940" s="21"/>
      <c r="H2940" s="21"/>
      <c r="N2940" s="21"/>
      <c r="O2940" s="21"/>
      <c r="T2940" s="21"/>
      <c r="AA2940" s="21"/>
    </row>
    <row r="2941" spans="7:27" x14ac:dyDescent="0.2">
      <c r="G2941" s="21"/>
      <c r="H2941" s="21"/>
      <c r="N2941" s="21"/>
      <c r="O2941" s="21"/>
      <c r="T2941" s="21"/>
      <c r="AA2941" s="21"/>
    </row>
    <row r="2942" spans="7:27" x14ac:dyDescent="0.2">
      <c r="G2942" s="21"/>
      <c r="H2942" s="21"/>
      <c r="N2942" s="21"/>
      <c r="O2942" s="21"/>
      <c r="T2942" s="21"/>
      <c r="AA2942" s="21"/>
    </row>
    <row r="2943" spans="7:27" x14ac:dyDescent="0.2">
      <c r="G2943" s="21"/>
      <c r="H2943" s="21"/>
      <c r="N2943" s="21"/>
      <c r="O2943" s="21"/>
      <c r="T2943" s="21"/>
      <c r="AA2943" s="21"/>
    </row>
    <row r="2944" spans="7:27" x14ac:dyDescent="0.2">
      <c r="G2944" s="21"/>
      <c r="H2944" s="21"/>
      <c r="N2944" s="21"/>
      <c r="O2944" s="21"/>
      <c r="T2944" s="21"/>
      <c r="AA2944" s="21"/>
    </row>
    <row r="2945" spans="7:27" x14ac:dyDescent="0.2">
      <c r="G2945" s="21"/>
      <c r="H2945" s="21"/>
      <c r="N2945" s="21"/>
      <c r="O2945" s="21"/>
      <c r="T2945" s="21"/>
      <c r="AA2945" s="21"/>
    </row>
    <row r="2946" spans="7:27" x14ac:dyDescent="0.2">
      <c r="G2946" s="21"/>
      <c r="H2946" s="21"/>
      <c r="N2946" s="21"/>
      <c r="O2946" s="21"/>
      <c r="T2946" s="21"/>
      <c r="AA2946" s="21"/>
    </row>
    <row r="2947" spans="7:27" x14ac:dyDescent="0.2">
      <c r="G2947" s="21"/>
      <c r="H2947" s="21"/>
      <c r="N2947" s="21"/>
      <c r="O2947" s="21"/>
      <c r="T2947" s="21"/>
      <c r="AA2947" s="21"/>
    </row>
    <row r="2948" spans="7:27" x14ac:dyDescent="0.2">
      <c r="G2948" s="21"/>
      <c r="H2948" s="21"/>
      <c r="N2948" s="21"/>
      <c r="O2948" s="21"/>
      <c r="T2948" s="21"/>
      <c r="AA2948" s="21"/>
    </row>
    <row r="2949" spans="7:27" x14ac:dyDescent="0.2">
      <c r="G2949" s="21"/>
      <c r="H2949" s="21"/>
      <c r="N2949" s="21"/>
      <c r="O2949" s="21"/>
      <c r="T2949" s="21"/>
      <c r="AA2949" s="21"/>
    </row>
    <row r="2950" spans="7:27" x14ac:dyDescent="0.2">
      <c r="G2950" s="21"/>
      <c r="H2950" s="21"/>
      <c r="N2950" s="21"/>
      <c r="O2950" s="21"/>
      <c r="T2950" s="21"/>
      <c r="AA2950" s="21"/>
    </row>
    <row r="2951" spans="7:27" x14ac:dyDescent="0.2">
      <c r="G2951" s="21"/>
      <c r="H2951" s="21"/>
      <c r="N2951" s="21"/>
      <c r="O2951" s="21"/>
      <c r="T2951" s="21"/>
      <c r="AA2951" s="21"/>
    </row>
    <row r="2952" spans="7:27" x14ac:dyDescent="0.2">
      <c r="G2952" s="21"/>
      <c r="H2952" s="21"/>
      <c r="N2952" s="21"/>
      <c r="O2952" s="21"/>
      <c r="T2952" s="21"/>
      <c r="AA2952" s="21"/>
    </row>
    <row r="2953" spans="7:27" x14ac:dyDescent="0.2">
      <c r="G2953" s="21"/>
      <c r="H2953" s="21"/>
      <c r="N2953" s="21"/>
      <c r="O2953" s="21"/>
      <c r="T2953" s="21"/>
      <c r="AA2953" s="21"/>
    </row>
    <row r="2954" spans="7:27" x14ac:dyDescent="0.2">
      <c r="G2954" s="21"/>
      <c r="H2954" s="21"/>
      <c r="N2954" s="21"/>
      <c r="O2954" s="21"/>
      <c r="T2954" s="21"/>
      <c r="AA2954" s="21"/>
    </row>
    <row r="2955" spans="7:27" x14ac:dyDescent="0.2">
      <c r="G2955" s="21"/>
      <c r="H2955" s="21"/>
      <c r="N2955" s="21"/>
      <c r="O2955" s="21"/>
      <c r="T2955" s="21"/>
      <c r="AA2955" s="21"/>
    </row>
    <row r="2956" spans="7:27" x14ac:dyDescent="0.2">
      <c r="G2956" s="21"/>
      <c r="H2956" s="21"/>
      <c r="N2956" s="21"/>
      <c r="O2956" s="21"/>
      <c r="T2956" s="21"/>
      <c r="AA2956" s="21"/>
    </row>
    <row r="2957" spans="7:27" x14ac:dyDescent="0.2">
      <c r="G2957" s="21"/>
      <c r="H2957" s="21"/>
      <c r="N2957" s="21"/>
      <c r="O2957" s="21"/>
      <c r="T2957" s="21"/>
      <c r="AA2957" s="21"/>
    </row>
    <row r="2958" spans="7:27" x14ac:dyDescent="0.2">
      <c r="G2958" s="21"/>
      <c r="H2958" s="21"/>
      <c r="N2958" s="21"/>
      <c r="O2958" s="21"/>
      <c r="T2958" s="21"/>
      <c r="AA2958" s="21"/>
    </row>
    <row r="2959" spans="7:27" x14ac:dyDescent="0.2">
      <c r="G2959" s="21"/>
      <c r="H2959" s="21"/>
      <c r="N2959" s="21"/>
      <c r="O2959" s="21"/>
      <c r="T2959" s="21"/>
      <c r="AA2959" s="21"/>
    </row>
    <row r="2960" spans="7:27" x14ac:dyDescent="0.2">
      <c r="G2960" s="21"/>
      <c r="H2960" s="21"/>
      <c r="N2960" s="21"/>
      <c r="O2960" s="21"/>
      <c r="T2960" s="21"/>
      <c r="AA2960" s="21"/>
    </row>
    <row r="2961" spans="7:27" x14ac:dyDescent="0.2">
      <c r="G2961" s="21"/>
      <c r="H2961" s="21"/>
      <c r="N2961" s="21"/>
      <c r="O2961" s="21"/>
      <c r="T2961" s="21"/>
      <c r="AA2961" s="21"/>
    </row>
    <row r="2962" spans="7:27" x14ac:dyDescent="0.2">
      <c r="G2962" s="21"/>
      <c r="H2962" s="21"/>
      <c r="N2962" s="21"/>
      <c r="O2962" s="21"/>
      <c r="T2962" s="21"/>
      <c r="AA2962" s="21"/>
    </row>
    <row r="2963" spans="7:27" x14ac:dyDescent="0.2">
      <c r="G2963" s="21"/>
      <c r="H2963" s="21"/>
      <c r="N2963" s="21"/>
      <c r="O2963" s="21"/>
      <c r="T2963" s="21"/>
      <c r="AA2963" s="21"/>
    </row>
    <row r="2964" spans="7:27" x14ac:dyDescent="0.2">
      <c r="G2964" s="21"/>
      <c r="H2964" s="21"/>
      <c r="N2964" s="21"/>
      <c r="O2964" s="21"/>
      <c r="T2964" s="21"/>
      <c r="AA2964" s="21"/>
    </row>
    <row r="2965" spans="7:27" x14ac:dyDescent="0.2">
      <c r="G2965" s="21"/>
      <c r="H2965" s="21"/>
      <c r="N2965" s="21"/>
      <c r="O2965" s="21"/>
      <c r="T2965" s="21"/>
      <c r="AA2965" s="21"/>
    </row>
    <row r="2966" spans="7:27" x14ac:dyDescent="0.2">
      <c r="G2966" s="21"/>
      <c r="H2966" s="21"/>
      <c r="N2966" s="21"/>
      <c r="O2966" s="21"/>
      <c r="T2966" s="21"/>
      <c r="AA2966" s="21"/>
    </row>
    <row r="2967" spans="7:27" x14ac:dyDescent="0.2">
      <c r="G2967" s="21"/>
      <c r="H2967" s="21"/>
      <c r="N2967" s="21"/>
      <c r="O2967" s="21"/>
      <c r="T2967" s="21"/>
      <c r="AA2967" s="21"/>
    </row>
    <row r="2968" spans="7:27" x14ac:dyDescent="0.2">
      <c r="G2968" s="21"/>
      <c r="H2968" s="21"/>
      <c r="N2968" s="21"/>
      <c r="O2968" s="21"/>
      <c r="T2968" s="21"/>
      <c r="AA2968" s="21"/>
    </row>
    <row r="2969" spans="7:27" x14ac:dyDescent="0.2">
      <c r="G2969" s="21"/>
      <c r="H2969" s="21"/>
      <c r="N2969" s="21"/>
      <c r="O2969" s="21"/>
      <c r="T2969" s="21"/>
      <c r="AA2969" s="21"/>
    </row>
    <row r="2970" spans="7:27" x14ac:dyDescent="0.2">
      <c r="G2970" s="21"/>
      <c r="H2970" s="21"/>
      <c r="N2970" s="21"/>
      <c r="O2970" s="21"/>
      <c r="T2970" s="21"/>
      <c r="AA2970" s="21"/>
    </row>
    <row r="2971" spans="7:27" x14ac:dyDescent="0.2">
      <c r="G2971" s="21"/>
      <c r="H2971" s="21"/>
      <c r="N2971" s="21"/>
      <c r="O2971" s="21"/>
      <c r="T2971" s="21"/>
      <c r="AA2971" s="21"/>
    </row>
    <row r="2972" spans="7:27" x14ac:dyDescent="0.2">
      <c r="G2972" s="21"/>
      <c r="H2972" s="21"/>
      <c r="N2972" s="21"/>
      <c r="O2972" s="21"/>
      <c r="T2972" s="21"/>
      <c r="AA2972" s="21"/>
    </row>
    <row r="2973" spans="7:27" x14ac:dyDescent="0.2">
      <c r="G2973" s="21"/>
      <c r="H2973" s="21"/>
      <c r="N2973" s="21"/>
      <c r="O2973" s="21"/>
      <c r="T2973" s="21"/>
      <c r="AA2973" s="21"/>
    </row>
    <row r="2974" spans="7:27" x14ac:dyDescent="0.2">
      <c r="G2974" s="21"/>
      <c r="H2974" s="21"/>
      <c r="N2974" s="21"/>
      <c r="O2974" s="21"/>
      <c r="T2974" s="21"/>
      <c r="AA2974" s="21"/>
    </row>
    <row r="2975" spans="7:27" x14ac:dyDescent="0.2">
      <c r="G2975" s="21"/>
      <c r="H2975" s="21"/>
      <c r="N2975" s="21"/>
      <c r="O2975" s="21"/>
      <c r="T2975" s="21"/>
      <c r="AA2975" s="21"/>
    </row>
    <row r="2976" spans="7:27" x14ac:dyDescent="0.2">
      <c r="G2976" s="21"/>
      <c r="H2976" s="21"/>
      <c r="N2976" s="21"/>
      <c r="O2976" s="21"/>
      <c r="T2976" s="21"/>
      <c r="AA2976" s="21"/>
    </row>
    <row r="2977" spans="7:27" x14ac:dyDescent="0.2">
      <c r="G2977" s="21"/>
      <c r="H2977" s="21"/>
      <c r="N2977" s="21"/>
      <c r="O2977" s="21"/>
      <c r="T2977" s="21"/>
      <c r="AA2977" s="21"/>
    </row>
    <row r="2978" spans="7:27" x14ac:dyDescent="0.2">
      <c r="G2978" s="21"/>
      <c r="H2978" s="21"/>
      <c r="N2978" s="21"/>
      <c r="O2978" s="21"/>
      <c r="T2978" s="21"/>
      <c r="AA2978" s="21"/>
    </row>
    <row r="2979" spans="7:27" x14ac:dyDescent="0.2">
      <c r="G2979" s="21"/>
      <c r="H2979" s="21"/>
      <c r="N2979" s="21"/>
      <c r="O2979" s="21"/>
      <c r="T2979" s="21"/>
      <c r="AA2979" s="21"/>
    </row>
    <row r="2980" spans="7:27" x14ac:dyDescent="0.2">
      <c r="G2980" s="21"/>
      <c r="H2980" s="21"/>
      <c r="N2980" s="21"/>
      <c r="O2980" s="21"/>
      <c r="T2980" s="21"/>
      <c r="AA2980" s="21"/>
    </row>
    <row r="2981" spans="7:27" x14ac:dyDescent="0.2">
      <c r="G2981" s="21"/>
      <c r="H2981" s="21"/>
      <c r="N2981" s="21"/>
      <c r="O2981" s="21"/>
      <c r="T2981" s="21"/>
      <c r="AA2981" s="21"/>
    </row>
    <row r="2982" spans="7:27" x14ac:dyDescent="0.2">
      <c r="G2982" s="21"/>
      <c r="H2982" s="21"/>
      <c r="N2982" s="21"/>
      <c r="O2982" s="21"/>
      <c r="T2982" s="21"/>
      <c r="AA2982" s="21"/>
    </row>
    <row r="2983" spans="7:27" x14ac:dyDescent="0.2">
      <c r="G2983" s="21"/>
      <c r="H2983" s="21"/>
      <c r="N2983" s="21"/>
      <c r="O2983" s="21"/>
      <c r="T2983" s="21"/>
      <c r="AA2983" s="21"/>
    </row>
    <row r="2984" spans="7:27" x14ac:dyDescent="0.2">
      <c r="G2984" s="21"/>
      <c r="H2984" s="21"/>
      <c r="N2984" s="21"/>
      <c r="O2984" s="21"/>
      <c r="T2984" s="21"/>
      <c r="AA2984" s="21"/>
    </row>
    <row r="2985" spans="7:27" x14ac:dyDescent="0.2">
      <c r="G2985" s="21"/>
      <c r="H2985" s="21"/>
      <c r="N2985" s="21"/>
      <c r="O2985" s="21"/>
      <c r="T2985" s="21"/>
      <c r="AA2985" s="21"/>
    </row>
    <row r="2986" spans="7:27" x14ac:dyDescent="0.2">
      <c r="G2986" s="21"/>
      <c r="H2986" s="21"/>
      <c r="N2986" s="21"/>
      <c r="O2986" s="21"/>
      <c r="T2986" s="21"/>
      <c r="AA2986" s="21"/>
    </row>
    <row r="2987" spans="7:27" x14ac:dyDescent="0.2">
      <c r="G2987" s="21"/>
      <c r="H2987" s="21"/>
      <c r="N2987" s="21"/>
      <c r="O2987" s="21"/>
      <c r="T2987" s="21"/>
      <c r="AA2987" s="21"/>
    </row>
    <row r="2988" spans="7:27" x14ac:dyDescent="0.2">
      <c r="G2988" s="21"/>
      <c r="H2988" s="21"/>
      <c r="N2988" s="21"/>
      <c r="O2988" s="21"/>
      <c r="T2988" s="21"/>
      <c r="AA2988" s="21"/>
    </row>
    <row r="2989" spans="7:27" x14ac:dyDescent="0.2">
      <c r="G2989" s="21"/>
      <c r="H2989" s="21"/>
      <c r="N2989" s="21"/>
      <c r="O2989" s="21"/>
      <c r="T2989" s="21"/>
      <c r="AA2989" s="21"/>
    </row>
    <row r="2990" spans="7:27" x14ac:dyDescent="0.2">
      <c r="G2990" s="21"/>
      <c r="H2990" s="21"/>
      <c r="N2990" s="21"/>
      <c r="O2990" s="21"/>
      <c r="T2990" s="21"/>
      <c r="AA2990" s="21"/>
    </row>
    <row r="2991" spans="7:27" x14ac:dyDescent="0.2">
      <c r="G2991" s="21"/>
      <c r="H2991" s="21"/>
      <c r="N2991" s="21"/>
      <c r="O2991" s="21"/>
      <c r="T2991" s="21"/>
      <c r="AA2991" s="21"/>
    </row>
    <row r="2992" spans="7:27" x14ac:dyDescent="0.2">
      <c r="G2992" s="21"/>
      <c r="H2992" s="21"/>
      <c r="N2992" s="21"/>
      <c r="O2992" s="21"/>
      <c r="T2992" s="21"/>
      <c r="AA2992" s="21"/>
    </row>
    <row r="2993" spans="7:27" x14ac:dyDescent="0.2">
      <c r="G2993" s="21"/>
      <c r="H2993" s="21"/>
      <c r="N2993" s="21"/>
      <c r="O2993" s="21"/>
      <c r="T2993" s="21"/>
      <c r="AA2993" s="21"/>
    </row>
    <row r="2994" spans="7:27" x14ac:dyDescent="0.2">
      <c r="G2994" s="21"/>
      <c r="H2994" s="21"/>
      <c r="N2994" s="21"/>
      <c r="O2994" s="21"/>
      <c r="T2994" s="21"/>
      <c r="AA2994" s="21"/>
    </row>
    <row r="2995" spans="7:27" x14ac:dyDescent="0.2">
      <c r="G2995" s="21"/>
      <c r="H2995" s="21"/>
      <c r="N2995" s="21"/>
      <c r="O2995" s="21"/>
      <c r="T2995" s="21"/>
      <c r="AA2995" s="21"/>
    </row>
    <row r="2996" spans="7:27" x14ac:dyDescent="0.2">
      <c r="G2996" s="21"/>
      <c r="H2996" s="21"/>
      <c r="N2996" s="21"/>
      <c r="O2996" s="21"/>
      <c r="T2996" s="21"/>
      <c r="AA2996" s="21"/>
    </row>
    <row r="2997" spans="7:27" x14ac:dyDescent="0.2">
      <c r="G2997" s="21"/>
      <c r="H2997" s="21"/>
      <c r="N2997" s="21"/>
      <c r="O2997" s="21"/>
      <c r="T2997" s="21"/>
      <c r="AA2997" s="21"/>
    </row>
    <row r="2998" spans="7:27" x14ac:dyDescent="0.2">
      <c r="G2998" s="21"/>
      <c r="H2998" s="21"/>
      <c r="N2998" s="21"/>
      <c r="O2998" s="21"/>
      <c r="T2998" s="21"/>
      <c r="AA2998" s="21"/>
    </row>
    <row r="2999" spans="7:27" x14ac:dyDescent="0.2">
      <c r="G2999" s="21"/>
      <c r="H2999" s="21"/>
      <c r="N2999" s="21"/>
      <c r="O2999" s="21"/>
      <c r="T2999" s="21"/>
      <c r="AA2999" s="21"/>
    </row>
    <row r="3000" spans="7:27" x14ac:dyDescent="0.2">
      <c r="G3000" s="21"/>
      <c r="H3000" s="21"/>
      <c r="N3000" s="21"/>
      <c r="O3000" s="21"/>
      <c r="T3000" s="21"/>
      <c r="AA3000" s="21"/>
    </row>
    <row r="3001" spans="7:27" x14ac:dyDescent="0.2">
      <c r="G3001" s="21"/>
      <c r="H3001" s="21"/>
      <c r="N3001" s="21"/>
      <c r="O3001" s="21"/>
      <c r="T3001" s="21"/>
      <c r="AA3001" s="21"/>
    </row>
    <row r="3002" spans="7:27" x14ac:dyDescent="0.2">
      <c r="G3002" s="21"/>
      <c r="H3002" s="21"/>
      <c r="N3002" s="21"/>
      <c r="O3002" s="21"/>
      <c r="T3002" s="21"/>
      <c r="AA3002" s="21"/>
    </row>
    <row r="3003" spans="7:27" x14ac:dyDescent="0.2">
      <c r="G3003" s="21"/>
      <c r="H3003" s="21"/>
      <c r="N3003" s="21"/>
      <c r="O3003" s="21"/>
      <c r="T3003" s="21"/>
      <c r="AA3003" s="21"/>
    </row>
    <row r="3004" spans="7:27" x14ac:dyDescent="0.2">
      <c r="G3004" s="21"/>
      <c r="H3004" s="21"/>
      <c r="N3004" s="21"/>
      <c r="O3004" s="21"/>
      <c r="T3004" s="21"/>
      <c r="AA3004" s="21"/>
    </row>
    <row r="3005" spans="7:27" x14ac:dyDescent="0.2">
      <c r="G3005" s="21"/>
      <c r="H3005" s="21"/>
      <c r="N3005" s="21"/>
      <c r="O3005" s="21"/>
      <c r="T3005" s="21"/>
      <c r="AA3005" s="21"/>
    </row>
    <row r="3006" spans="7:27" x14ac:dyDescent="0.2">
      <c r="G3006" s="21"/>
      <c r="H3006" s="21"/>
      <c r="N3006" s="21"/>
      <c r="O3006" s="21"/>
      <c r="T3006" s="21"/>
      <c r="AA3006" s="21"/>
    </row>
    <row r="3007" spans="7:27" x14ac:dyDescent="0.2">
      <c r="G3007" s="21"/>
      <c r="H3007" s="21"/>
      <c r="N3007" s="21"/>
      <c r="O3007" s="21"/>
      <c r="T3007" s="21"/>
      <c r="AA3007" s="21"/>
    </row>
    <row r="3008" spans="7:27" x14ac:dyDescent="0.2">
      <c r="G3008" s="21"/>
      <c r="H3008" s="21"/>
      <c r="N3008" s="21"/>
      <c r="O3008" s="21"/>
      <c r="T3008" s="21"/>
      <c r="AA3008" s="21"/>
    </row>
    <row r="3009" spans="7:27" x14ac:dyDescent="0.2">
      <c r="G3009" s="21"/>
      <c r="H3009" s="21"/>
      <c r="N3009" s="21"/>
      <c r="O3009" s="21"/>
      <c r="T3009" s="21"/>
      <c r="AA3009" s="21"/>
    </row>
    <row r="3010" spans="7:27" x14ac:dyDescent="0.2">
      <c r="G3010" s="21"/>
      <c r="H3010" s="21"/>
      <c r="N3010" s="21"/>
      <c r="O3010" s="21"/>
      <c r="T3010" s="21"/>
      <c r="AA3010" s="21"/>
    </row>
    <row r="3011" spans="7:27" x14ac:dyDescent="0.2">
      <c r="G3011" s="21"/>
      <c r="H3011" s="21"/>
      <c r="N3011" s="21"/>
      <c r="O3011" s="21"/>
      <c r="T3011" s="21"/>
      <c r="AA3011" s="21"/>
    </row>
    <row r="3012" spans="7:27" x14ac:dyDescent="0.2">
      <c r="G3012" s="21"/>
      <c r="H3012" s="21"/>
      <c r="N3012" s="21"/>
      <c r="O3012" s="21"/>
      <c r="T3012" s="21"/>
      <c r="AA3012" s="21"/>
    </row>
    <row r="3013" spans="7:27" x14ac:dyDescent="0.2">
      <c r="G3013" s="21"/>
      <c r="H3013" s="21"/>
      <c r="N3013" s="21"/>
      <c r="O3013" s="21"/>
      <c r="T3013" s="21"/>
      <c r="AA3013" s="21"/>
    </row>
    <row r="3014" spans="7:27" x14ac:dyDescent="0.2">
      <c r="G3014" s="21"/>
      <c r="H3014" s="21"/>
      <c r="N3014" s="21"/>
      <c r="O3014" s="21"/>
      <c r="T3014" s="21"/>
      <c r="AA3014" s="21"/>
    </row>
    <row r="3015" spans="7:27" x14ac:dyDescent="0.2">
      <c r="G3015" s="21"/>
      <c r="H3015" s="21"/>
      <c r="N3015" s="21"/>
      <c r="O3015" s="21"/>
      <c r="T3015" s="21"/>
      <c r="AA3015" s="21"/>
    </row>
    <row r="3016" spans="7:27" x14ac:dyDescent="0.2">
      <c r="G3016" s="21"/>
      <c r="H3016" s="21"/>
      <c r="N3016" s="21"/>
      <c r="O3016" s="21"/>
      <c r="T3016" s="21"/>
      <c r="AA3016" s="21"/>
    </row>
    <row r="3017" spans="7:27" x14ac:dyDescent="0.2">
      <c r="G3017" s="21"/>
      <c r="H3017" s="21"/>
      <c r="N3017" s="21"/>
      <c r="O3017" s="21"/>
      <c r="T3017" s="21"/>
      <c r="AA3017" s="21"/>
    </row>
    <row r="3018" spans="7:27" x14ac:dyDescent="0.2">
      <c r="G3018" s="21"/>
      <c r="H3018" s="21"/>
      <c r="N3018" s="21"/>
      <c r="O3018" s="21"/>
      <c r="T3018" s="21"/>
      <c r="AA3018" s="21"/>
    </row>
    <row r="3019" spans="7:27" x14ac:dyDescent="0.2">
      <c r="G3019" s="21"/>
      <c r="H3019" s="21"/>
      <c r="N3019" s="21"/>
      <c r="O3019" s="21"/>
      <c r="T3019" s="21"/>
      <c r="AA3019" s="21"/>
    </row>
    <row r="3020" spans="7:27" x14ac:dyDescent="0.2">
      <c r="G3020" s="21"/>
      <c r="H3020" s="21"/>
      <c r="N3020" s="21"/>
      <c r="O3020" s="21"/>
      <c r="T3020" s="21"/>
      <c r="AA3020" s="21"/>
    </row>
    <row r="3021" spans="7:27" x14ac:dyDescent="0.2">
      <c r="G3021" s="21"/>
      <c r="H3021" s="21"/>
      <c r="N3021" s="21"/>
      <c r="O3021" s="21"/>
      <c r="T3021" s="21"/>
      <c r="AA3021" s="21"/>
    </row>
    <row r="3022" spans="7:27" x14ac:dyDescent="0.2">
      <c r="G3022" s="21"/>
      <c r="H3022" s="21"/>
      <c r="N3022" s="21"/>
      <c r="O3022" s="21"/>
      <c r="T3022" s="21"/>
      <c r="AA3022" s="21"/>
    </row>
    <row r="3023" spans="7:27" x14ac:dyDescent="0.2">
      <c r="G3023" s="21"/>
      <c r="H3023" s="21"/>
      <c r="N3023" s="21"/>
      <c r="O3023" s="21"/>
      <c r="T3023" s="21"/>
      <c r="AA3023" s="21"/>
    </row>
    <row r="3024" spans="7:27" x14ac:dyDescent="0.2">
      <c r="G3024" s="21"/>
      <c r="H3024" s="21"/>
      <c r="N3024" s="21"/>
      <c r="O3024" s="21"/>
      <c r="T3024" s="21"/>
      <c r="AA3024" s="21"/>
    </row>
    <row r="3025" spans="7:27" x14ac:dyDescent="0.2">
      <c r="G3025" s="21"/>
      <c r="H3025" s="21"/>
      <c r="N3025" s="21"/>
      <c r="O3025" s="21"/>
      <c r="T3025" s="21"/>
      <c r="AA3025" s="21"/>
    </row>
    <row r="3026" spans="7:27" x14ac:dyDescent="0.2">
      <c r="G3026" s="21"/>
      <c r="H3026" s="21"/>
      <c r="N3026" s="21"/>
      <c r="O3026" s="21"/>
      <c r="T3026" s="21"/>
      <c r="AA3026" s="21"/>
    </row>
    <row r="3027" spans="7:27" x14ac:dyDescent="0.2">
      <c r="G3027" s="21"/>
      <c r="H3027" s="21"/>
      <c r="N3027" s="21"/>
      <c r="O3027" s="21"/>
      <c r="T3027" s="21"/>
      <c r="AA3027" s="21"/>
    </row>
    <row r="3028" spans="7:27" x14ac:dyDescent="0.2">
      <c r="G3028" s="21"/>
      <c r="H3028" s="21"/>
      <c r="N3028" s="21"/>
      <c r="O3028" s="21"/>
      <c r="T3028" s="21"/>
      <c r="AA3028" s="21"/>
    </row>
    <row r="3029" spans="7:27" x14ac:dyDescent="0.2">
      <c r="G3029" s="21"/>
      <c r="H3029" s="21"/>
      <c r="N3029" s="21"/>
      <c r="O3029" s="21"/>
      <c r="T3029" s="21"/>
      <c r="AA3029" s="21"/>
    </row>
    <row r="3030" spans="7:27" x14ac:dyDescent="0.2">
      <c r="G3030" s="21"/>
      <c r="H3030" s="21"/>
      <c r="N3030" s="21"/>
      <c r="O3030" s="21"/>
      <c r="T3030" s="21"/>
      <c r="AA3030" s="21"/>
    </row>
    <row r="3031" spans="7:27" x14ac:dyDescent="0.2">
      <c r="G3031" s="21"/>
      <c r="H3031" s="21"/>
      <c r="N3031" s="21"/>
      <c r="O3031" s="21"/>
      <c r="T3031" s="21"/>
      <c r="AA3031" s="21"/>
    </row>
    <row r="3032" spans="7:27" x14ac:dyDescent="0.2">
      <c r="G3032" s="21"/>
      <c r="H3032" s="21"/>
      <c r="N3032" s="21"/>
      <c r="O3032" s="21"/>
      <c r="T3032" s="21"/>
      <c r="AA3032" s="21"/>
    </row>
    <row r="3033" spans="7:27" x14ac:dyDescent="0.2">
      <c r="G3033" s="21"/>
      <c r="H3033" s="21"/>
      <c r="N3033" s="21"/>
      <c r="O3033" s="21"/>
      <c r="T3033" s="21"/>
      <c r="AA3033" s="21"/>
    </row>
    <row r="3034" spans="7:27" x14ac:dyDescent="0.2">
      <c r="G3034" s="21"/>
      <c r="H3034" s="21"/>
      <c r="N3034" s="21"/>
      <c r="O3034" s="21"/>
      <c r="T3034" s="21"/>
      <c r="AA3034" s="21"/>
    </row>
    <row r="3035" spans="7:27" x14ac:dyDescent="0.2">
      <c r="G3035" s="21"/>
      <c r="H3035" s="21"/>
      <c r="N3035" s="21"/>
      <c r="O3035" s="21"/>
      <c r="T3035" s="21"/>
      <c r="AA3035" s="21"/>
    </row>
    <row r="3036" spans="7:27" x14ac:dyDescent="0.2">
      <c r="G3036" s="21"/>
      <c r="H3036" s="21"/>
      <c r="N3036" s="21"/>
      <c r="O3036" s="21"/>
      <c r="T3036" s="21"/>
      <c r="AA3036" s="21"/>
    </row>
    <row r="3037" spans="7:27" x14ac:dyDescent="0.2">
      <c r="G3037" s="21"/>
      <c r="H3037" s="21"/>
      <c r="N3037" s="21"/>
      <c r="O3037" s="21"/>
      <c r="T3037" s="21"/>
      <c r="AA3037" s="21"/>
    </row>
    <row r="3038" spans="7:27" x14ac:dyDescent="0.2">
      <c r="G3038" s="21"/>
      <c r="H3038" s="21"/>
      <c r="N3038" s="21"/>
      <c r="O3038" s="21"/>
      <c r="T3038" s="21"/>
      <c r="AA3038" s="21"/>
    </row>
    <row r="3039" spans="7:27" x14ac:dyDescent="0.2">
      <c r="G3039" s="21"/>
      <c r="H3039" s="21"/>
      <c r="N3039" s="21"/>
      <c r="O3039" s="21"/>
      <c r="T3039" s="21"/>
      <c r="AA3039" s="21"/>
    </row>
    <row r="3040" spans="7:27" x14ac:dyDescent="0.2">
      <c r="G3040" s="21"/>
      <c r="H3040" s="21"/>
      <c r="N3040" s="21"/>
      <c r="O3040" s="21"/>
      <c r="T3040" s="21"/>
      <c r="AA3040" s="21"/>
    </row>
    <row r="3041" spans="7:27" x14ac:dyDescent="0.2">
      <c r="G3041" s="21"/>
      <c r="H3041" s="21"/>
      <c r="N3041" s="21"/>
      <c r="O3041" s="21"/>
      <c r="T3041" s="21"/>
      <c r="AA3041" s="21"/>
    </row>
    <row r="3042" spans="7:27" x14ac:dyDescent="0.2">
      <c r="G3042" s="21"/>
      <c r="H3042" s="21"/>
      <c r="N3042" s="21"/>
      <c r="O3042" s="21"/>
      <c r="T3042" s="21"/>
      <c r="AA3042" s="21"/>
    </row>
    <row r="3043" spans="7:27" x14ac:dyDescent="0.2">
      <c r="G3043" s="21"/>
      <c r="H3043" s="21"/>
      <c r="N3043" s="21"/>
      <c r="O3043" s="21"/>
      <c r="T3043" s="21"/>
      <c r="AA3043" s="21"/>
    </row>
    <row r="3044" spans="7:27" x14ac:dyDescent="0.2">
      <c r="G3044" s="21"/>
      <c r="H3044" s="21"/>
      <c r="N3044" s="21"/>
      <c r="O3044" s="21"/>
      <c r="T3044" s="21"/>
      <c r="AA3044" s="21"/>
    </row>
    <row r="3045" spans="7:27" x14ac:dyDescent="0.2">
      <c r="G3045" s="21"/>
      <c r="H3045" s="21"/>
      <c r="N3045" s="21"/>
      <c r="O3045" s="21"/>
      <c r="T3045" s="21"/>
      <c r="AA3045" s="21"/>
    </row>
    <row r="3046" spans="7:27" x14ac:dyDescent="0.2">
      <c r="G3046" s="21"/>
      <c r="H3046" s="21"/>
      <c r="N3046" s="21"/>
      <c r="O3046" s="21"/>
      <c r="T3046" s="21"/>
      <c r="AA3046" s="21"/>
    </row>
    <row r="3047" spans="7:27" x14ac:dyDescent="0.2">
      <c r="G3047" s="21"/>
      <c r="H3047" s="21"/>
      <c r="N3047" s="21"/>
      <c r="O3047" s="21"/>
      <c r="T3047" s="21"/>
      <c r="AA3047" s="21"/>
    </row>
    <row r="3048" spans="7:27" x14ac:dyDescent="0.2">
      <c r="G3048" s="21"/>
      <c r="H3048" s="21"/>
      <c r="N3048" s="21"/>
      <c r="O3048" s="21"/>
      <c r="T3048" s="21"/>
      <c r="AA3048" s="21"/>
    </row>
    <row r="3049" spans="7:27" x14ac:dyDescent="0.2">
      <c r="G3049" s="21"/>
      <c r="H3049" s="21"/>
      <c r="N3049" s="21"/>
      <c r="O3049" s="21"/>
      <c r="T3049" s="21"/>
      <c r="AA3049" s="21"/>
    </row>
    <row r="3050" spans="7:27" x14ac:dyDescent="0.2">
      <c r="G3050" s="21"/>
      <c r="H3050" s="21"/>
      <c r="N3050" s="21"/>
      <c r="O3050" s="21"/>
      <c r="T3050" s="21"/>
      <c r="AA3050" s="21"/>
    </row>
    <row r="3051" spans="7:27" x14ac:dyDescent="0.2">
      <c r="G3051" s="21"/>
      <c r="H3051" s="21"/>
      <c r="N3051" s="21"/>
      <c r="O3051" s="21"/>
      <c r="T3051" s="21"/>
      <c r="AA3051" s="21"/>
    </row>
    <row r="3052" spans="7:27" x14ac:dyDescent="0.2">
      <c r="G3052" s="21"/>
      <c r="H3052" s="21"/>
      <c r="N3052" s="21"/>
      <c r="O3052" s="21"/>
      <c r="T3052" s="21"/>
      <c r="AA3052" s="21"/>
    </row>
    <row r="3053" spans="7:27" x14ac:dyDescent="0.2">
      <c r="G3053" s="21"/>
      <c r="H3053" s="21"/>
      <c r="N3053" s="21"/>
      <c r="O3053" s="21"/>
      <c r="T3053" s="21"/>
      <c r="AA3053" s="21"/>
    </row>
    <row r="3054" spans="7:27" x14ac:dyDescent="0.2">
      <c r="G3054" s="21"/>
      <c r="H3054" s="21"/>
      <c r="N3054" s="21"/>
      <c r="O3054" s="21"/>
      <c r="T3054" s="21"/>
      <c r="AA3054" s="21"/>
    </row>
    <row r="3055" spans="7:27" x14ac:dyDescent="0.2">
      <c r="G3055" s="21"/>
      <c r="H3055" s="21"/>
      <c r="N3055" s="21"/>
      <c r="O3055" s="21"/>
      <c r="T3055" s="21"/>
      <c r="AA3055" s="21"/>
    </row>
    <row r="3056" spans="7:27" x14ac:dyDescent="0.2">
      <c r="G3056" s="21"/>
      <c r="H3056" s="21"/>
      <c r="N3056" s="21"/>
      <c r="O3056" s="21"/>
      <c r="T3056" s="21"/>
      <c r="AA3056" s="21"/>
    </row>
    <row r="3057" spans="7:27" x14ac:dyDescent="0.2">
      <c r="G3057" s="21"/>
      <c r="H3057" s="21"/>
      <c r="N3057" s="21"/>
      <c r="O3057" s="21"/>
      <c r="T3057" s="21"/>
      <c r="AA3057" s="21"/>
    </row>
    <row r="3058" spans="7:27" x14ac:dyDescent="0.2">
      <c r="G3058" s="21"/>
      <c r="H3058" s="21"/>
      <c r="N3058" s="21"/>
      <c r="O3058" s="21"/>
      <c r="T3058" s="21"/>
      <c r="AA3058" s="21"/>
    </row>
    <row r="3059" spans="7:27" x14ac:dyDescent="0.2">
      <c r="G3059" s="21"/>
      <c r="H3059" s="21"/>
      <c r="N3059" s="21"/>
      <c r="O3059" s="21"/>
      <c r="T3059" s="21"/>
      <c r="AA3059" s="21"/>
    </row>
    <row r="3060" spans="7:27" x14ac:dyDescent="0.2">
      <c r="G3060" s="21"/>
      <c r="H3060" s="21"/>
      <c r="N3060" s="21"/>
      <c r="O3060" s="21"/>
      <c r="T3060" s="21"/>
      <c r="AA3060" s="21"/>
    </row>
    <row r="3061" spans="7:27" x14ac:dyDescent="0.2">
      <c r="G3061" s="21"/>
      <c r="H3061" s="21"/>
      <c r="N3061" s="21"/>
      <c r="O3061" s="21"/>
      <c r="T3061" s="21"/>
      <c r="AA3061" s="21"/>
    </row>
    <row r="3062" spans="7:27" x14ac:dyDescent="0.2">
      <c r="G3062" s="21"/>
      <c r="H3062" s="21"/>
      <c r="N3062" s="21"/>
      <c r="O3062" s="21"/>
      <c r="T3062" s="21"/>
      <c r="AA3062" s="21"/>
    </row>
    <row r="3063" spans="7:27" x14ac:dyDescent="0.2">
      <c r="G3063" s="21"/>
      <c r="H3063" s="21"/>
      <c r="N3063" s="21"/>
      <c r="O3063" s="21"/>
      <c r="T3063" s="21"/>
      <c r="AA3063" s="21"/>
    </row>
    <row r="3064" spans="7:27" x14ac:dyDescent="0.2">
      <c r="G3064" s="21"/>
      <c r="H3064" s="21"/>
      <c r="N3064" s="21"/>
      <c r="O3064" s="21"/>
      <c r="T3064" s="21"/>
      <c r="AA3064" s="21"/>
    </row>
    <row r="3065" spans="7:27" x14ac:dyDescent="0.2">
      <c r="G3065" s="21"/>
      <c r="H3065" s="21"/>
      <c r="N3065" s="21"/>
      <c r="O3065" s="21"/>
      <c r="T3065" s="21"/>
      <c r="AA3065" s="21"/>
    </row>
    <row r="3066" spans="7:27" x14ac:dyDescent="0.2">
      <c r="G3066" s="21"/>
      <c r="H3066" s="21"/>
      <c r="N3066" s="21"/>
      <c r="O3066" s="21"/>
      <c r="T3066" s="21"/>
      <c r="AA3066" s="21"/>
    </row>
    <row r="3067" spans="7:27" x14ac:dyDescent="0.2">
      <c r="G3067" s="21"/>
      <c r="H3067" s="21"/>
      <c r="N3067" s="21"/>
      <c r="O3067" s="21"/>
      <c r="T3067" s="21"/>
      <c r="AA3067" s="21"/>
    </row>
    <row r="3068" spans="7:27" x14ac:dyDescent="0.2">
      <c r="G3068" s="21"/>
      <c r="H3068" s="21"/>
      <c r="N3068" s="21"/>
      <c r="O3068" s="21"/>
      <c r="T3068" s="21"/>
      <c r="AA3068" s="21"/>
    </row>
    <row r="3069" spans="7:27" x14ac:dyDescent="0.2">
      <c r="G3069" s="21"/>
      <c r="H3069" s="21"/>
      <c r="N3069" s="21"/>
      <c r="O3069" s="21"/>
      <c r="T3069" s="21"/>
      <c r="AA3069" s="21"/>
    </row>
    <row r="3070" spans="7:27" x14ac:dyDescent="0.2">
      <c r="G3070" s="21"/>
      <c r="H3070" s="21"/>
      <c r="N3070" s="21"/>
      <c r="O3070" s="21"/>
      <c r="T3070" s="21"/>
      <c r="AA3070" s="21"/>
    </row>
    <row r="3071" spans="7:27" x14ac:dyDescent="0.2">
      <c r="G3071" s="21"/>
      <c r="H3071" s="21"/>
      <c r="N3071" s="21"/>
      <c r="O3071" s="21"/>
      <c r="T3071" s="21"/>
      <c r="AA3071" s="21"/>
    </row>
    <row r="3072" spans="7:27" x14ac:dyDescent="0.2">
      <c r="G3072" s="21"/>
      <c r="H3072" s="21"/>
      <c r="N3072" s="21"/>
      <c r="O3072" s="21"/>
      <c r="T3072" s="21"/>
      <c r="AA3072" s="21"/>
    </row>
    <row r="3073" spans="7:27" x14ac:dyDescent="0.2">
      <c r="G3073" s="21"/>
      <c r="H3073" s="21"/>
      <c r="N3073" s="21"/>
      <c r="O3073" s="21"/>
      <c r="T3073" s="21"/>
      <c r="AA3073" s="21"/>
    </row>
    <row r="3074" spans="7:27" x14ac:dyDescent="0.2">
      <c r="G3074" s="21"/>
      <c r="H3074" s="21"/>
      <c r="N3074" s="21"/>
      <c r="O3074" s="21"/>
      <c r="T3074" s="21"/>
      <c r="AA3074" s="21"/>
    </row>
    <row r="3075" spans="7:27" x14ac:dyDescent="0.2">
      <c r="G3075" s="21"/>
      <c r="H3075" s="21"/>
      <c r="N3075" s="21"/>
      <c r="O3075" s="21"/>
      <c r="T3075" s="21"/>
      <c r="AA3075" s="21"/>
    </row>
    <row r="3076" spans="7:27" x14ac:dyDescent="0.2">
      <c r="G3076" s="21"/>
      <c r="H3076" s="21"/>
      <c r="N3076" s="21"/>
      <c r="O3076" s="21"/>
      <c r="T3076" s="21"/>
      <c r="AA3076" s="21"/>
    </row>
    <row r="3077" spans="7:27" x14ac:dyDescent="0.2">
      <c r="G3077" s="21"/>
      <c r="H3077" s="21"/>
      <c r="N3077" s="21"/>
      <c r="O3077" s="21"/>
      <c r="T3077" s="21"/>
      <c r="AA3077" s="21"/>
    </row>
    <row r="3078" spans="7:27" x14ac:dyDescent="0.2">
      <c r="G3078" s="21"/>
      <c r="H3078" s="21"/>
      <c r="N3078" s="21"/>
      <c r="O3078" s="21"/>
      <c r="T3078" s="21"/>
      <c r="AA3078" s="21"/>
    </row>
    <row r="3079" spans="7:27" x14ac:dyDescent="0.2">
      <c r="G3079" s="21"/>
      <c r="H3079" s="21"/>
      <c r="N3079" s="21"/>
      <c r="O3079" s="21"/>
      <c r="T3079" s="21"/>
      <c r="AA3079" s="21"/>
    </row>
    <row r="3080" spans="7:27" x14ac:dyDescent="0.2">
      <c r="G3080" s="21"/>
      <c r="H3080" s="21"/>
      <c r="N3080" s="21"/>
      <c r="O3080" s="21"/>
      <c r="T3080" s="21"/>
      <c r="AA3080" s="21"/>
    </row>
    <row r="3081" spans="7:27" x14ac:dyDescent="0.2">
      <c r="G3081" s="21"/>
      <c r="H3081" s="21"/>
      <c r="N3081" s="21"/>
      <c r="O3081" s="21"/>
      <c r="T3081" s="21"/>
      <c r="AA3081" s="21"/>
    </row>
    <row r="3082" spans="7:27" x14ac:dyDescent="0.2">
      <c r="G3082" s="21"/>
      <c r="H3082" s="21"/>
      <c r="N3082" s="21"/>
      <c r="O3082" s="21"/>
      <c r="T3082" s="21"/>
      <c r="AA3082" s="21"/>
    </row>
    <row r="3083" spans="7:27" x14ac:dyDescent="0.2">
      <c r="G3083" s="21"/>
      <c r="H3083" s="21"/>
      <c r="N3083" s="21"/>
      <c r="O3083" s="21"/>
      <c r="T3083" s="21"/>
      <c r="AA3083" s="21"/>
    </row>
    <row r="3084" spans="7:27" x14ac:dyDescent="0.2">
      <c r="G3084" s="21"/>
      <c r="H3084" s="21"/>
      <c r="N3084" s="21"/>
      <c r="O3084" s="21"/>
      <c r="T3084" s="21"/>
      <c r="AA3084" s="21"/>
    </row>
    <row r="3085" spans="7:27" x14ac:dyDescent="0.2">
      <c r="G3085" s="21"/>
      <c r="H3085" s="21"/>
      <c r="N3085" s="21"/>
      <c r="O3085" s="21"/>
      <c r="T3085" s="21"/>
      <c r="AA3085" s="21"/>
    </row>
    <row r="3086" spans="7:27" x14ac:dyDescent="0.2">
      <c r="G3086" s="21"/>
      <c r="H3086" s="21"/>
      <c r="N3086" s="21"/>
      <c r="O3086" s="21"/>
      <c r="T3086" s="21"/>
      <c r="AA3086" s="21"/>
    </row>
    <row r="3087" spans="7:27" x14ac:dyDescent="0.2">
      <c r="G3087" s="21"/>
      <c r="H3087" s="21"/>
      <c r="N3087" s="21"/>
      <c r="O3087" s="21"/>
      <c r="T3087" s="21"/>
      <c r="AA3087" s="21"/>
    </row>
    <row r="3088" spans="7:27" x14ac:dyDescent="0.2">
      <c r="G3088" s="21"/>
      <c r="H3088" s="21"/>
      <c r="N3088" s="21"/>
      <c r="O3088" s="21"/>
      <c r="T3088" s="21"/>
      <c r="AA3088" s="21"/>
    </row>
    <row r="3089" spans="7:27" x14ac:dyDescent="0.2">
      <c r="G3089" s="21"/>
      <c r="H3089" s="21"/>
      <c r="N3089" s="21"/>
      <c r="O3089" s="21"/>
      <c r="T3089" s="21"/>
      <c r="AA3089" s="21"/>
    </row>
    <row r="3090" spans="7:27" x14ac:dyDescent="0.2">
      <c r="G3090" s="21"/>
      <c r="H3090" s="21"/>
      <c r="N3090" s="21"/>
      <c r="O3090" s="21"/>
      <c r="T3090" s="21"/>
      <c r="AA3090" s="21"/>
    </row>
    <row r="3091" spans="7:27" x14ac:dyDescent="0.2">
      <c r="G3091" s="21"/>
      <c r="H3091" s="21"/>
      <c r="N3091" s="21"/>
      <c r="O3091" s="21"/>
      <c r="T3091" s="21"/>
      <c r="AA3091" s="21"/>
    </row>
    <row r="3092" spans="7:27" x14ac:dyDescent="0.2">
      <c r="G3092" s="21"/>
      <c r="H3092" s="21"/>
      <c r="N3092" s="21"/>
      <c r="O3092" s="21"/>
      <c r="T3092" s="21"/>
      <c r="AA3092" s="21"/>
    </row>
    <row r="3093" spans="7:27" x14ac:dyDescent="0.2">
      <c r="G3093" s="21"/>
      <c r="H3093" s="21"/>
      <c r="N3093" s="21"/>
      <c r="O3093" s="21"/>
      <c r="T3093" s="21"/>
      <c r="AA3093" s="21"/>
    </row>
    <row r="3094" spans="7:27" x14ac:dyDescent="0.2">
      <c r="G3094" s="21"/>
      <c r="H3094" s="21"/>
      <c r="N3094" s="21"/>
      <c r="O3094" s="21"/>
      <c r="T3094" s="21"/>
      <c r="AA3094" s="21"/>
    </row>
    <row r="3095" spans="7:27" x14ac:dyDescent="0.2">
      <c r="G3095" s="21"/>
      <c r="H3095" s="21"/>
      <c r="N3095" s="21"/>
      <c r="O3095" s="21"/>
      <c r="T3095" s="21"/>
      <c r="AA3095" s="21"/>
    </row>
    <row r="3096" spans="7:27" x14ac:dyDescent="0.2">
      <c r="G3096" s="21"/>
      <c r="H3096" s="21"/>
      <c r="N3096" s="21"/>
      <c r="O3096" s="21"/>
      <c r="T3096" s="21"/>
      <c r="AA3096" s="21"/>
    </row>
    <row r="3097" spans="7:27" x14ac:dyDescent="0.2">
      <c r="G3097" s="21"/>
      <c r="H3097" s="21"/>
      <c r="N3097" s="21"/>
      <c r="O3097" s="21"/>
      <c r="T3097" s="21"/>
      <c r="AA3097" s="21"/>
    </row>
    <row r="3098" spans="7:27" x14ac:dyDescent="0.2">
      <c r="G3098" s="21"/>
      <c r="H3098" s="21"/>
      <c r="N3098" s="21"/>
      <c r="O3098" s="21"/>
      <c r="T3098" s="21"/>
      <c r="AA3098" s="21"/>
    </row>
    <row r="3099" spans="7:27" x14ac:dyDescent="0.2">
      <c r="G3099" s="21"/>
      <c r="H3099" s="21"/>
      <c r="N3099" s="21"/>
      <c r="O3099" s="21"/>
      <c r="T3099" s="21"/>
      <c r="AA3099" s="21"/>
    </row>
    <row r="3100" spans="7:27" x14ac:dyDescent="0.2">
      <c r="G3100" s="21"/>
      <c r="H3100" s="21"/>
      <c r="N3100" s="21"/>
      <c r="O3100" s="21"/>
      <c r="T3100" s="21"/>
      <c r="AA3100" s="21"/>
    </row>
    <row r="3101" spans="7:27" x14ac:dyDescent="0.2">
      <c r="G3101" s="21"/>
      <c r="H3101" s="21"/>
      <c r="N3101" s="21"/>
      <c r="O3101" s="21"/>
      <c r="T3101" s="21"/>
      <c r="AA3101" s="21"/>
    </row>
    <row r="3102" spans="7:27" x14ac:dyDescent="0.2">
      <c r="G3102" s="21"/>
      <c r="H3102" s="21"/>
      <c r="N3102" s="21"/>
      <c r="O3102" s="21"/>
      <c r="T3102" s="21"/>
      <c r="AA3102" s="21"/>
    </row>
    <row r="3103" spans="7:27" x14ac:dyDescent="0.2">
      <c r="G3103" s="21"/>
      <c r="H3103" s="21"/>
      <c r="N3103" s="21"/>
      <c r="O3103" s="21"/>
      <c r="T3103" s="21"/>
      <c r="AA3103" s="21"/>
    </row>
    <row r="3104" spans="7:27" x14ac:dyDescent="0.2">
      <c r="G3104" s="21"/>
      <c r="H3104" s="21"/>
      <c r="N3104" s="21"/>
      <c r="O3104" s="21"/>
      <c r="T3104" s="21"/>
      <c r="AA3104" s="21"/>
    </row>
    <row r="3105" spans="7:27" x14ac:dyDescent="0.2">
      <c r="G3105" s="21"/>
      <c r="H3105" s="21"/>
      <c r="N3105" s="21"/>
      <c r="O3105" s="21"/>
      <c r="T3105" s="21"/>
      <c r="AA3105" s="21"/>
    </row>
    <row r="3106" spans="7:27" x14ac:dyDescent="0.2">
      <c r="G3106" s="21"/>
      <c r="H3106" s="21"/>
      <c r="N3106" s="21"/>
      <c r="O3106" s="21"/>
      <c r="T3106" s="21"/>
      <c r="AA3106" s="21"/>
    </row>
    <row r="3107" spans="7:27" x14ac:dyDescent="0.2">
      <c r="G3107" s="21"/>
      <c r="H3107" s="21"/>
      <c r="N3107" s="21"/>
      <c r="O3107" s="21"/>
      <c r="T3107" s="21"/>
      <c r="AA3107" s="21"/>
    </row>
    <row r="3108" spans="7:27" x14ac:dyDescent="0.2">
      <c r="G3108" s="21"/>
      <c r="H3108" s="21"/>
      <c r="N3108" s="21"/>
      <c r="O3108" s="21"/>
      <c r="T3108" s="21"/>
      <c r="AA3108" s="21"/>
    </row>
    <row r="3109" spans="7:27" x14ac:dyDescent="0.2">
      <c r="G3109" s="21"/>
      <c r="H3109" s="21"/>
      <c r="N3109" s="21"/>
      <c r="O3109" s="21"/>
      <c r="T3109" s="21"/>
      <c r="AA3109" s="21"/>
    </row>
    <row r="3110" spans="7:27" x14ac:dyDescent="0.2">
      <c r="G3110" s="21"/>
      <c r="H3110" s="21"/>
      <c r="N3110" s="21"/>
      <c r="O3110" s="21"/>
      <c r="T3110" s="21"/>
      <c r="AA3110" s="21"/>
    </row>
    <row r="3111" spans="7:27" x14ac:dyDescent="0.2">
      <c r="G3111" s="21"/>
      <c r="H3111" s="21"/>
      <c r="N3111" s="21"/>
      <c r="O3111" s="21"/>
      <c r="T3111" s="21"/>
      <c r="AA3111" s="21"/>
    </row>
    <row r="3112" spans="7:27" x14ac:dyDescent="0.2">
      <c r="G3112" s="21"/>
      <c r="H3112" s="21"/>
      <c r="N3112" s="21"/>
      <c r="O3112" s="21"/>
      <c r="T3112" s="21"/>
      <c r="AA3112" s="21"/>
    </row>
    <row r="3113" spans="7:27" x14ac:dyDescent="0.2">
      <c r="G3113" s="21"/>
      <c r="H3113" s="21"/>
      <c r="N3113" s="21"/>
      <c r="O3113" s="21"/>
      <c r="T3113" s="21"/>
      <c r="AA3113" s="21"/>
    </row>
    <row r="3114" spans="7:27" x14ac:dyDescent="0.2">
      <c r="G3114" s="21"/>
      <c r="H3114" s="21"/>
      <c r="N3114" s="21"/>
      <c r="O3114" s="21"/>
      <c r="T3114" s="21"/>
      <c r="AA3114" s="21"/>
    </row>
    <row r="3115" spans="7:27" x14ac:dyDescent="0.2">
      <c r="G3115" s="21"/>
      <c r="H3115" s="21"/>
      <c r="N3115" s="21"/>
      <c r="O3115" s="21"/>
      <c r="T3115" s="21"/>
      <c r="AA3115" s="21"/>
    </row>
    <row r="3116" spans="7:27" x14ac:dyDescent="0.2">
      <c r="G3116" s="21"/>
      <c r="H3116" s="21"/>
      <c r="N3116" s="21"/>
      <c r="O3116" s="21"/>
      <c r="T3116" s="21"/>
      <c r="AA3116" s="21"/>
    </row>
    <row r="3117" spans="7:27" x14ac:dyDescent="0.2">
      <c r="G3117" s="21"/>
      <c r="H3117" s="21"/>
      <c r="N3117" s="21"/>
      <c r="O3117" s="21"/>
      <c r="T3117" s="21"/>
      <c r="AA3117" s="21"/>
    </row>
    <row r="3118" spans="7:27" x14ac:dyDescent="0.2">
      <c r="G3118" s="21"/>
      <c r="H3118" s="21"/>
      <c r="N3118" s="21"/>
      <c r="O3118" s="21"/>
      <c r="T3118" s="21"/>
      <c r="AA3118" s="21"/>
    </row>
    <row r="3119" spans="7:27" x14ac:dyDescent="0.2">
      <c r="G3119" s="21"/>
      <c r="H3119" s="21"/>
      <c r="N3119" s="21"/>
      <c r="O3119" s="21"/>
      <c r="T3119" s="21"/>
      <c r="AA3119" s="21"/>
    </row>
    <row r="3120" spans="7:27" x14ac:dyDescent="0.2">
      <c r="G3120" s="21"/>
      <c r="H3120" s="21"/>
      <c r="N3120" s="21"/>
      <c r="O3120" s="21"/>
      <c r="T3120" s="21"/>
      <c r="AA3120" s="21"/>
    </row>
    <row r="3121" spans="7:27" x14ac:dyDescent="0.2">
      <c r="G3121" s="21"/>
      <c r="H3121" s="21"/>
      <c r="N3121" s="21"/>
      <c r="O3121" s="21"/>
      <c r="T3121" s="21"/>
      <c r="AA3121" s="21"/>
    </row>
    <row r="3122" spans="7:27" x14ac:dyDescent="0.2">
      <c r="G3122" s="21"/>
      <c r="H3122" s="21"/>
      <c r="N3122" s="21"/>
      <c r="O3122" s="21"/>
      <c r="T3122" s="21"/>
      <c r="AA3122" s="21"/>
    </row>
    <row r="3123" spans="7:27" x14ac:dyDescent="0.2">
      <c r="G3123" s="21"/>
      <c r="H3123" s="21"/>
      <c r="N3123" s="21"/>
      <c r="O3123" s="21"/>
      <c r="T3123" s="21"/>
      <c r="AA3123" s="21"/>
    </row>
    <row r="3124" spans="7:27" x14ac:dyDescent="0.2">
      <c r="G3124" s="21"/>
      <c r="H3124" s="21"/>
      <c r="N3124" s="21"/>
      <c r="O3124" s="21"/>
      <c r="T3124" s="21"/>
      <c r="AA3124" s="21"/>
    </row>
    <row r="3125" spans="7:27" x14ac:dyDescent="0.2">
      <c r="G3125" s="21"/>
      <c r="H3125" s="21"/>
      <c r="N3125" s="21"/>
      <c r="O3125" s="21"/>
      <c r="T3125" s="21"/>
      <c r="AA3125" s="21"/>
    </row>
    <row r="3126" spans="7:27" x14ac:dyDescent="0.2">
      <c r="G3126" s="21"/>
      <c r="H3126" s="21"/>
      <c r="N3126" s="21"/>
      <c r="O3126" s="21"/>
      <c r="T3126" s="21"/>
      <c r="AA3126" s="21"/>
    </row>
    <row r="3127" spans="7:27" x14ac:dyDescent="0.2">
      <c r="G3127" s="21"/>
      <c r="H3127" s="21"/>
      <c r="N3127" s="21"/>
      <c r="O3127" s="21"/>
      <c r="T3127" s="21"/>
      <c r="AA3127" s="21"/>
    </row>
    <row r="3128" spans="7:27" x14ac:dyDescent="0.2">
      <c r="G3128" s="21"/>
      <c r="H3128" s="21"/>
      <c r="N3128" s="21"/>
      <c r="O3128" s="21"/>
      <c r="T3128" s="21"/>
      <c r="AA3128" s="21"/>
    </row>
    <row r="3129" spans="7:27" x14ac:dyDescent="0.2">
      <c r="G3129" s="21"/>
      <c r="H3129" s="21"/>
      <c r="N3129" s="21"/>
      <c r="O3129" s="21"/>
      <c r="T3129" s="21"/>
      <c r="AA3129" s="21"/>
    </row>
    <row r="3130" spans="7:27" x14ac:dyDescent="0.2">
      <c r="G3130" s="21"/>
      <c r="H3130" s="21"/>
      <c r="N3130" s="21"/>
      <c r="O3130" s="21"/>
      <c r="T3130" s="21"/>
      <c r="AA3130" s="21"/>
    </row>
    <row r="3131" spans="7:27" x14ac:dyDescent="0.2">
      <c r="G3131" s="21"/>
      <c r="H3131" s="21"/>
      <c r="N3131" s="21"/>
      <c r="O3131" s="21"/>
      <c r="T3131" s="21"/>
      <c r="AA3131" s="21"/>
    </row>
    <row r="3132" spans="7:27" x14ac:dyDescent="0.2">
      <c r="G3132" s="21"/>
      <c r="H3132" s="21"/>
      <c r="N3132" s="21"/>
      <c r="O3132" s="21"/>
      <c r="T3132" s="21"/>
      <c r="AA3132" s="21"/>
    </row>
    <row r="3133" spans="7:27" x14ac:dyDescent="0.2">
      <c r="G3133" s="21"/>
      <c r="H3133" s="21"/>
      <c r="N3133" s="21"/>
      <c r="O3133" s="21"/>
      <c r="T3133" s="21"/>
      <c r="AA3133" s="21"/>
    </row>
    <row r="3134" spans="7:27" x14ac:dyDescent="0.2">
      <c r="G3134" s="21"/>
      <c r="H3134" s="21"/>
      <c r="N3134" s="21"/>
      <c r="O3134" s="21"/>
      <c r="T3134" s="21"/>
      <c r="AA3134" s="21"/>
    </row>
    <row r="3135" spans="7:27" x14ac:dyDescent="0.2">
      <c r="G3135" s="21"/>
      <c r="H3135" s="21"/>
      <c r="N3135" s="21"/>
      <c r="O3135" s="21"/>
      <c r="T3135" s="21"/>
      <c r="AA3135" s="21"/>
    </row>
    <row r="3136" spans="7:27" x14ac:dyDescent="0.2">
      <c r="G3136" s="21"/>
      <c r="H3136" s="21"/>
      <c r="N3136" s="21"/>
      <c r="O3136" s="21"/>
      <c r="T3136" s="21"/>
      <c r="AA3136" s="21"/>
    </row>
    <row r="3137" spans="7:27" x14ac:dyDescent="0.2">
      <c r="G3137" s="21"/>
      <c r="H3137" s="21"/>
      <c r="N3137" s="21"/>
      <c r="O3137" s="21"/>
      <c r="T3137" s="21"/>
      <c r="AA3137" s="21"/>
    </row>
    <row r="3138" spans="7:27" x14ac:dyDescent="0.2">
      <c r="G3138" s="21"/>
      <c r="H3138" s="21"/>
      <c r="N3138" s="21"/>
      <c r="O3138" s="21"/>
      <c r="T3138" s="21"/>
      <c r="AA3138" s="21"/>
    </row>
    <row r="3139" spans="7:27" x14ac:dyDescent="0.2">
      <c r="G3139" s="21"/>
      <c r="H3139" s="21"/>
      <c r="N3139" s="21"/>
      <c r="O3139" s="21"/>
      <c r="T3139" s="21"/>
      <c r="AA3139" s="21"/>
    </row>
    <row r="3140" spans="7:27" x14ac:dyDescent="0.2">
      <c r="G3140" s="21"/>
      <c r="H3140" s="21"/>
      <c r="N3140" s="21"/>
      <c r="O3140" s="21"/>
      <c r="T3140" s="21"/>
      <c r="AA3140" s="21"/>
    </row>
    <row r="3141" spans="7:27" x14ac:dyDescent="0.2">
      <c r="G3141" s="21"/>
      <c r="H3141" s="21"/>
      <c r="N3141" s="21"/>
      <c r="O3141" s="21"/>
      <c r="T3141" s="21"/>
      <c r="AA3141" s="21"/>
    </row>
    <row r="3142" spans="7:27" x14ac:dyDescent="0.2">
      <c r="G3142" s="21"/>
      <c r="H3142" s="21"/>
      <c r="N3142" s="21"/>
      <c r="O3142" s="21"/>
      <c r="T3142" s="21"/>
      <c r="AA3142" s="21"/>
    </row>
    <row r="3143" spans="7:27" x14ac:dyDescent="0.2">
      <c r="G3143" s="21"/>
      <c r="H3143" s="21"/>
      <c r="N3143" s="21"/>
      <c r="O3143" s="21"/>
      <c r="T3143" s="21"/>
      <c r="AA3143" s="21"/>
    </row>
    <row r="3144" spans="7:27" x14ac:dyDescent="0.2">
      <c r="G3144" s="21"/>
      <c r="H3144" s="21"/>
      <c r="N3144" s="21"/>
      <c r="O3144" s="21"/>
      <c r="T3144" s="21"/>
      <c r="AA3144" s="21"/>
    </row>
    <row r="3145" spans="7:27" x14ac:dyDescent="0.2">
      <c r="G3145" s="21"/>
      <c r="H3145" s="21"/>
      <c r="N3145" s="21"/>
      <c r="O3145" s="21"/>
      <c r="T3145" s="21"/>
      <c r="AA3145" s="21"/>
    </row>
    <row r="3146" spans="7:27" x14ac:dyDescent="0.2">
      <c r="G3146" s="21"/>
      <c r="H3146" s="21"/>
      <c r="N3146" s="21"/>
      <c r="O3146" s="21"/>
      <c r="T3146" s="21"/>
      <c r="AA3146" s="21"/>
    </row>
    <row r="3147" spans="7:27" x14ac:dyDescent="0.2">
      <c r="G3147" s="21"/>
      <c r="H3147" s="21"/>
      <c r="N3147" s="21"/>
      <c r="O3147" s="21"/>
      <c r="T3147" s="21"/>
      <c r="AA3147" s="21"/>
    </row>
    <row r="3148" spans="7:27" x14ac:dyDescent="0.2">
      <c r="G3148" s="21"/>
      <c r="H3148" s="21"/>
      <c r="N3148" s="21"/>
      <c r="O3148" s="21"/>
      <c r="T3148" s="21"/>
      <c r="AA3148" s="21"/>
    </row>
    <row r="3149" spans="7:27" x14ac:dyDescent="0.2">
      <c r="G3149" s="21"/>
      <c r="H3149" s="21"/>
      <c r="N3149" s="21"/>
      <c r="O3149" s="21"/>
      <c r="T3149" s="21"/>
      <c r="AA3149" s="21"/>
    </row>
    <row r="3150" spans="7:27" x14ac:dyDescent="0.2">
      <c r="G3150" s="21"/>
      <c r="H3150" s="21"/>
      <c r="N3150" s="21"/>
      <c r="O3150" s="21"/>
      <c r="T3150" s="21"/>
      <c r="AA3150" s="21"/>
    </row>
    <row r="3151" spans="7:27" x14ac:dyDescent="0.2">
      <c r="G3151" s="21"/>
      <c r="H3151" s="21"/>
      <c r="N3151" s="21"/>
      <c r="O3151" s="21"/>
      <c r="T3151" s="21"/>
      <c r="AA3151" s="21"/>
    </row>
    <row r="3152" spans="7:27" x14ac:dyDescent="0.2">
      <c r="G3152" s="21"/>
      <c r="H3152" s="21"/>
      <c r="N3152" s="21"/>
      <c r="O3152" s="21"/>
      <c r="T3152" s="21"/>
      <c r="AA3152" s="21"/>
    </row>
    <row r="3153" spans="7:27" x14ac:dyDescent="0.2">
      <c r="G3153" s="21"/>
      <c r="H3153" s="21"/>
      <c r="N3153" s="21"/>
      <c r="O3153" s="21"/>
      <c r="T3153" s="21"/>
      <c r="AA3153" s="21"/>
    </row>
    <row r="3154" spans="7:27" x14ac:dyDescent="0.2">
      <c r="G3154" s="21"/>
      <c r="H3154" s="21"/>
      <c r="N3154" s="21"/>
      <c r="O3154" s="21"/>
      <c r="T3154" s="21"/>
      <c r="AA3154" s="21"/>
    </row>
    <row r="3155" spans="7:27" x14ac:dyDescent="0.2">
      <c r="G3155" s="21"/>
      <c r="H3155" s="21"/>
      <c r="N3155" s="21"/>
      <c r="O3155" s="21"/>
      <c r="T3155" s="21"/>
      <c r="AA3155" s="21"/>
    </row>
    <row r="3156" spans="7:27" x14ac:dyDescent="0.2">
      <c r="G3156" s="21"/>
      <c r="H3156" s="21"/>
      <c r="N3156" s="21"/>
      <c r="O3156" s="21"/>
      <c r="T3156" s="21"/>
      <c r="AA3156" s="21"/>
    </row>
    <row r="3157" spans="7:27" x14ac:dyDescent="0.2">
      <c r="G3157" s="21"/>
      <c r="H3157" s="21"/>
      <c r="N3157" s="21"/>
      <c r="O3157" s="21"/>
      <c r="T3157" s="21"/>
      <c r="AA3157" s="21"/>
    </row>
    <row r="3158" spans="7:27" x14ac:dyDescent="0.2">
      <c r="G3158" s="21"/>
      <c r="H3158" s="21"/>
      <c r="N3158" s="21"/>
      <c r="O3158" s="21"/>
      <c r="T3158" s="21"/>
      <c r="AA3158" s="21"/>
    </row>
    <row r="3159" spans="7:27" x14ac:dyDescent="0.2">
      <c r="G3159" s="21"/>
      <c r="H3159" s="21"/>
      <c r="N3159" s="21"/>
      <c r="O3159" s="21"/>
      <c r="T3159" s="21"/>
      <c r="AA3159" s="21"/>
    </row>
    <row r="3160" spans="7:27" x14ac:dyDescent="0.2">
      <c r="G3160" s="21"/>
      <c r="H3160" s="21"/>
      <c r="N3160" s="21"/>
      <c r="O3160" s="21"/>
      <c r="T3160" s="21"/>
      <c r="AA3160" s="21"/>
    </row>
    <row r="3161" spans="7:27" x14ac:dyDescent="0.2">
      <c r="G3161" s="21"/>
      <c r="H3161" s="21"/>
      <c r="N3161" s="21"/>
      <c r="O3161" s="21"/>
      <c r="T3161" s="21"/>
      <c r="AA3161" s="21"/>
    </row>
    <row r="3162" spans="7:27" x14ac:dyDescent="0.2">
      <c r="G3162" s="21"/>
      <c r="H3162" s="21"/>
      <c r="N3162" s="21"/>
      <c r="O3162" s="21"/>
      <c r="T3162" s="21"/>
      <c r="AA3162" s="21"/>
    </row>
    <row r="3163" spans="7:27" x14ac:dyDescent="0.2">
      <c r="G3163" s="21"/>
      <c r="H3163" s="21"/>
      <c r="N3163" s="21"/>
      <c r="O3163" s="21"/>
      <c r="T3163" s="21"/>
      <c r="AA3163" s="21"/>
    </row>
    <row r="3164" spans="7:27" x14ac:dyDescent="0.2">
      <c r="G3164" s="21"/>
      <c r="H3164" s="21"/>
      <c r="N3164" s="21"/>
      <c r="O3164" s="21"/>
      <c r="T3164" s="21"/>
      <c r="AA3164" s="21"/>
    </row>
    <row r="3165" spans="7:27" x14ac:dyDescent="0.2">
      <c r="G3165" s="21"/>
      <c r="H3165" s="21"/>
      <c r="N3165" s="21"/>
      <c r="O3165" s="21"/>
      <c r="T3165" s="21"/>
      <c r="AA3165" s="21"/>
    </row>
    <row r="3166" spans="7:27" x14ac:dyDescent="0.2">
      <c r="G3166" s="21"/>
      <c r="H3166" s="21"/>
      <c r="N3166" s="21"/>
      <c r="O3166" s="21"/>
      <c r="T3166" s="21"/>
      <c r="AA3166" s="21"/>
    </row>
    <row r="3167" spans="7:27" x14ac:dyDescent="0.2">
      <c r="G3167" s="21"/>
      <c r="H3167" s="21"/>
      <c r="N3167" s="21"/>
      <c r="O3167" s="21"/>
      <c r="T3167" s="21"/>
      <c r="AA3167" s="21"/>
    </row>
    <row r="3168" spans="7:27" x14ac:dyDescent="0.2">
      <c r="G3168" s="21"/>
      <c r="H3168" s="21"/>
      <c r="N3168" s="21"/>
      <c r="O3168" s="21"/>
      <c r="T3168" s="21"/>
      <c r="AA3168" s="21"/>
    </row>
    <row r="3169" spans="7:27" x14ac:dyDescent="0.2">
      <c r="G3169" s="21"/>
      <c r="H3169" s="21"/>
      <c r="N3169" s="21"/>
      <c r="O3169" s="21"/>
      <c r="T3169" s="21"/>
      <c r="AA3169" s="21"/>
    </row>
    <row r="3170" spans="7:27" x14ac:dyDescent="0.2">
      <c r="G3170" s="21"/>
      <c r="H3170" s="21"/>
      <c r="N3170" s="21"/>
      <c r="O3170" s="21"/>
      <c r="T3170" s="21"/>
      <c r="AA3170" s="21"/>
    </row>
    <row r="3171" spans="7:27" x14ac:dyDescent="0.2">
      <c r="G3171" s="21"/>
      <c r="H3171" s="21"/>
      <c r="N3171" s="21"/>
      <c r="O3171" s="21"/>
      <c r="T3171" s="21"/>
      <c r="AA3171" s="21"/>
    </row>
    <row r="3172" spans="7:27" x14ac:dyDescent="0.2">
      <c r="G3172" s="21"/>
      <c r="H3172" s="21"/>
      <c r="N3172" s="21"/>
      <c r="O3172" s="21"/>
      <c r="T3172" s="21"/>
      <c r="AA3172" s="21"/>
    </row>
    <row r="3173" spans="7:27" x14ac:dyDescent="0.2">
      <c r="G3173" s="21"/>
      <c r="H3173" s="21"/>
      <c r="N3173" s="21"/>
      <c r="O3173" s="21"/>
      <c r="T3173" s="21"/>
      <c r="AA3173" s="21"/>
    </row>
    <row r="3174" spans="7:27" x14ac:dyDescent="0.2">
      <c r="G3174" s="21"/>
      <c r="H3174" s="21"/>
      <c r="N3174" s="21"/>
      <c r="O3174" s="21"/>
      <c r="T3174" s="21"/>
      <c r="AA3174" s="21"/>
    </row>
    <row r="3175" spans="7:27" x14ac:dyDescent="0.2">
      <c r="G3175" s="21"/>
      <c r="H3175" s="21"/>
      <c r="N3175" s="21"/>
      <c r="O3175" s="21"/>
      <c r="T3175" s="21"/>
      <c r="AA3175" s="21"/>
    </row>
    <row r="3176" spans="7:27" x14ac:dyDescent="0.2">
      <c r="G3176" s="21"/>
      <c r="H3176" s="21"/>
      <c r="N3176" s="21"/>
      <c r="O3176" s="21"/>
      <c r="T3176" s="21"/>
      <c r="AA3176" s="21"/>
    </row>
    <row r="3177" spans="7:27" x14ac:dyDescent="0.2">
      <c r="G3177" s="21"/>
      <c r="H3177" s="21"/>
      <c r="N3177" s="21"/>
      <c r="O3177" s="21"/>
      <c r="T3177" s="21"/>
      <c r="AA3177" s="21"/>
    </row>
    <row r="3178" spans="7:27" x14ac:dyDescent="0.2">
      <c r="G3178" s="21"/>
      <c r="H3178" s="21"/>
      <c r="N3178" s="21"/>
      <c r="O3178" s="21"/>
      <c r="T3178" s="21"/>
      <c r="AA3178" s="21"/>
    </row>
    <row r="3179" spans="7:27" x14ac:dyDescent="0.2">
      <c r="G3179" s="21"/>
      <c r="H3179" s="21"/>
      <c r="N3179" s="21"/>
      <c r="O3179" s="21"/>
      <c r="T3179" s="21"/>
      <c r="AA3179" s="21"/>
    </row>
    <row r="3180" spans="7:27" x14ac:dyDescent="0.2">
      <c r="G3180" s="21"/>
      <c r="H3180" s="21"/>
      <c r="N3180" s="21"/>
      <c r="O3180" s="21"/>
      <c r="T3180" s="21"/>
      <c r="AA3180" s="21"/>
    </row>
    <row r="3181" spans="7:27" x14ac:dyDescent="0.2">
      <c r="G3181" s="21"/>
      <c r="H3181" s="21"/>
      <c r="N3181" s="21"/>
      <c r="O3181" s="21"/>
      <c r="T3181" s="21"/>
      <c r="AA3181" s="21"/>
    </row>
    <row r="3182" spans="7:27" x14ac:dyDescent="0.2">
      <c r="G3182" s="21"/>
      <c r="H3182" s="21"/>
      <c r="N3182" s="21"/>
      <c r="O3182" s="21"/>
      <c r="T3182" s="21"/>
      <c r="AA3182" s="21"/>
    </row>
    <row r="3183" spans="7:27" x14ac:dyDescent="0.2">
      <c r="G3183" s="21"/>
      <c r="H3183" s="21"/>
      <c r="N3183" s="21"/>
      <c r="O3183" s="21"/>
      <c r="T3183" s="21"/>
      <c r="AA3183" s="21"/>
    </row>
    <row r="3184" spans="7:27" x14ac:dyDescent="0.2">
      <c r="G3184" s="21"/>
      <c r="H3184" s="21"/>
      <c r="N3184" s="21"/>
      <c r="O3184" s="21"/>
      <c r="T3184" s="21"/>
      <c r="AA3184" s="21"/>
    </row>
    <row r="3185" spans="7:27" x14ac:dyDescent="0.2">
      <c r="G3185" s="21"/>
      <c r="H3185" s="21"/>
      <c r="N3185" s="21"/>
      <c r="O3185" s="21"/>
      <c r="T3185" s="21"/>
      <c r="AA3185" s="21"/>
    </row>
    <row r="3186" spans="7:27" x14ac:dyDescent="0.2">
      <c r="G3186" s="21"/>
      <c r="H3186" s="21"/>
      <c r="N3186" s="21"/>
      <c r="O3186" s="21"/>
      <c r="T3186" s="21"/>
      <c r="AA3186" s="21"/>
    </row>
    <row r="3187" spans="7:27" x14ac:dyDescent="0.2">
      <c r="G3187" s="21"/>
      <c r="H3187" s="21"/>
      <c r="N3187" s="21"/>
      <c r="O3187" s="21"/>
      <c r="T3187" s="21"/>
      <c r="AA3187" s="21"/>
    </row>
    <row r="3188" spans="7:27" x14ac:dyDescent="0.2">
      <c r="G3188" s="21"/>
      <c r="H3188" s="21"/>
      <c r="N3188" s="21"/>
      <c r="O3188" s="21"/>
      <c r="T3188" s="21"/>
      <c r="AA3188" s="21"/>
    </row>
    <row r="3189" spans="7:27" x14ac:dyDescent="0.2">
      <c r="G3189" s="21"/>
      <c r="H3189" s="21"/>
      <c r="N3189" s="21"/>
      <c r="O3189" s="21"/>
      <c r="T3189" s="21"/>
      <c r="AA3189" s="21"/>
    </row>
    <row r="3190" spans="7:27" x14ac:dyDescent="0.2">
      <c r="G3190" s="21"/>
      <c r="H3190" s="21"/>
      <c r="N3190" s="21"/>
      <c r="O3190" s="21"/>
      <c r="T3190" s="21"/>
      <c r="AA3190" s="21"/>
    </row>
    <row r="3191" spans="7:27" x14ac:dyDescent="0.2">
      <c r="G3191" s="21"/>
      <c r="H3191" s="21"/>
      <c r="N3191" s="21"/>
      <c r="O3191" s="21"/>
      <c r="T3191" s="21"/>
      <c r="AA3191" s="21"/>
    </row>
    <row r="3192" spans="7:27" x14ac:dyDescent="0.2">
      <c r="G3192" s="21"/>
      <c r="H3192" s="21"/>
      <c r="N3192" s="21"/>
      <c r="O3192" s="21"/>
      <c r="T3192" s="21"/>
      <c r="AA3192" s="21"/>
    </row>
    <row r="3193" spans="7:27" x14ac:dyDescent="0.2">
      <c r="G3193" s="21"/>
      <c r="H3193" s="21"/>
      <c r="N3193" s="21"/>
      <c r="O3193" s="21"/>
      <c r="T3193" s="21"/>
      <c r="AA3193" s="21"/>
    </row>
    <row r="3194" spans="7:27" x14ac:dyDescent="0.2">
      <c r="G3194" s="21"/>
      <c r="H3194" s="21"/>
      <c r="N3194" s="21"/>
      <c r="O3194" s="21"/>
      <c r="T3194" s="21"/>
      <c r="AA3194" s="21"/>
    </row>
    <row r="3195" spans="7:27" x14ac:dyDescent="0.2">
      <c r="G3195" s="21"/>
      <c r="H3195" s="21"/>
      <c r="N3195" s="21"/>
      <c r="O3195" s="21"/>
      <c r="T3195" s="21"/>
      <c r="AA3195" s="21"/>
    </row>
    <row r="3196" spans="7:27" x14ac:dyDescent="0.2">
      <c r="G3196" s="21"/>
      <c r="H3196" s="21"/>
      <c r="N3196" s="21"/>
      <c r="O3196" s="21"/>
      <c r="T3196" s="21"/>
      <c r="AA3196" s="21"/>
    </row>
    <row r="3197" spans="7:27" x14ac:dyDescent="0.2">
      <c r="G3197" s="21"/>
      <c r="H3197" s="21"/>
      <c r="N3197" s="21"/>
      <c r="O3197" s="21"/>
      <c r="T3197" s="21"/>
      <c r="AA3197" s="21"/>
    </row>
    <row r="3198" spans="7:27" x14ac:dyDescent="0.2">
      <c r="G3198" s="21"/>
      <c r="H3198" s="21"/>
      <c r="N3198" s="21"/>
      <c r="O3198" s="21"/>
      <c r="T3198" s="21"/>
      <c r="AA3198" s="21"/>
    </row>
    <row r="3199" spans="7:27" x14ac:dyDescent="0.2">
      <c r="G3199" s="21"/>
      <c r="H3199" s="21"/>
      <c r="N3199" s="21"/>
      <c r="O3199" s="21"/>
      <c r="T3199" s="21"/>
      <c r="AA3199" s="21"/>
    </row>
    <row r="3200" spans="7:27" x14ac:dyDescent="0.2">
      <c r="G3200" s="21"/>
      <c r="H3200" s="21"/>
      <c r="N3200" s="21"/>
      <c r="O3200" s="21"/>
      <c r="T3200" s="21"/>
      <c r="AA3200" s="21"/>
    </row>
    <row r="3201" spans="7:27" x14ac:dyDescent="0.2">
      <c r="G3201" s="21"/>
      <c r="H3201" s="21"/>
      <c r="N3201" s="21"/>
      <c r="O3201" s="21"/>
      <c r="T3201" s="21"/>
      <c r="AA3201" s="21"/>
    </row>
    <row r="3202" spans="7:27" x14ac:dyDescent="0.2">
      <c r="G3202" s="21"/>
      <c r="H3202" s="21"/>
      <c r="N3202" s="21"/>
      <c r="O3202" s="21"/>
      <c r="T3202" s="21"/>
      <c r="AA3202" s="21"/>
    </row>
    <row r="3203" spans="7:27" x14ac:dyDescent="0.2">
      <c r="G3203" s="21"/>
      <c r="H3203" s="21"/>
      <c r="N3203" s="21"/>
      <c r="O3203" s="21"/>
      <c r="T3203" s="21"/>
      <c r="AA3203" s="21"/>
    </row>
    <row r="3204" spans="7:27" x14ac:dyDescent="0.2">
      <c r="G3204" s="21"/>
      <c r="H3204" s="21"/>
      <c r="N3204" s="21"/>
      <c r="O3204" s="21"/>
      <c r="T3204" s="21"/>
      <c r="AA3204" s="21"/>
    </row>
    <row r="3205" spans="7:27" x14ac:dyDescent="0.2">
      <c r="G3205" s="21"/>
      <c r="H3205" s="21"/>
      <c r="N3205" s="21"/>
      <c r="O3205" s="21"/>
      <c r="T3205" s="21"/>
      <c r="AA3205" s="21"/>
    </row>
    <row r="3206" spans="7:27" x14ac:dyDescent="0.2">
      <c r="G3206" s="21"/>
      <c r="H3206" s="21"/>
      <c r="N3206" s="21"/>
      <c r="O3206" s="21"/>
      <c r="T3206" s="21"/>
      <c r="AA3206" s="21"/>
    </row>
    <row r="3207" spans="7:27" x14ac:dyDescent="0.2">
      <c r="G3207" s="21"/>
      <c r="H3207" s="21"/>
      <c r="N3207" s="21"/>
      <c r="O3207" s="21"/>
      <c r="T3207" s="21"/>
      <c r="AA3207" s="21"/>
    </row>
    <row r="3208" spans="7:27" x14ac:dyDescent="0.2">
      <c r="G3208" s="21"/>
      <c r="H3208" s="21"/>
      <c r="N3208" s="21"/>
      <c r="O3208" s="21"/>
      <c r="T3208" s="21"/>
      <c r="AA3208" s="21"/>
    </row>
    <row r="3209" spans="7:27" x14ac:dyDescent="0.2">
      <c r="G3209" s="21"/>
      <c r="H3209" s="21"/>
      <c r="N3209" s="21"/>
      <c r="O3209" s="21"/>
      <c r="T3209" s="21"/>
      <c r="AA3209" s="21"/>
    </row>
    <row r="3210" spans="7:27" x14ac:dyDescent="0.2">
      <c r="G3210" s="21"/>
      <c r="H3210" s="21"/>
      <c r="N3210" s="21"/>
      <c r="O3210" s="21"/>
      <c r="T3210" s="21"/>
      <c r="AA3210" s="21"/>
    </row>
    <row r="3211" spans="7:27" x14ac:dyDescent="0.2">
      <c r="G3211" s="21"/>
      <c r="H3211" s="21"/>
      <c r="N3211" s="21"/>
      <c r="O3211" s="21"/>
      <c r="T3211" s="21"/>
      <c r="AA3211" s="21"/>
    </row>
    <row r="3212" spans="7:27" x14ac:dyDescent="0.2">
      <c r="G3212" s="21"/>
      <c r="H3212" s="21"/>
      <c r="N3212" s="21"/>
      <c r="O3212" s="21"/>
      <c r="T3212" s="21"/>
      <c r="AA3212" s="21"/>
    </row>
    <row r="3213" spans="7:27" x14ac:dyDescent="0.2">
      <c r="G3213" s="21"/>
      <c r="H3213" s="21"/>
      <c r="N3213" s="21"/>
      <c r="O3213" s="21"/>
      <c r="T3213" s="21"/>
      <c r="AA3213" s="21"/>
    </row>
    <row r="3214" spans="7:27" x14ac:dyDescent="0.2">
      <c r="G3214" s="21"/>
      <c r="H3214" s="21"/>
      <c r="N3214" s="21"/>
      <c r="O3214" s="21"/>
      <c r="T3214" s="21"/>
      <c r="AA3214" s="21"/>
    </row>
    <row r="3215" spans="7:27" x14ac:dyDescent="0.2">
      <c r="G3215" s="21"/>
      <c r="H3215" s="21"/>
      <c r="N3215" s="21"/>
      <c r="O3215" s="21"/>
      <c r="T3215" s="21"/>
      <c r="AA3215" s="21"/>
    </row>
    <row r="3216" spans="7:27" x14ac:dyDescent="0.2">
      <c r="G3216" s="21"/>
      <c r="H3216" s="21"/>
      <c r="N3216" s="21"/>
      <c r="O3216" s="21"/>
      <c r="T3216" s="21"/>
      <c r="AA3216" s="21"/>
    </row>
    <row r="3217" spans="7:27" x14ac:dyDescent="0.2">
      <c r="G3217" s="21"/>
      <c r="H3217" s="21"/>
      <c r="N3217" s="21"/>
      <c r="O3217" s="21"/>
      <c r="T3217" s="21"/>
      <c r="AA3217" s="21"/>
    </row>
    <row r="3218" spans="7:27" x14ac:dyDescent="0.2">
      <c r="G3218" s="21"/>
      <c r="H3218" s="21"/>
      <c r="N3218" s="21"/>
      <c r="O3218" s="21"/>
      <c r="T3218" s="21"/>
      <c r="AA3218" s="21"/>
    </row>
    <row r="3219" spans="7:27" x14ac:dyDescent="0.2">
      <c r="G3219" s="21"/>
      <c r="H3219" s="21"/>
      <c r="N3219" s="21"/>
      <c r="O3219" s="21"/>
      <c r="T3219" s="21"/>
      <c r="AA3219" s="21"/>
    </row>
    <row r="3220" spans="7:27" x14ac:dyDescent="0.2">
      <c r="G3220" s="21"/>
      <c r="H3220" s="21"/>
      <c r="N3220" s="21"/>
      <c r="O3220" s="21"/>
      <c r="T3220" s="21"/>
      <c r="AA3220" s="21"/>
    </row>
    <row r="3221" spans="7:27" x14ac:dyDescent="0.2">
      <c r="G3221" s="21"/>
      <c r="H3221" s="21"/>
      <c r="N3221" s="21"/>
      <c r="O3221" s="21"/>
      <c r="T3221" s="21"/>
      <c r="AA3221" s="21"/>
    </row>
    <row r="3222" spans="7:27" x14ac:dyDescent="0.2">
      <c r="G3222" s="21"/>
      <c r="H3222" s="21"/>
      <c r="N3222" s="21"/>
      <c r="O3222" s="21"/>
      <c r="T3222" s="21"/>
      <c r="AA3222" s="21"/>
    </row>
    <row r="3223" spans="7:27" x14ac:dyDescent="0.2">
      <c r="G3223" s="21"/>
      <c r="H3223" s="21"/>
      <c r="N3223" s="21"/>
      <c r="O3223" s="21"/>
      <c r="T3223" s="21"/>
      <c r="AA3223" s="21"/>
    </row>
    <row r="3224" spans="7:27" x14ac:dyDescent="0.2">
      <c r="G3224" s="21"/>
      <c r="H3224" s="21"/>
      <c r="N3224" s="21"/>
      <c r="O3224" s="21"/>
      <c r="T3224" s="21"/>
      <c r="AA3224" s="21"/>
    </row>
    <row r="3225" spans="7:27" x14ac:dyDescent="0.2">
      <c r="G3225" s="21"/>
      <c r="H3225" s="21"/>
      <c r="N3225" s="21"/>
      <c r="O3225" s="21"/>
      <c r="T3225" s="21"/>
      <c r="AA3225" s="21"/>
    </row>
    <row r="3226" spans="7:27" x14ac:dyDescent="0.2">
      <c r="G3226" s="21"/>
      <c r="H3226" s="21"/>
      <c r="N3226" s="21"/>
      <c r="O3226" s="21"/>
      <c r="T3226" s="21"/>
      <c r="AA3226" s="21"/>
    </row>
    <row r="3227" spans="7:27" x14ac:dyDescent="0.2">
      <c r="G3227" s="21"/>
      <c r="H3227" s="21"/>
      <c r="N3227" s="21"/>
      <c r="O3227" s="21"/>
      <c r="T3227" s="21"/>
      <c r="AA3227" s="21"/>
    </row>
    <row r="3228" spans="7:27" x14ac:dyDescent="0.2">
      <c r="G3228" s="21"/>
      <c r="H3228" s="21"/>
      <c r="N3228" s="21"/>
      <c r="O3228" s="21"/>
      <c r="T3228" s="21"/>
      <c r="AA3228" s="21"/>
    </row>
    <row r="3229" spans="7:27" x14ac:dyDescent="0.2">
      <c r="G3229" s="21"/>
      <c r="H3229" s="21"/>
      <c r="N3229" s="21"/>
      <c r="O3229" s="21"/>
      <c r="T3229" s="21"/>
      <c r="AA3229" s="21"/>
    </row>
    <row r="3230" spans="7:27" x14ac:dyDescent="0.2">
      <c r="G3230" s="21"/>
      <c r="H3230" s="21"/>
      <c r="N3230" s="21"/>
      <c r="O3230" s="21"/>
      <c r="T3230" s="21"/>
      <c r="AA3230" s="21"/>
    </row>
    <row r="3231" spans="7:27" x14ac:dyDescent="0.2">
      <c r="G3231" s="21"/>
      <c r="H3231" s="21"/>
      <c r="N3231" s="21"/>
      <c r="O3231" s="21"/>
      <c r="T3231" s="21"/>
      <c r="AA3231" s="21"/>
    </row>
    <row r="3232" spans="7:27" x14ac:dyDescent="0.2">
      <c r="G3232" s="21"/>
      <c r="H3232" s="21"/>
      <c r="N3232" s="21"/>
      <c r="O3232" s="21"/>
      <c r="T3232" s="21"/>
      <c r="AA3232" s="21"/>
    </row>
    <row r="3233" spans="7:27" x14ac:dyDescent="0.2">
      <c r="G3233" s="21"/>
      <c r="H3233" s="21"/>
      <c r="N3233" s="21"/>
      <c r="O3233" s="21"/>
      <c r="T3233" s="21"/>
      <c r="AA3233" s="21"/>
    </row>
    <row r="3234" spans="7:27" x14ac:dyDescent="0.2">
      <c r="G3234" s="21"/>
      <c r="H3234" s="21"/>
      <c r="N3234" s="21"/>
      <c r="O3234" s="21"/>
      <c r="T3234" s="21"/>
      <c r="AA3234" s="21"/>
    </row>
    <row r="3235" spans="7:27" x14ac:dyDescent="0.2">
      <c r="G3235" s="21"/>
      <c r="H3235" s="21"/>
      <c r="N3235" s="21"/>
      <c r="O3235" s="21"/>
      <c r="T3235" s="21"/>
      <c r="AA3235" s="21"/>
    </row>
    <row r="3236" spans="7:27" x14ac:dyDescent="0.2">
      <c r="G3236" s="21"/>
      <c r="H3236" s="21"/>
      <c r="N3236" s="21"/>
      <c r="O3236" s="21"/>
      <c r="T3236" s="21"/>
      <c r="AA3236" s="21"/>
    </row>
    <row r="3237" spans="7:27" x14ac:dyDescent="0.2">
      <c r="G3237" s="21"/>
      <c r="H3237" s="21"/>
      <c r="N3237" s="21"/>
      <c r="O3237" s="21"/>
      <c r="T3237" s="21"/>
      <c r="AA3237" s="21"/>
    </row>
    <row r="3238" spans="7:27" x14ac:dyDescent="0.2">
      <c r="G3238" s="21"/>
      <c r="H3238" s="21"/>
      <c r="N3238" s="21"/>
      <c r="O3238" s="21"/>
      <c r="T3238" s="21"/>
      <c r="AA3238" s="21"/>
    </row>
    <row r="3239" spans="7:27" x14ac:dyDescent="0.2">
      <c r="G3239" s="21"/>
      <c r="H3239" s="21"/>
      <c r="N3239" s="21"/>
      <c r="O3239" s="21"/>
      <c r="T3239" s="21"/>
      <c r="AA3239" s="21"/>
    </row>
    <row r="3240" spans="7:27" x14ac:dyDescent="0.2">
      <c r="G3240" s="21"/>
      <c r="H3240" s="21"/>
      <c r="N3240" s="21"/>
      <c r="O3240" s="21"/>
      <c r="T3240" s="21"/>
      <c r="AA3240" s="21"/>
    </row>
    <row r="3241" spans="7:27" x14ac:dyDescent="0.2">
      <c r="G3241" s="21"/>
      <c r="H3241" s="21"/>
      <c r="N3241" s="21"/>
      <c r="O3241" s="21"/>
      <c r="T3241" s="21"/>
      <c r="AA3241" s="21"/>
    </row>
    <row r="3242" spans="7:27" x14ac:dyDescent="0.2">
      <c r="G3242" s="21"/>
      <c r="H3242" s="21"/>
      <c r="N3242" s="21"/>
      <c r="O3242" s="21"/>
      <c r="T3242" s="21"/>
      <c r="AA3242" s="21"/>
    </row>
    <row r="3243" spans="7:27" x14ac:dyDescent="0.2">
      <c r="G3243" s="21"/>
      <c r="H3243" s="21"/>
      <c r="N3243" s="21"/>
      <c r="O3243" s="21"/>
      <c r="T3243" s="21"/>
      <c r="AA3243" s="21"/>
    </row>
    <row r="3244" spans="7:27" x14ac:dyDescent="0.2">
      <c r="G3244" s="21"/>
      <c r="H3244" s="21"/>
      <c r="N3244" s="21"/>
      <c r="O3244" s="21"/>
      <c r="T3244" s="21"/>
      <c r="AA3244" s="21"/>
    </row>
    <row r="3245" spans="7:27" x14ac:dyDescent="0.2">
      <c r="G3245" s="21"/>
      <c r="H3245" s="21"/>
      <c r="N3245" s="21"/>
      <c r="O3245" s="21"/>
      <c r="T3245" s="21"/>
      <c r="AA3245" s="21"/>
    </row>
    <row r="3246" spans="7:27" x14ac:dyDescent="0.2">
      <c r="G3246" s="21"/>
      <c r="H3246" s="21"/>
      <c r="N3246" s="21"/>
      <c r="O3246" s="21"/>
      <c r="T3246" s="21"/>
      <c r="AA3246" s="21"/>
    </row>
    <row r="3247" spans="7:27" x14ac:dyDescent="0.2">
      <c r="G3247" s="21"/>
      <c r="H3247" s="21"/>
      <c r="N3247" s="21"/>
      <c r="O3247" s="21"/>
      <c r="T3247" s="21"/>
      <c r="AA3247" s="21"/>
    </row>
    <row r="3248" spans="7:27" x14ac:dyDescent="0.2">
      <c r="G3248" s="21"/>
      <c r="H3248" s="21"/>
      <c r="N3248" s="21"/>
      <c r="O3248" s="21"/>
      <c r="T3248" s="21"/>
      <c r="AA3248" s="21"/>
    </row>
    <row r="3249" spans="7:27" x14ac:dyDescent="0.2">
      <c r="G3249" s="21"/>
      <c r="H3249" s="21"/>
      <c r="N3249" s="21"/>
      <c r="O3249" s="21"/>
      <c r="T3249" s="21"/>
      <c r="AA3249" s="21"/>
    </row>
    <row r="3250" spans="7:27" x14ac:dyDescent="0.2">
      <c r="G3250" s="21"/>
      <c r="H3250" s="21"/>
      <c r="N3250" s="21"/>
      <c r="O3250" s="21"/>
      <c r="T3250" s="21"/>
      <c r="AA3250" s="21"/>
    </row>
    <row r="3251" spans="7:27" x14ac:dyDescent="0.2">
      <c r="G3251" s="21"/>
      <c r="H3251" s="21"/>
      <c r="N3251" s="21"/>
      <c r="O3251" s="21"/>
      <c r="T3251" s="21"/>
      <c r="AA3251" s="21"/>
    </row>
    <row r="3252" spans="7:27" x14ac:dyDescent="0.2">
      <c r="G3252" s="21"/>
      <c r="H3252" s="21"/>
      <c r="N3252" s="21"/>
      <c r="O3252" s="21"/>
      <c r="T3252" s="21"/>
      <c r="AA3252" s="21"/>
    </row>
    <row r="3253" spans="7:27" x14ac:dyDescent="0.2">
      <c r="G3253" s="21"/>
      <c r="H3253" s="21"/>
      <c r="N3253" s="21"/>
      <c r="O3253" s="21"/>
      <c r="T3253" s="21"/>
      <c r="AA3253" s="21"/>
    </row>
    <row r="3254" spans="7:27" x14ac:dyDescent="0.2">
      <c r="G3254" s="21"/>
      <c r="H3254" s="21"/>
      <c r="N3254" s="21"/>
      <c r="O3254" s="21"/>
      <c r="T3254" s="21"/>
      <c r="AA3254" s="21"/>
    </row>
    <row r="3255" spans="7:27" x14ac:dyDescent="0.2">
      <c r="G3255" s="21"/>
      <c r="H3255" s="21"/>
      <c r="N3255" s="21"/>
      <c r="O3255" s="21"/>
      <c r="T3255" s="21"/>
      <c r="AA3255" s="21"/>
    </row>
    <row r="3256" spans="7:27" x14ac:dyDescent="0.2">
      <c r="G3256" s="21"/>
      <c r="H3256" s="21"/>
      <c r="N3256" s="21"/>
      <c r="O3256" s="21"/>
      <c r="T3256" s="21"/>
      <c r="AA3256" s="21"/>
    </row>
    <row r="3257" spans="7:27" x14ac:dyDescent="0.2">
      <c r="G3257" s="21"/>
      <c r="H3257" s="21"/>
      <c r="N3257" s="21"/>
      <c r="O3257" s="21"/>
      <c r="T3257" s="21"/>
      <c r="AA3257" s="21"/>
    </row>
    <row r="3258" spans="7:27" x14ac:dyDescent="0.2">
      <c r="G3258" s="21"/>
      <c r="H3258" s="21"/>
      <c r="N3258" s="21"/>
      <c r="O3258" s="21"/>
      <c r="T3258" s="21"/>
      <c r="AA3258" s="21"/>
    </row>
    <row r="3259" spans="7:27" x14ac:dyDescent="0.2">
      <c r="G3259" s="21"/>
      <c r="H3259" s="21"/>
      <c r="N3259" s="21"/>
      <c r="O3259" s="21"/>
      <c r="T3259" s="21"/>
      <c r="AA3259" s="21"/>
    </row>
    <row r="3260" spans="7:27" x14ac:dyDescent="0.2">
      <c r="G3260" s="21"/>
      <c r="H3260" s="21"/>
      <c r="N3260" s="21"/>
      <c r="O3260" s="21"/>
      <c r="T3260" s="21"/>
      <c r="AA3260" s="21"/>
    </row>
    <row r="3261" spans="7:27" x14ac:dyDescent="0.2">
      <c r="G3261" s="21"/>
      <c r="H3261" s="21"/>
      <c r="N3261" s="21"/>
      <c r="O3261" s="21"/>
      <c r="T3261" s="21"/>
      <c r="AA3261" s="21"/>
    </row>
    <row r="3262" spans="7:27" x14ac:dyDescent="0.2">
      <c r="G3262" s="21"/>
      <c r="H3262" s="21"/>
      <c r="N3262" s="21"/>
      <c r="O3262" s="21"/>
      <c r="T3262" s="21"/>
      <c r="AA3262" s="21"/>
    </row>
    <row r="3263" spans="7:27" x14ac:dyDescent="0.2">
      <c r="G3263" s="21"/>
      <c r="H3263" s="21"/>
      <c r="N3263" s="21"/>
      <c r="O3263" s="21"/>
      <c r="T3263" s="21"/>
      <c r="AA3263" s="21"/>
    </row>
    <row r="3264" spans="7:27" x14ac:dyDescent="0.2">
      <c r="G3264" s="21"/>
      <c r="H3264" s="21"/>
      <c r="N3264" s="21"/>
      <c r="O3264" s="21"/>
      <c r="T3264" s="21"/>
      <c r="AA3264" s="21"/>
    </row>
    <row r="3265" spans="7:27" x14ac:dyDescent="0.2">
      <c r="G3265" s="21"/>
      <c r="H3265" s="21"/>
      <c r="N3265" s="21"/>
      <c r="O3265" s="21"/>
      <c r="T3265" s="21"/>
      <c r="AA3265" s="21"/>
    </row>
    <row r="3266" spans="7:27" x14ac:dyDescent="0.2">
      <c r="G3266" s="21"/>
      <c r="H3266" s="21"/>
      <c r="N3266" s="21"/>
      <c r="O3266" s="21"/>
      <c r="T3266" s="21"/>
      <c r="AA3266" s="21"/>
    </row>
    <row r="3267" spans="7:27" x14ac:dyDescent="0.2">
      <c r="G3267" s="21"/>
      <c r="H3267" s="21"/>
      <c r="N3267" s="21"/>
      <c r="O3267" s="21"/>
      <c r="T3267" s="21"/>
      <c r="AA3267" s="21"/>
    </row>
    <row r="3268" spans="7:27" x14ac:dyDescent="0.2">
      <c r="G3268" s="21"/>
      <c r="H3268" s="21"/>
      <c r="N3268" s="21"/>
      <c r="O3268" s="21"/>
      <c r="T3268" s="21"/>
      <c r="AA3268" s="21"/>
    </row>
    <row r="3269" spans="7:27" x14ac:dyDescent="0.2">
      <c r="G3269" s="21"/>
      <c r="H3269" s="21"/>
      <c r="N3269" s="21"/>
      <c r="O3269" s="21"/>
      <c r="T3269" s="21"/>
      <c r="AA3269" s="21"/>
    </row>
    <row r="3270" spans="7:27" x14ac:dyDescent="0.2">
      <c r="G3270" s="21"/>
      <c r="H3270" s="21"/>
      <c r="N3270" s="21"/>
      <c r="O3270" s="21"/>
      <c r="T3270" s="21"/>
      <c r="AA3270" s="21"/>
    </row>
    <row r="3271" spans="7:27" x14ac:dyDescent="0.2">
      <c r="G3271" s="21"/>
      <c r="H3271" s="21"/>
      <c r="N3271" s="21"/>
      <c r="O3271" s="21"/>
      <c r="T3271" s="21"/>
      <c r="AA3271" s="21"/>
    </row>
    <row r="3272" spans="7:27" x14ac:dyDescent="0.2">
      <c r="G3272" s="21"/>
      <c r="H3272" s="21"/>
      <c r="N3272" s="21"/>
      <c r="O3272" s="21"/>
      <c r="T3272" s="21"/>
      <c r="AA3272" s="21"/>
    </row>
    <row r="3273" spans="7:27" x14ac:dyDescent="0.2">
      <c r="G3273" s="21"/>
      <c r="H3273" s="21"/>
      <c r="N3273" s="21"/>
      <c r="O3273" s="21"/>
      <c r="T3273" s="21"/>
      <c r="AA3273" s="21"/>
    </row>
    <row r="3274" spans="7:27" x14ac:dyDescent="0.2">
      <c r="G3274" s="21"/>
      <c r="H3274" s="21"/>
      <c r="N3274" s="21"/>
      <c r="O3274" s="21"/>
      <c r="T3274" s="21"/>
      <c r="AA3274" s="21"/>
    </row>
    <row r="3275" spans="7:27" x14ac:dyDescent="0.2">
      <c r="G3275" s="21"/>
      <c r="H3275" s="21"/>
      <c r="N3275" s="21"/>
      <c r="O3275" s="21"/>
      <c r="T3275" s="21"/>
      <c r="AA3275" s="21"/>
    </row>
    <row r="3276" spans="7:27" x14ac:dyDescent="0.2">
      <c r="G3276" s="21"/>
      <c r="H3276" s="21"/>
      <c r="N3276" s="21"/>
      <c r="O3276" s="21"/>
      <c r="T3276" s="21"/>
      <c r="AA3276" s="21"/>
    </row>
    <row r="3277" spans="7:27" x14ac:dyDescent="0.2">
      <c r="G3277" s="21"/>
      <c r="H3277" s="21"/>
      <c r="N3277" s="21"/>
      <c r="O3277" s="21"/>
      <c r="T3277" s="21"/>
      <c r="AA3277" s="21"/>
    </row>
    <row r="3278" spans="7:27" x14ac:dyDescent="0.2">
      <c r="G3278" s="21"/>
      <c r="H3278" s="21"/>
      <c r="N3278" s="21"/>
      <c r="O3278" s="21"/>
      <c r="T3278" s="21"/>
      <c r="AA3278" s="21"/>
    </row>
    <row r="3279" spans="7:27" x14ac:dyDescent="0.2">
      <c r="G3279" s="21"/>
      <c r="H3279" s="21"/>
      <c r="N3279" s="21"/>
      <c r="O3279" s="21"/>
      <c r="T3279" s="21"/>
      <c r="AA3279" s="21"/>
    </row>
    <row r="3280" spans="7:27" x14ac:dyDescent="0.2">
      <c r="G3280" s="21"/>
      <c r="H3280" s="21"/>
      <c r="N3280" s="21"/>
      <c r="O3280" s="21"/>
      <c r="T3280" s="21"/>
      <c r="AA3280" s="21"/>
    </row>
    <row r="3281" spans="7:27" x14ac:dyDescent="0.2">
      <c r="G3281" s="21"/>
      <c r="H3281" s="21"/>
      <c r="N3281" s="21"/>
      <c r="O3281" s="21"/>
      <c r="T3281" s="21"/>
      <c r="AA3281" s="21"/>
    </row>
    <row r="3282" spans="7:27" x14ac:dyDescent="0.2">
      <c r="G3282" s="21"/>
      <c r="H3282" s="21"/>
      <c r="N3282" s="21"/>
      <c r="O3282" s="21"/>
      <c r="T3282" s="21"/>
      <c r="AA3282" s="21"/>
    </row>
    <row r="3283" spans="7:27" x14ac:dyDescent="0.2">
      <c r="G3283" s="21"/>
      <c r="H3283" s="21"/>
      <c r="N3283" s="21"/>
      <c r="O3283" s="21"/>
      <c r="T3283" s="21"/>
      <c r="AA3283" s="21"/>
    </row>
    <row r="3284" spans="7:27" x14ac:dyDescent="0.2">
      <c r="G3284" s="21"/>
      <c r="H3284" s="21"/>
      <c r="N3284" s="21"/>
      <c r="O3284" s="21"/>
      <c r="T3284" s="21"/>
      <c r="AA3284" s="21"/>
    </row>
    <row r="3285" spans="7:27" x14ac:dyDescent="0.2">
      <c r="G3285" s="21"/>
      <c r="H3285" s="21"/>
      <c r="N3285" s="21"/>
      <c r="O3285" s="21"/>
      <c r="T3285" s="21"/>
      <c r="AA3285" s="21"/>
    </row>
    <row r="3286" spans="7:27" x14ac:dyDescent="0.2">
      <c r="G3286" s="21"/>
      <c r="H3286" s="21"/>
      <c r="N3286" s="21"/>
      <c r="O3286" s="21"/>
      <c r="T3286" s="21"/>
      <c r="AA3286" s="21"/>
    </row>
    <row r="3287" spans="7:27" x14ac:dyDescent="0.2">
      <c r="G3287" s="21"/>
      <c r="H3287" s="21"/>
      <c r="N3287" s="21"/>
      <c r="O3287" s="21"/>
      <c r="T3287" s="21"/>
      <c r="AA3287" s="21"/>
    </row>
    <row r="3288" spans="7:27" x14ac:dyDescent="0.2">
      <c r="G3288" s="21"/>
      <c r="H3288" s="21"/>
      <c r="N3288" s="21"/>
      <c r="O3288" s="21"/>
      <c r="T3288" s="21"/>
      <c r="AA3288" s="21"/>
    </row>
    <row r="3289" spans="7:27" x14ac:dyDescent="0.2">
      <c r="G3289" s="21"/>
      <c r="H3289" s="21"/>
      <c r="N3289" s="21"/>
      <c r="O3289" s="21"/>
      <c r="T3289" s="21"/>
      <c r="AA3289" s="21"/>
    </row>
    <row r="3290" spans="7:27" x14ac:dyDescent="0.2">
      <c r="G3290" s="21"/>
      <c r="H3290" s="21"/>
      <c r="N3290" s="21"/>
      <c r="O3290" s="21"/>
      <c r="T3290" s="21"/>
      <c r="AA3290" s="21"/>
    </row>
    <row r="3291" spans="7:27" x14ac:dyDescent="0.2">
      <c r="G3291" s="21"/>
      <c r="H3291" s="21"/>
      <c r="N3291" s="21"/>
      <c r="O3291" s="21"/>
      <c r="T3291" s="21"/>
      <c r="AA3291" s="21"/>
    </row>
    <row r="3292" spans="7:27" x14ac:dyDescent="0.2">
      <c r="G3292" s="21"/>
      <c r="H3292" s="21"/>
      <c r="N3292" s="21"/>
      <c r="O3292" s="21"/>
      <c r="T3292" s="21"/>
      <c r="AA3292" s="21"/>
    </row>
    <row r="3293" spans="7:27" x14ac:dyDescent="0.2">
      <c r="G3293" s="21"/>
      <c r="H3293" s="21"/>
      <c r="N3293" s="21"/>
      <c r="O3293" s="21"/>
      <c r="T3293" s="21"/>
      <c r="AA3293" s="21"/>
    </row>
    <row r="3294" spans="7:27" x14ac:dyDescent="0.2">
      <c r="G3294" s="21"/>
      <c r="H3294" s="21"/>
      <c r="N3294" s="21"/>
      <c r="O3294" s="21"/>
      <c r="T3294" s="21"/>
      <c r="AA3294" s="21"/>
    </row>
    <row r="3295" spans="7:27" x14ac:dyDescent="0.2">
      <c r="G3295" s="21"/>
      <c r="H3295" s="21"/>
      <c r="N3295" s="21"/>
      <c r="O3295" s="21"/>
      <c r="T3295" s="21"/>
      <c r="AA3295" s="21"/>
    </row>
    <row r="3296" spans="7:27" x14ac:dyDescent="0.2">
      <c r="G3296" s="21"/>
      <c r="H3296" s="21"/>
      <c r="N3296" s="21"/>
      <c r="O3296" s="21"/>
      <c r="T3296" s="21"/>
      <c r="AA3296" s="21"/>
    </row>
    <row r="3297" spans="7:27" x14ac:dyDescent="0.2">
      <c r="G3297" s="21"/>
      <c r="H3297" s="21"/>
      <c r="N3297" s="21"/>
      <c r="O3297" s="21"/>
      <c r="T3297" s="21"/>
      <c r="AA3297" s="21"/>
    </row>
    <row r="3298" spans="7:27" x14ac:dyDescent="0.2">
      <c r="G3298" s="21"/>
      <c r="H3298" s="21"/>
      <c r="N3298" s="21"/>
      <c r="O3298" s="21"/>
      <c r="T3298" s="21"/>
      <c r="AA3298" s="21"/>
    </row>
    <row r="3299" spans="7:27" x14ac:dyDescent="0.2">
      <c r="G3299" s="21"/>
      <c r="H3299" s="21"/>
      <c r="N3299" s="21"/>
      <c r="O3299" s="21"/>
      <c r="T3299" s="21"/>
      <c r="AA3299" s="21"/>
    </row>
    <row r="3300" spans="7:27" x14ac:dyDescent="0.2">
      <c r="G3300" s="21"/>
      <c r="H3300" s="21"/>
      <c r="N3300" s="21"/>
      <c r="O3300" s="21"/>
      <c r="T3300" s="21"/>
      <c r="AA3300" s="21"/>
    </row>
    <row r="3301" spans="7:27" x14ac:dyDescent="0.2">
      <c r="G3301" s="21"/>
      <c r="H3301" s="21"/>
      <c r="N3301" s="21"/>
      <c r="O3301" s="21"/>
      <c r="T3301" s="21"/>
      <c r="AA3301" s="21"/>
    </row>
    <row r="3302" spans="7:27" x14ac:dyDescent="0.2">
      <c r="G3302" s="21"/>
      <c r="H3302" s="21"/>
      <c r="N3302" s="21"/>
      <c r="O3302" s="21"/>
      <c r="T3302" s="21"/>
      <c r="AA3302" s="21"/>
    </row>
    <row r="3303" spans="7:27" x14ac:dyDescent="0.2">
      <c r="G3303" s="21"/>
      <c r="H3303" s="21"/>
      <c r="N3303" s="21"/>
      <c r="O3303" s="21"/>
      <c r="T3303" s="21"/>
      <c r="AA3303" s="21"/>
    </row>
    <row r="3304" spans="7:27" x14ac:dyDescent="0.2">
      <c r="G3304" s="21"/>
      <c r="H3304" s="21"/>
      <c r="N3304" s="21"/>
      <c r="O3304" s="21"/>
      <c r="T3304" s="21"/>
      <c r="AA3304" s="21"/>
    </row>
    <row r="3305" spans="7:27" x14ac:dyDescent="0.2">
      <c r="G3305" s="21"/>
      <c r="H3305" s="21"/>
      <c r="N3305" s="21"/>
      <c r="O3305" s="21"/>
      <c r="T3305" s="21"/>
      <c r="AA3305" s="21"/>
    </row>
    <row r="3306" spans="7:27" x14ac:dyDescent="0.2">
      <c r="G3306" s="21"/>
      <c r="H3306" s="21"/>
      <c r="N3306" s="21"/>
      <c r="O3306" s="21"/>
      <c r="T3306" s="21"/>
      <c r="AA3306" s="21"/>
    </row>
    <row r="3307" spans="7:27" x14ac:dyDescent="0.2">
      <c r="G3307" s="21"/>
      <c r="H3307" s="21"/>
      <c r="N3307" s="21"/>
      <c r="O3307" s="21"/>
      <c r="T3307" s="21"/>
      <c r="AA3307" s="21"/>
    </row>
    <row r="3308" spans="7:27" x14ac:dyDescent="0.2">
      <c r="G3308" s="21"/>
      <c r="H3308" s="21"/>
      <c r="N3308" s="21"/>
      <c r="O3308" s="21"/>
      <c r="T3308" s="21"/>
      <c r="AA3308" s="21"/>
    </row>
    <row r="3309" spans="7:27" x14ac:dyDescent="0.2">
      <c r="G3309" s="21"/>
      <c r="H3309" s="21"/>
      <c r="N3309" s="21"/>
      <c r="O3309" s="21"/>
      <c r="T3309" s="21"/>
      <c r="AA3309" s="21"/>
    </row>
    <row r="3310" spans="7:27" x14ac:dyDescent="0.2">
      <c r="G3310" s="21"/>
      <c r="H3310" s="21"/>
      <c r="N3310" s="21"/>
      <c r="O3310" s="21"/>
      <c r="T3310" s="21"/>
      <c r="AA3310" s="21"/>
    </row>
    <row r="3311" spans="7:27" x14ac:dyDescent="0.2">
      <c r="G3311" s="21"/>
      <c r="H3311" s="21"/>
      <c r="N3311" s="21"/>
      <c r="O3311" s="21"/>
      <c r="T3311" s="21"/>
      <c r="AA3311" s="21"/>
    </row>
    <row r="3312" spans="7:27" x14ac:dyDescent="0.2">
      <c r="G3312" s="21"/>
      <c r="H3312" s="21"/>
      <c r="N3312" s="21"/>
      <c r="O3312" s="21"/>
      <c r="T3312" s="21"/>
      <c r="AA3312" s="21"/>
    </row>
    <row r="3313" spans="7:27" x14ac:dyDescent="0.2">
      <c r="G3313" s="21"/>
      <c r="H3313" s="21"/>
      <c r="N3313" s="21"/>
      <c r="O3313" s="21"/>
      <c r="T3313" s="21"/>
      <c r="AA3313" s="21"/>
    </row>
    <row r="3314" spans="7:27" x14ac:dyDescent="0.2">
      <c r="G3314" s="21"/>
      <c r="H3314" s="21"/>
      <c r="N3314" s="21"/>
      <c r="O3314" s="21"/>
      <c r="T3314" s="21"/>
      <c r="AA3314" s="21"/>
    </row>
    <row r="3315" spans="7:27" x14ac:dyDescent="0.2">
      <c r="G3315" s="21"/>
      <c r="H3315" s="21"/>
      <c r="N3315" s="21"/>
      <c r="O3315" s="21"/>
      <c r="T3315" s="21"/>
      <c r="AA3315" s="21"/>
    </row>
    <row r="3316" spans="7:27" x14ac:dyDescent="0.2">
      <c r="G3316" s="21"/>
      <c r="H3316" s="21"/>
      <c r="N3316" s="21"/>
      <c r="O3316" s="21"/>
      <c r="T3316" s="21"/>
      <c r="AA3316" s="21"/>
    </row>
    <row r="3317" spans="7:27" x14ac:dyDescent="0.2">
      <c r="G3317" s="21"/>
      <c r="H3317" s="21"/>
      <c r="N3317" s="21"/>
      <c r="O3317" s="21"/>
      <c r="T3317" s="21"/>
      <c r="AA3317" s="21"/>
    </row>
    <row r="3318" spans="7:27" x14ac:dyDescent="0.2">
      <c r="G3318" s="21"/>
      <c r="H3318" s="21"/>
      <c r="N3318" s="21"/>
      <c r="O3318" s="21"/>
      <c r="T3318" s="21"/>
      <c r="AA3318" s="21"/>
    </row>
    <row r="3319" spans="7:27" x14ac:dyDescent="0.2">
      <c r="G3319" s="21"/>
      <c r="H3319" s="21"/>
      <c r="N3319" s="21"/>
      <c r="O3319" s="21"/>
      <c r="T3319" s="21"/>
      <c r="AA3319" s="21"/>
    </row>
    <row r="3320" spans="7:27" x14ac:dyDescent="0.2">
      <c r="G3320" s="21"/>
      <c r="H3320" s="21"/>
      <c r="N3320" s="21"/>
      <c r="O3320" s="21"/>
      <c r="T3320" s="21"/>
      <c r="AA3320" s="21"/>
    </row>
    <row r="3321" spans="7:27" x14ac:dyDescent="0.2">
      <c r="G3321" s="21"/>
      <c r="H3321" s="21"/>
      <c r="N3321" s="21"/>
      <c r="O3321" s="21"/>
      <c r="T3321" s="21"/>
      <c r="AA3321" s="21"/>
    </row>
    <row r="3322" spans="7:27" x14ac:dyDescent="0.2">
      <c r="G3322" s="21"/>
      <c r="H3322" s="21"/>
      <c r="N3322" s="21"/>
      <c r="O3322" s="21"/>
      <c r="T3322" s="21"/>
      <c r="AA3322" s="21"/>
    </row>
    <row r="3323" spans="7:27" x14ac:dyDescent="0.2">
      <c r="G3323" s="21"/>
      <c r="H3323" s="21"/>
      <c r="N3323" s="21"/>
      <c r="O3323" s="21"/>
      <c r="T3323" s="21"/>
      <c r="AA3323" s="21"/>
    </row>
    <row r="3324" spans="7:27" x14ac:dyDescent="0.2">
      <c r="G3324" s="21"/>
      <c r="H3324" s="21"/>
      <c r="N3324" s="21"/>
      <c r="O3324" s="21"/>
      <c r="T3324" s="21"/>
      <c r="AA3324" s="21"/>
    </row>
    <row r="3325" spans="7:27" x14ac:dyDescent="0.2">
      <c r="G3325" s="21"/>
      <c r="H3325" s="21"/>
      <c r="N3325" s="21"/>
      <c r="O3325" s="21"/>
      <c r="T3325" s="21"/>
      <c r="AA3325" s="21"/>
    </row>
    <row r="3326" spans="7:27" x14ac:dyDescent="0.2">
      <c r="G3326" s="21"/>
      <c r="H3326" s="21"/>
      <c r="N3326" s="21"/>
      <c r="O3326" s="21"/>
      <c r="T3326" s="21"/>
      <c r="AA3326" s="21"/>
    </row>
    <row r="3327" spans="7:27" x14ac:dyDescent="0.2">
      <c r="G3327" s="21"/>
      <c r="H3327" s="21"/>
      <c r="N3327" s="21"/>
      <c r="O3327" s="21"/>
      <c r="T3327" s="21"/>
      <c r="AA3327" s="21"/>
    </row>
    <row r="3328" spans="7:27" x14ac:dyDescent="0.2">
      <c r="G3328" s="21"/>
      <c r="H3328" s="21"/>
      <c r="N3328" s="21"/>
      <c r="O3328" s="21"/>
      <c r="T3328" s="21"/>
      <c r="AA3328" s="21"/>
    </row>
    <row r="3329" spans="7:27" x14ac:dyDescent="0.2">
      <c r="G3329" s="21"/>
      <c r="H3329" s="21"/>
      <c r="N3329" s="21"/>
      <c r="O3329" s="21"/>
      <c r="T3329" s="21"/>
      <c r="AA3329" s="21"/>
    </row>
    <row r="3330" spans="7:27" x14ac:dyDescent="0.2">
      <c r="G3330" s="21"/>
      <c r="H3330" s="21"/>
      <c r="N3330" s="21"/>
      <c r="O3330" s="21"/>
      <c r="T3330" s="21"/>
      <c r="AA3330" s="21"/>
    </row>
    <row r="3331" spans="7:27" x14ac:dyDescent="0.2">
      <c r="G3331" s="21"/>
      <c r="H3331" s="21"/>
      <c r="N3331" s="21"/>
      <c r="O3331" s="21"/>
      <c r="T3331" s="21"/>
      <c r="AA3331" s="21"/>
    </row>
    <row r="3332" spans="7:27" x14ac:dyDescent="0.2">
      <c r="G3332" s="21"/>
      <c r="H3332" s="21"/>
      <c r="N3332" s="21"/>
      <c r="O3332" s="21"/>
      <c r="T3332" s="21"/>
      <c r="AA3332" s="21"/>
    </row>
    <row r="3333" spans="7:27" x14ac:dyDescent="0.2">
      <c r="G3333" s="21"/>
      <c r="H3333" s="21"/>
      <c r="N3333" s="21"/>
      <c r="O3333" s="21"/>
      <c r="T3333" s="21"/>
      <c r="AA3333" s="21"/>
    </row>
    <row r="3334" spans="7:27" x14ac:dyDescent="0.2">
      <c r="G3334" s="21"/>
      <c r="H3334" s="21"/>
      <c r="N3334" s="21"/>
      <c r="O3334" s="21"/>
      <c r="T3334" s="21"/>
      <c r="AA3334" s="21"/>
    </row>
    <row r="3335" spans="7:27" x14ac:dyDescent="0.2">
      <c r="G3335" s="21"/>
      <c r="H3335" s="21"/>
      <c r="N3335" s="21"/>
      <c r="O3335" s="21"/>
      <c r="T3335" s="21"/>
      <c r="AA3335" s="21"/>
    </row>
    <row r="3336" spans="7:27" x14ac:dyDescent="0.2">
      <c r="G3336" s="21"/>
      <c r="H3336" s="21"/>
      <c r="N3336" s="21"/>
      <c r="O3336" s="21"/>
      <c r="T3336" s="21"/>
      <c r="AA3336" s="21"/>
    </row>
    <row r="3337" spans="7:27" x14ac:dyDescent="0.2">
      <c r="G3337" s="21"/>
      <c r="H3337" s="21"/>
      <c r="N3337" s="21"/>
      <c r="O3337" s="21"/>
      <c r="T3337" s="21"/>
      <c r="AA3337" s="21"/>
    </row>
    <row r="3338" spans="7:27" x14ac:dyDescent="0.2">
      <c r="G3338" s="21"/>
      <c r="H3338" s="21"/>
      <c r="N3338" s="21"/>
      <c r="O3338" s="21"/>
      <c r="T3338" s="21"/>
      <c r="AA3338" s="21"/>
    </row>
    <row r="3339" spans="7:27" x14ac:dyDescent="0.2">
      <c r="G3339" s="21"/>
      <c r="H3339" s="21"/>
      <c r="N3339" s="21"/>
      <c r="O3339" s="21"/>
      <c r="T3339" s="21"/>
      <c r="AA3339" s="21"/>
    </row>
    <row r="3340" spans="7:27" x14ac:dyDescent="0.2">
      <c r="G3340" s="21"/>
      <c r="H3340" s="21"/>
      <c r="N3340" s="21"/>
      <c r="O3340" s="21"/>
      <c r="T3340" s="21"/>
      <c r="AA3340" s="21"/>
    </row>
    <row r="3341" spans="7:27" x14ac:dyDescent="0.2">
      <c r="G3341" s="21"/>
      <c r="H3341" s="21"/>
      <c r="N3341" s="21"/>
      <c r="O3341" s="21"/>
      <c r="T3341" s="21"/>
      <c r="AA3341" s="21"/>
    </row>
    <row r="3342" spans="7:27" x14ac:dyDescent="0.2">
      <c r="G3342" s="21"/>
      <c r="H3342" s="21"/>
      <c r="N3342" s="21"/>
      <c r="O3342" s="21"/>
      <c r="T3342" s="21"/>
      <c r="AA3342" s="21"/>
    </row>
    <row r="3343" spans="7:27" x14ac:dyDescent="0.2">
      <c r="G3343" s="21"/>
      <c r="H3343" s="21"/>
      <c r="N3343" s="21"/>
      <c r="O3343" s="21"/>
      <c r="T3343" s="21"/>
      <c r="AA3343" s="21"/>
    </row>
    <row r="3344" spans="7:27" x14ac:dyDescent="0.2">
      <c r="G3344" s="21"/>
      <c r="H3344" s="21"/>
      <c r="N3344" s="21"/>
      <c r="O3344" s="21"/>
      <c r="T3344" s="21"/>
      <c r="AA3344" s="21"/>
    </row>
    <row r="3345" spans="7:27" x14ac:dyDescent="0.2">
      <c r="G3345" s="21"/>
      <c r="H3345" s="21"/>
      <c r="N3345" s="21"/>
      <c r="O3345" s="21"/>
      <c r="T3345" s="21"/>
      <c r="AA3345" s="21"/>
    </row>
    <row r="3346" spans="7:27" x14ac:dyDescent="0.2">
      <c r="G3346" s="21"/>
      <c r="H3346" s="21"/>
      <c r="N3346" s="21"/>
      <c r="O3346" s="21"/>
      <c r="T3346" s="21"/>
      <c r="AA3346" s="21"/>
    </row>
    <row r="3347" spans="7:27" x14ac:dyDescent="0.2">
      <c r="G3347" s="21"/>
      <c r="H3347" s="21"/>
      <c r="N3347" s="21"/>
      <c r="O3347" s="21"/>
      <c r="T3347" s="21"/>
      <c r="AA3347" s="21"/>
    </row>
    <row r="3348" spans="7:27" x14ac:dyDescent="0.2">
      <c r="G3348" s="21"/>
      <c r="H3348" s="21"/>
      <c r="N3348" s="21"/>
      <c r="O3348" s="21"/>
      <c r="T3348" s="21"/>
      <c r="AA3348" s="21"/>
    </row>
    <row r="3349" spans="7:27" x14ac:dyDescent="0.2">
      <c r="G3349" s="21"/>
      <c r="H3349" s="21"/>
      <c r="N3349" s="21"/>
      <c r="O3349" s="21"/>
      <c r="T3349" s="21"/>
      <c r="AA3349" s="21"/>
    </row>
    <row r="3350" spans="7:27" x14ac:dyDescent="0.2">
      <c r="G3350" s="21"/>
      <c r="H3350" s="21"/>
      <c r="N3350" s="21"/>
      <c r="O3350" s="21"/>
      <c r="T3350" s="21"/>
      <c r="AA3350" s="21"/>
    </row>
    <row r="3351" spans="7:27" x14ac:dyDescent="0.2">
      <c r="G3351" s="21"/>
      <c r="H3351" s="21"/>
      <c r="N3351" s="21"/>
      <c r="O3351" s="21"/>
      <c r="T3351" s="21"/>
      <c r="AA3351" s="21"/>
    </row>
    <row r="3352" spans="7:27" x14ac:dyDescent="0.2">
      <c r="G3352" s="21"/>
      <c r="H3352" s="21"/>
      <c r="N3352" s="21"/>
      <c r="O3352" s="21"/>
      <c r="T3352" s="21"/>
      <c r="AA3352" s="21"/>
    </row>
    <row r="3353" spans="7:27" x14ac:dyDescent="0.2">
      <c r="G3353" s="21"/>
      <c r="H3353" s="21"/>
      <c r="N3353" s="21"/>
      <c r="O3353" s="21"/>
      <c r="T3353" s="21"/>
      <c r="AA3353" s="21"/>
    </row>
    <row r="3354" spans="7:27" x14ac:dyDescent="0.2">
      <c r="G3354" s="21"/>
      <c r="H3354" s="21"/>
      <c r="N3354" s="21"/>
      <c r="O3354" s="21"/>
      <c r="T3354" s="21"/>
      <c r="AA3354" s="21"/>
    </row>
    <row r="3355" spans="7:27" x14ac:dyDescent="0.2">
      <c r="G3355" s="21"/>
      <c r="H3355" s="21"/>
      <c r="N3355" s="21"/>
      <c r="O3355" s="21"/>
      <c r="T3355" s="21"/>
      <c r="AA3355" s="21"/>
    </row>
    <row r="3356" spans="7:27" x14ac:dyDescent="0.2">
      <c r="G3356" s="21"/>
      <c r="H3356" s="21"/>
      <c r="N3356" s="21"/>
      <c r="O3356" s="21"/>
      <c r="T3356" s="21"/>
      <c r="AA3356" s="21"/>
    </row>
    <row r="3357" spans="7:27" x14ac:dyDescent="0.2">
      <c r="G3357" s="21"/>
      <c r="H3357" s="21"/>
      <c r="N3357" s="21"/>
      <c r="O3357" s="21"/>
      <c r="T3357" s="21"/>
      <c r="AA3357" s="21"/>
    </row>
    <row r="3358" spans="7:27" x14ac:dyDescent="0.2">
      <c r="G3358" s="21"/>
      <c r="H3358" s="21"/>
      <c r="N3358" s="21"/>
      <c r="O3358" s="21"/>
      <c r="T3358" s="21"/>
      <c r="AA3358" s="21"/>
    </row>
    <row r="3359" spans="7:27" x14ac:dyDescent="0.2">
      <c r="G3359" s="21"/>
      <c r="H3359" s="21"/>
      <c r="N3359" s="21"/>
      <c r="O3359" s="21"/>
      <c r="T3359" s="21"/>
      <c r="AA3359" s="21"/>
    </row>
    <row r="3360" spans="7:27" x14ac:dyDescent="0.2">
      <c r="G3360" s="21"/>
      <c r="H3360" s="21"/>
      <c r="N3360" s="21"/>
      <c r="O3360" s="21"/>
      <c r="T3360" s="21"/>
      <c r="AA3360" s="21"/>
    </row>
    <row r="3361" spans="7:27" x14ac:dyDescent="0.2">
      <c r="G3361" s="21"/>
      <c r="H3361" s="21"/>
      <c r="N3361" s="21"/>
      <c r="O3361" s="21"/>
      <c r="T3361" s="21"/>
      <c r="AA3361" s="21"/>
    </row>
    <row r="3362" spans="7:27" x14ac:dyDescent="0.2">
      <c r="G3362" s="21"/>
      <c r="H3362" s="21"/>
      <c r="N3362" s="21"/>
      <c r="O3362" s="21"/>
      <c r="T3362" s="21"/>
      <c r="AA3362" s="21"/>
    </row>
    <row r="3363" spans="7:27" x14ac:dyDescent="0.2">
      <c r="G3363" s="21"/>
      <c r="H3363" s="21"/>
      <c r="N3363" s="21"/>
      <c r="O3363" s="21"/>
      <c r="T3363" s="21"/>
      <c r="AA3363" s="21"/>
    </row>
    <row r="3364" spans="7:27" x14ac:dyDescent="0.2">
      <c r="G3364" s="21"/>
      <c r="H3364" s="21"/>
      <c r="N3364" s="21"/>
      <c r="O3364" s="21"/>
      <c r="T3364" s="21"/>
      <c r="AA3364" s="21"/>
    </row>
    <row r="3365" spans="7:27" x14ac:dyDescent="0.2">
      <c r="G3365" s="21"/>
      <c r="H3365" s="21"/>
      <c r="N3365" s="21"/>
      <c r="O3365" s="21"/>
      <c r="T3365" s="21"/>
      <c r="AA3365" s="21"/>
    </row>
    <row r="3366" spans="7:27" x14ac:dyDescent="0.2">
      <c r="G3366" s="21"/>
      <c r="H3366" s="21"/>
      <c r="N3366" s="21"/>
      <c r="O3366" s="21"/>
      <c r="T3366" s="21"/>
      <c r="AA3366" s="21"/>
    </row>
    <row r="3367" spans="7:27" x14ac:dyDescent="0.2">
      <c r="G3367" s="21"/>
      <c r="H3367" s="21"/>
      <c r="N3367" s="21"/>
      <c r="O3367" s="21"/>
      <c r="T3367" s="21"/>
      <c r="AA3367" s="21"/>
    </row>
    <row r="3368" spans="7:27" x14ac:dyDescent="0.2">
      <c r="G3368" s="21"/>
      <c r="H3368" s="21"/>
      <c r="N3368" s="21"/>
      <c r="O3368" s="21"/>
      <c r="T3368" s="21"/>
      <c r="AA3368" s="21"/>
    </row>
    <row r="3369" spans="7:27" x14ac:dyDescent="0.2">
      <c r="G3369" s="21"/>
      <c r="H3369" s="21"/>
      <c r="N3369" s="21"/>
      <c r="O3369" s="21"/>
      <c r="T3369" s="21"/>
      <c r="AA3369" s="21"/>
    </row>
    <row r="3370" spans="7:27" x14ac:dyDescent="0.2">
      <c r="G3370" s="21"/>
      <c r="H3370" s="21"/>
      <c r="N3370" s="21"/>
      <c r="O3370" s="21"/>
      <c r="T3370" s="21"/>
      <c r="AA3370" s="21"/>
    </row>
    <row r="3371" spans="7:27" x14ac:dyDescent="0.2">
      <c r="G3371" s="21"/>
      <c r="H3371" s="21"/>
      <c r="N3371" s="21"/>
      <c r="O3371" s="21"/>
      <c r="T3371" s="21"/>
      <c r="AA3371" s="21"/>
    </row>
    <row r="3372" spans="7:27" x14ac:dyDescent="0.2">
      <c r="G3372" s="21"/>
      <c r="H3372" s="21"/>
      <c r="N3372" s="21"/>
      <c r="O3372" s="21"/>
      <c r="T3372" s="21"/>
      <c r="AA3372" s="21"/>
    </row>
    <row r="3373" spans="7:27" x14ac:dyDescent="0.2">
      <c r="G3373" s="21"/>
      <c r="H3373" s="21"/>
      <c r="N3373" s="21"/>
      <c r="O3373" s="21"/>
      <c r="T3373" s="21"/>
      <c r="AA3373" s="21"/>
    </row>
    <row r="3374" spans="7:27" x14ac:dyDescent="0.2">
      <c r="G3374" s="21"/>
      <c r="H3374" s="21"/>
      <c r="N3374" s="21"/>
      <c r="O3374" s="21"/>
      <c r="T3374" s="21"/>
      <c r="AA3374" s="21"/>
    </row>
    <row r="3375" spans="7:27" x14ac:dyDescent="0.2">
      <c r="G3375" s="21"/>
      <c r="H3375" s="21"/>
      <c r="N3375" s="21"/>
      <c r="O3375" s="21"/>
      <c r="T3375" s="21"/>
      <c r="AA3375" s="21"/>
    </row>
    <row r="3376" spans="7:27" x14ac:dyDescent="0.2">
      <c r="G3376" s="21"/>
      <c r="H3376" s="21"/>
      <c r="N3376" s="21"/>
      <c r="O3376" s="21"/>
      <c r="T3376" s="21"/>
      <c r="AA3376" s="21"/>
    </row>
    <row r="3377" spans="7:27" x14ac:dyDescent="0.2">
      <c r="G3377" s="21"/>
      <c r="H3377" s="21"/>
      <c r="N3377" s="21"/>
      <c r="O3377" s="21"/>
      <c r="T3377" s="21"/>
      <c r="AA3377" s="21"/>
    </row>
    <row r="3378" spans="7:27" x14ac:dyDescent="0.2">
      <c r="G3378" s="21"/>
      <c r="H3378" s="21"/>
      <c r="N3378" s="21"/>
      <c r="O3378" s="21"/>
      <c r="T3378" s="21"/>
      <c r="AA3378" s="21"/>
    </row>
    <row r="3379" spans="7:27" x14ac:dyDescent="0.2">
      <c r="G3379" s="21"/>
      <c r="H3379" s="21"/>
      <c r="N3379" s="21"/>
      <c r="O3379" s="21"/>
      <c r="T3379" s="21"/>
      <c r="AA3379" s="21"/>
    </row>
    <row r="3380" spans="7:27" x14ac:dyDescent="0.2">
      <c r="G3380" s="21"/>
      <c r="H3380" s="21"/>
      <c r="N3380" s="21"/>
      <c r="O3380" s="21"/>
      <c r="T3380" s="21"/>
      <c r="AA3380" s="21"/>
    </row>
    <row r="3381" spans="7:27" x14ac:dyDescent="0.2">
      <c r="G3381" s="21"/>
      <c r="H3381" s="21"/>
      <c r="N3381" s="21"/>
      <c r="O3381" s="21"/>
      <c r="T3381" s="21"/>
      <c r="AA3381" s="21"/>
    </row>
    <row r="3382" spans="7:27" x14ac:dyDescent="0.2">
      <c r="G3382" s="21"/>
      <c r="H3382" s="21"/>
      <c r="N3382" s="21"/>
      <c r="O3382" s="21"/>
      <c r="T3382" s="21"/>
      <c r="AA3382" s="21"/>
    </row>
    <row r="3383" spans="7:27" x14ac:dyDescent="0.2">
      <c r="G3383" s="21"/>
      <c r="H3383" s="21"/>
      <c r="N3383" s="21"/>
      <c r="O3383" s="21"/>
      <c r="T3383" s="21"/>
      <c r="AA3383" s="21"/>
    </row>
    <row r="3384" spans="7:27" x14ac:dyDescent="0.2">
      <c r="G3384" s="21"/>
      <c r="H3384" s="21"/>
      <c r="N3384" s="21"/>
      <c r="O3384" s="21"/>
      <c r="T3384" s="21"/>
      <c r="AA3384" s="21"/>
    </row>
    <row r="3385" spans="7:27" x14ac:dyDescent="0.2">
      <c r="G3385" s="21"/>
      <c r="H3385" s="21"/>
      <c r="N3385" s="21"/>
      <c r="O3385" s="21"/>
      <c r="T3385" s="21"/>
      <c r="AA3385" s="21"/>
    </row>
    <row r="3386" spans="7:27" x14ac:dyDescent="0.2">
      <c r="G3386" s="21"/>
      <c r="H3386" s="21"/>
      <c r="N3386" s="21"/>
      <c r="O3386" s="21"/>
      <c r="T3386" s="21"/>
      <c r="AA3386" s="21"/>
    </row>
    <row r="3387" spans="7:27" x14ac:dyDescent="0.2">
      <c r="G3387" s="21"/>
      <c r="H3387" s="21"/>
      <c r="N3387" s="21"/>
      <c r="O3387" s="21"/>
      <c r="T3387" s="21"/>
      <c r="AA3387" s="21"/>
    </row>
    <row r="3388" spans="7:27" x14ac:dyDescent="0.2">
      <c r="G3388" s="21"/>
      <c r="H3388" s="21"/>
      <c r="N3388" s="21"/>
      <c r="O3388" s="21"/>
      <c r="T3388" s="21"/>
      <c r="AA3388" s="21"/>
    </row>
    <row r="3389" spans="7:27" x14ac:dyDescent="0.2">
      <c r="G3389" s="21"/>
      <c r="H3389" s="21"/>
      <c r="N3389" s="21"/>
      <c r="O3389" s="21"/>
      <c r="T3389" s="21"/>
      <c r="AA3389" s="21"/>
    </row>
    <row r="3390" spans="7:27" x14ac:dyDescent="0.2">
      <c r="G3390" s="21"/>
      <c r="H3390" s="21"/>
      <c r="N3390" s="21"/>
      <c r="O3390" s="21"/>
      <c r="T3390" s="21"/>
      <c r="AA3390" s="21"/>
    </row>
    <row r="3391" spans="7:27" x14ac:dyDescent="0.2">
      <c r="G3391" s="21"/>
      <c r="H3391" s="21"/>
      <c r="N3391" s="21"/>
      <c r="O3391" s="21"/>
      <c r="T3391" s="21"/>
      <c r="AA3391" s="21"/>
    </row>
    <row r="3392" spans="7:27" x14ac:dyDescent="0.2">
      <c r="G3392" s="21"/>
      <c r="H3392" s="21"/>
      <c r="N3392" s="21"/>
      <c r="O3392" s="21"/>
      <c r="T3392" s="21"/>
      <c r="AA3392" s="21"/>
    </row>
    <row r="3393" spans="7:27" x14ac:dyDescent="0.2">
      <c r="G3393" s="21"/>
      <c r="H3393" s="21"/>
      <c r="N3393" s="21"/>
      <c r="O3393" s="21"/>
      <c r="T3393" s="21"/>
      <c r="AA3393" s="21"/>
    </row>
    <row r="3394" spans="7:27" x14ac:dyDescent="0.2">
      <c r="G3394" s="21"/>
      <c r="H3394" s="21"/>
      <c r="N3394" s="21"/>
      <c r="O3394" s="21"/>
      <c r="T3394" s="21"/>
      <c r="AA3394" s="21"/>
    </row>
    <row r="3395" spans="7:27" x14ac:dyDescent="0.2">
      <c r="G3395" s="21"/>
      <c r="H3395" s="21"/>
      <c r="N3395" s="21"/>
      <c r="O3395" s="21"/>
      <c r="T3395" s="21"/>
      <c r="AA3395" s="21"/>
    </row>
    <row r="3396" spans="7:27" x14ac:dyDescent="0.2">
      <c r="G3396" s="21"/>
      <c r="H3396" s="21"/>
      <c r="N3396" s="21"/>
      <c r="O3396" s="21"/>
      <c r="T3396" s="21"/>
      <c r="AA3396" s="21"/>
    </row>
    <row r="3397" spans="7:27" x14ac:dyDescent="0.2">
      <c r="G3397" s="21"/>
      <c r="H3397" s="21"/>
      <c r="N3397" s="21"/>
      <c r="O3397" s="21"/>
      <c r="T3397" s="21"/>
      <c r="AA3397" s="21"/>
    </row>
    <row r="3398" spans="7:27" x14ac:dyDescent="0.2">
      <c r="G3398" s="21"/>
      <c r="H3398" s="21"/>
      <c r="N3398" s="21"/>
      <c r="O3398" s="21"/>
      <c r="T3398" s="21"/>
      <c r="AA3398" s="21"/>
    </row>
    <row r="3399" spans="7:27" x14ac:dyDescent="0.2">
      <c r="G3399" s="21"/>
      <c r="H3399" s="21"/>
      <c r="N3399" s="21"/>
      <c r="O3399" s="21"/>
      <c r="T3399" s="21"/>
      <c r="AA3399" s="21"/>
    </row>
    <row r="3400" spans="7:27" x14ac:dyDescent="0.2">
      <c r="G3400" s="21"/>
      <c r="H3400" s="21"/>
      <c r="N3400" s="21"/>
      <c r="O3400" s="21"/>
      <c r="T3400" s="21"/>
      <c r="AA3400" s="21"/>
    </row>
    <row r="3401" spans="7:27" x14ac:dyDescent="0.2">
      <c r="G3401" s="21"/>
      <c r="H3401" s="21"/>
      <c r="N3401" s="21"/>
      <c r="O3401" s="21"/>
      <c r="T3401" s="21"/>
      <c r="AA3401" s="21"/>
    </row>
    <row r="3402" spans="7:27" x14ac:dyDescent="0.2">
      <c r="G3402" s="21"/>
      <c r="H3402" s="21"/>
      <c r="N3402" s="21"/>
      <c r="O3402" s="21"/>
      <c r="T3402" s="21"/>
      <c r="AA3402" s="21"/>
    </row>
    <row r="3403" spans="7:27" x14ac:dyDescent="0.2">
      <c r="G3403" s="21"/>
      <c r="H3403" s="21"/>
      <c r="N3403" s="21"/>
      <c r="O3403" s="21"/>
      <c r="T3403" s="21"/>
      <c r="AA3403" s="21"/>
    </row>
    <row r="3404" spans="7:27" x14ac:dyDescent="0.2">
      <c r="G3404" s="21"/>
      <c r="H3404" s="21"/>
      <c r="N3404" s="21"/>
      <c r="O3404" s="21"/>
      <c r="T3404" s="21"/>
      <c r="AA3404" s="21"/>
    </row>
    <row r="3405" spans="7:27" x14ac:dyDescent="0.2">
      <c r="G3405" s="21"/>
      <c r="H3405" s="21"/>
      <c r="N3405" s="21"/>
      <c r="O3405" s="21"/>
      <c r="T3405" s="21"/>
      <c r="AA3405" s="21"/>
    </row>
    <row r="3406" spans="7:27" x14ac:dyDescent="0.2">
      <c r="G3406" s="21"/>
      <c r="H3406" s="21"/>
      <c r="N3406" s="21"/>
      <c r="O3406" s="21"/>
      <c r="T3406" s="21"/>
      <c r="AA3406" s="21"/>
    </row>
    <row r="3407" spans="7:27" x14ac:dyDescent="0.2">
      <c r="G3407" s="21"/>
      <c r="H3407" s="21"/>
      <c r="N3407" s="21"/>
      <c r="O3407" s="21"/>
      <c r="T3407" s="21"/>
      <c r="AA3407" s="21"/>
    </row>
    <row r="3408" spans="7:27" x14ac:dyDescent="0.2">
      <c r="G3408" s="21"/>
      <c r="H3408" s="21"/>
      <c r="N3408" s="21"/>
      <c r="O3408" s="21"/>
      <c r="T3408" s="21"/>
      <c r="AA3408" s="21"/>
    </row>
    <row r="3409" spans="7:27" x14ac:dyDescent="0.2">
      <c r="G3409" s="21"/>
      <c r="H3409" s="21"/>
      <c r="N3409" s="21"/>
      <c r="O3409" s="21"/>
      <c r="T3409" s="21"/>
      <c r="AA3409" s="21"/>
    </row>
    <row r="3410" spans="7:27" x14ac:dyDescent="0.2">
      <c r="G3410" s="21"/>
      <c r="H3410" s="21"/>
      <c r="N3410" s="21"/>
      <c r="O3410" s="21"/>
      <c r="T3410" s="21"/>
      <c r="AA3410" s="21"/>
    </row>
    <row r="3411" spans="7:27" x14ac:dyDescent="0.2">
      <c r="G3411" s="21"/>
      <c r="H3411" s="21"/>
      <c r="N3411" s="21"/>
      <c r="O3411" s="21"/>
      <c r="T3411" s="21"/>
      <c r="AA3411" s="21"/>
    </row>
    <row r="3412" spans="7:27" x14ac:dyDescent="0.2">
      <c r="G3412" s="21"/>
      <c r="H3412" s="21"/>
      <c r="N3412" s="21"/>
      <c r="O3412" s="21"/>
      <c r="T3412" s="21"/>
      <c r="AA3412" s="21"/>
    </row>
    <row r="3413" spans="7:27" x14ac:dyDescent="0.2">
      <c r="G3413" s="21"/>
      <c r="H3413" s="21"/>
      <c r="N3413" s="21"/>
      <c r="O3413" s="21"/>
      <c r="T3413" s="21"/>
      <c r="AA3413" s="21"/>
    </row>
    <row r="3414" spans="7:27" x14ac:dyDescent="0.2">
      <c r="G3414" s="21"/>
      <c r="H3414" s="21"/>
      <c r="N3414" s="21"/>
      <c r="O3414" s="21"/>
      <c r="T3414" s="21"/>
      <c r="AA3414" s="21"/>
    </row>
    <row r="3415" spans="7:27" x14ac:dyDescent="0.2">
      <c r="G3415" s="21"/>
      <c r="H3415" s="21"/>
      <c r="N3415" s="21"/>
      <c r="O3415" s="21"/>
      <c r="T3415" s="21"/>
      <c r="AA3415" s="21"/>
    </row>
    <row r="3416" spans="7:27" x14ac:dyDescent="0.2">
      <c r="G3416" s="21"/>
      <c r="H3416" s="21"/>
      <c r="N3416" s="21"/>
      <c r="O3416" s="21"/>
      <c r="T3416" s="21"/>
      <c r="AA3416" s="21"/>
    </row>
    <row r="3417" spans="7:27" x14ac:dyDescent="0.2">
      <c r="G3417" s="21"/>
      <c r="H3417" s="21"/>
      <c r="N3417" s="21"/>
      <c r="O3417" s="21"/>
      <c r="T3417" s="21"/>
      <c r="AA3417" s="21"/>
    </row>
    <row r="3418" spans="7:27" x14ac:dyDescent="0.2">
      <c r="G3418" s="21"/>
      <c r="H3418" s="21"/>
      <c r="N3418" s="21"/>
      <c r="O3418" s="21"/>
      <c r="T3418" s="21"/>
      <c r="AA3418" s="21"/>
    </row>
    <row r="3419" spans="7:27" x14ac:dyDescent="0.2">
      <c r="G3419" s="21"/>
      <c r="H3419" s="21"/>
      <c r="N3419" s="21"/>
      <c r="O3419" s="21"/>
      <c r="T3419" s="21"/>
      <c r="AA3419" s="21"/>
    </row>
    <row r="3420" spans="7:27" x14ac:dyDescent="0.2">
      <c r="G3420" s="21"/>
      <c r="H3420" s="21"/>
      <c r="N3420" s="21"/>
      <c r="O3420" s="21"/>
      <c r="T3420" s="21"/>
      <c r="AA3420" s="21"/>
    </row>
    <row r="3421" spans="7:27" x14ac:dyDescent="0.2">
      <c r="G3421" s="21"/>
      <c r="H3421" s="21"/>
      <c r="N3421" s="21"/>
      <c r="O3421" s="21"/>
      <c r="T3421" s="21"/>
      <c r="AA3421" s="21"/>
    </row>
    <row r="3422" spans="7:27" x14ac:dyDescent="0.2">
      <c r="G3422" s="21"/>
      <c r="H3422" s="21"/>
      <c r="N3422" s="21"/>
      <c r="O3422" s="21"/>
      <c r="T3422" s="21"/>
      <c r="AA3422" s="21"/>
    </row>
    <row r="3423" spans="7:27" x14ac:dyDescent="0.2">
      <c r="G3423" s="21"/>
      <c r="H3423" s="21"/>
      <c r="N3423" s="21"/>
      <c r="O3423" s="21"/>
      <c r="T3423" s="21"/>
      <c r="AA3423" s="21"/>
    </row>
    <row r="3424" spans="7:27" x14ac:dyDescent="0.2">
      <c r="G3424" s="21"/>
      <c r="H3424" s="21"/>
      <c r="N3424" s="21"/>
      <c r="O3424" s="21"/>
      <c r="T3424" s="21"/>
      <c r="AA3424" s="21"/>
    </row>
    <row r="3425" spans="7:27" x14ac:dyDescent="0.2">
      <c r="G3425" s="21"/>
      <c r="H3425" s="21"/>
      <c r="N3425" s="21"/>
      <c r="O3425" s="21"/>
      <c r="T3425" s="21"/>
      <c r="AA3425" s="21"/>
    </row>
    <row r="3426" spans="7:27" x14ac:dyDescent="0.2">
      <c r="G3426" s="21"/>
      <c r="H3426" s="21"/>
      <c r="N3426" s="21"/>
      <c r="O3426" s="21"/>
      <c r="T3426" s="21"/>
      <c r="AA3426" s="21"/>
    </row>
    <row r="3427" spans="7:27" x14ac:dyDescent="0.2">
      <c r="G3427" s="21"/>
      <c r="H3427" s="21"/>
      <c r="N3427" s="21"/>
      <c r="O3427" s="21"/>
      <c r="T3427" s="21"/>
      <c r="AA3427" s="21"/>
    </row>
    <row r="3428" spans="7:27" x14ac:dyDescent="0.2">
      <c r="G3428" s="21"/>
      <c r="H3428" s="21"/>
      <c r="N3428" s="21"/>
      <c r="O3428" s="21"/>
      <c r="T3428" s="21"/>
      <c r="AA3428" s="21"/>
    </row>
    <row r="3429" spans="7:27" x14ac:dyDescent="0.2">
      <c r="G3429" s="21"/>
      <c r="H3429" s="21"/>
      <c r="N3429" s="21"/>
      <c r="O3429" s="21"/>
      <c r="T3429" s="21"/>
      <c r="AA3429" s="21"/>
    </row>
    <row r="3430" spans="7:27" x14ac:dyDescent="0.2">
      <c r="G3430" s="21"/>
      <c r="H3430" s="21"/>
      <c r="N3430" s="21"/>
      <c r="O3430" s="21"/>
      <c r="T3430" s="21"/>
      <c r="AA3430" s="21"/>
    </row>
    <row r="3431" spans="7:27" x14ac:dyDescent="0.2">
      <c r="G3431" s="21"/>
      <c r="H3431" s="21"/>
      <c r="N3431" s="21"/>
      <c r="O3431" s="21"/>
      <c r="T3431" s="21"/>
      <c r="AA3431" s="21"/>
    </row>
    <row r="3432" spans="7:27" x14ac:dyDescent="0.2">
      <c r="G3432" s="21"/>
      <c r="H3432" s="21"/>
      <c r="N3432" s="21"/>
      <c r="O3432" s="21"/>
      <c r="T3432" s="21"/>
      <c r="AA3432" s="21"/>
    </row>
    <row r="3433" spans="7:27" x14ac:dyDescent="0.2">
      <c r="G3433" s="21"/>
      <c r="H3433" s="21"/>
      <c r="N3433" s="21"/>
      <c r="O3433" s="21"/>
      <c r="T3433" s="21"/>
      <c r="AA3433" s="21"/>
    </row>
    <row r="3434" spans="7:27" x14ac:dyDescent="0.2">
      <c r="G3434" s="21"/>
      <c r="H3434" s="21"/>
      <c r="N3434" s="21"/>
      <c r="O3434" s="21"/>
      <c r="T3434" s="21"/>
      <c r="AA3434" s="21"/>
    </row>
    <row r="3435" spans="7:27" x14ac:dyDescent="0.2">
      <c r="G3435" s="21"/>
      <c r="H3435" s="21"/>
      <c r="N3435" s="21"/>
      <c r="O3435" s="21"/>
      <c r="T3435" s="21"/>
      <c r="AA3435" s="21"/>
    </row>
    <row r="3436" spans="7:27" x14ac:dyDescent="0.2">
      <c r="G3436" s="21"/>
      <c r="H3436" s="21"/>
      <c r="N3436" s="21"/>
      <c r="O3436" s="21"/>
      <c r="T3436" s="21"/>
      <c r="AA3436" s="21"/>
    </row>
    <row r="3437" spans="7:27" x14ac:dyDescent="0.2">
      <c r="G3437" s="21"/>
      <c r="H3437" s="21"/>
      <c r="N3437" s="21"/>
      <c r="O3437" s="21"/>
      <c r="T3437" s="21"/>
      <c r="AA3437" s="21"/>
    </row>
    <row r="3438" spans="7:27" x14ac:dyDescent="0.2">
      <c r="G3438" s="21"/>
      <c r="H3438" s="21"/>
      <c r="N3438" s="21"/>
      <c r="O3438" s="21"/>
      <c r="T3438" s="21"/>
      <c r="AA3438" s="21"/>
    </row>
    <row r="3439" spans="7:27" x14ac:dyDescent="0.2">
      <c r="G3439" s="21"/>
      <c r="H3439" s="21"/>
      <c r="N3439" s="21"/>
      <c r="O3439" s="21"/>
      <c r="T3439" s="21"/>
      <c r="AA3439" s="21"/>
    </row>
    <row r="3440" spans="7:27" x14ac:dyDescent="0.2">
      <c r="G3440" s="21"/>
      <c r="H3440" s="21"/>
      <c r="N3440" s="21"/>
      <c r="O3440" s="21"/>
      <c r="T3440" s="21"/>
      <c r="AA3440" s="21"/>
    </row>
    <row r="3441" spans="7:27" x14ac:dyDescent="0.2">
      <c r="G3441" s="21"/>
      <c r="H3441" s="21"/>
      <c r="N3441" s="21"/>
      <c r="O3441" s="21"/>
      <c r="T3441" s="21"/>
      <c r="AA3441" s="21"/>
    </row>
    <row r="3442" spans="7:27" x14ac:dyDescent="0.2">
      <c r="G3442" s="21"/>
      <c r="H3442" s="21"/>
      <c r="N3442" s="21"/>
      <c r="O3442" s="21"/>
      <c r="T3442" s="21"/>
      <c r="AA3442" s="21"/>
    </row>
    <row r="3443" spans="7:27" x14ac:dyDescent="0.2">
      <c r="G3443" s="21"/>
      <c r="H3443" s="21"/>
      <c r="N3443" s="21"/>
      <c r="O3443" s="21"/>
      <c r="T3443" s="21"/>
      <c r="AA3443" s="21"/>
    </row>
    <row r="3444" spans="7:27" x14ac:dyDescent="0.2">
      <c r="G3444" s="21"/>
      <c r="H3444" s="21"/>
      <c r="N3444" s="21"/>
      <c r="O3444" s="21"/>
      <c r="T3444" s="21"/>
      <c r="AA3444" s="21"/>
    </row>
    <row r="3445" spans="7:27" x14ac:dyDescent="0.2">
      <c r="G3445" s="21"/>
      <c r="H3445" s="21"/>
      <c r="N3445" s="21"/>
      <c r="O3445" s="21"/>
      <c r="T3445" s="21"/>
      <c r="AA3445" s="21"/>
    </row>
    <row r="3446" spans="7:27" x14ac:dyDescent="0.2">
      <c r="G3446" s="21"/>
      <c r="H3446" s="21"/>
      <c r="N3446" s="21"/>
      <c r="O3446" s="21"/>
      <c r="T3446" s="21"/>
      <c r="AA3446" s="21"/>
    </row>
    <row r="3447" spans="7:27" x14ac:dyDescent="0.2">
      <c r="G3447" s="21"/>
      <c r="H3447" s="21"/>
      <c r="N3447" s="21"/>
      <c r="O3447" s="21"/>
      <c r="T3447" s="21"/>
      <c r="AA3447" s="21"/>
    </row>
    <row r="3448" spans="7:27" x14ac:dyDescent="0.2">
      <c r="G3448" s="21"/>
      <c r="H3448" s="21"/>
      <c r="N3448" s="21"/>
      <c r="O3448" s="21"/>
      <c r="T3448" s="21"/>
      <c r="AA3448" s="21"/>
    </row>
    <row r="3449" spans="7:27" x14ac:dyDescent="0.2">
      <c r="G3449" s="21"/>
      <c r="H3449" s="21"/>
      <c r="N3449" s="21"/>
      <c r="O3449" s="21"/>
      <c r="T3449" s="21"/>
      <c r="AA3449" s="21"/>
    </row>
    <row r="3450" spans="7:27" x14ac:dyDescent="0.2">
      <c r="G3450" s="21"/>
      <c r="H3450" s="21"/>
      <c r="N3450" s="21"/>
      <c r="O3450" s="21"/>
      <c r="T3450" s="21"/>
      <c r="AA3450" s="21"/>
    </row>
    <row r="3451" spans="7:27" x14ac:dyDescent="0.2">
      <c r="G3451" s="21"/>
      <c r="H3451" s="21"/>
      <c r="N3451" s="21"/>
      <c r="O3451" s="21"/>
      <c r="T3451" s="21"/>
      <c r="AA3451" s="21"/>
    </row>
    <row r="3452" spans="7:27" x14ac:dyDescent="0.2">
      <c r="G3452" s="21"/>
      <c r="H3452" s="21"/>
      <c r="N3452" s="21"/>
      <c r="O3452" s="21"/>
      <c r="T3452" s="21"/>
      <c r="AA3452" s="21"/>
    </row>
    <row r="3453" spans="7:27" x14ac:dyDescent="0.2">
      <c r="G3453" s="21"/>
      <c r="H3453" s="21"/>
      <c r="N3453" s="21"/>
      <c r="O3453" s="21"/>
      <c r="T3453" s="21"/>
      <c r="AA3453" s="21"/>
    </row>
    <row r="3454" spans="7:27" x14ac:dyDescent="0.2">
      <c r="G3454" s="21"/>
      <c r="H3454" s="21"/>
      <c r="N3454" s="21"/>
      <c r="O3454" s="21"/>
      <c r="T3454" s="21"/>
      <c r="AA3454" s="21"/>
    </row>
    <row r="3455" spans="7:27" x14ac:dyDescent="0.2">
      <c r="G3455" s="21"/>
      <c r="H3455" s="21"/>
      <c r="N3455" s="21"/>
      <c r="O3455" s="21"/>
      <c r="T3455" s="21"/>
      <c r="AA3455" s="21"/>
    </row>
    <row r="3456" spans="7:27" x14ac:dyDescent="0.2">
      <c r="G3456" s="21"/>
      <c r="H3456" s="21"/>
      <c r="N3456" s="21"/>
      <c r="O3456" s="21"/>
      <c r="T3456" s="21"/>
      <c r="AA3456" s="21"/>
    </row>
    <row r="3457" spans="7:27" x14ac:dyDescent="0.2">
      <c r="G3457" s="21"/>
      <c r="H3457" s="21"/>
      <c r="N3457" s="21"/>
      <c r="O3457" s="21"/>
      <c r="T3457" s="21"/>
      <c r="AA3457" s="21"/>
    </row>
    <row r="3458" spans="7:27" x14ac:dyDescent="0.2">
      <c r="G3458" s="21"/>
      <c r="H3458" s="21"/>
      <c r="N3458" s="21"/>
      <c r="O3458" s="21"/>
      <c r="T3458" s="21"/>
      <c r="AA3458" s="21"/>
    </row>
    <row r="3459" spans="7:27" x14ac:dyDescent="0.2">
      <c r="G3459" s="21"/>
      <c r="H3459" s="21"/>
      <c r="N3459" s="21"/>
      <c r="O3459" s="21"/>
      <c r="T3459" s="21"/>
      <c r="AA3459" s="21"/>
    </row>
    <row r="3460" spans="7:27" x14ac:dyDescent="0.2">
      <c r="G3460" s="21"/>
      <c r="H3460" s="21"/>
      <c r="N3460" s="21"/>
      <c r="O3460" s="21"/>
      <c r="T3460" s="21"/>
      <c r="AA3460" s="21"/>
    </row>
    <row r="3461" spans="7:27" x14ac:dyDescent="0.2">
      <c r="G3461" s="21"/>
      <c r="H3461" s="21"/>
      <c r="N3461" s="21"/>
      <c r="O3461" s="21"/>
      <c r="T3461" s="21"/>
      <c r="AA3461" s="21"/>
    </row>
    <row r="3462" spans="7:27" x14ac:dyDescent="0.2">
      <c r="G3462" s="21"/>
      <c r="H3462" s="21"/>
      <c r="N3462" s="21"/>
      <c r="O3462" s="21"/>
      <c r="T3462" s="21"/>
      <c r="AA3462" s="21"/>
    </row>
    <row r="3463" spans="7:27" x14ac:dyDescent="0.2">
      <c r="G3463" s="21"/>
      <c r="H3463" s="21"/>
      <c r="N3463" s="21"/>
      <c r="O3463" s="21"/>
      <c r="T3463" s="21"/>
      <c r="AA3463" s="21"/>
    </row>
    <row r="3464" spans="7:27" x14ac:dyDescent="0.2">
      <c r="G3464" s="21"/>
      <c r="H3464" s="21"/>
      <c r="N3464" s="21"/>
      <c r="O3464" s="21"/>
      <c r="T3464" s="21"/>
      <c r="AA3464" s="21"/>
    </row>
    <row r="3465" spans="7:27" x14ac:dyDescent="0.2">
      <c r="G3465" s="21"/>
      <c r="H3465" s="21"/>
      <c r="N3465" s="21"/>
      <c r="O3465" s="21"/>
      <c r="T3465" s="21"/>
      <c r="AA3465" s="21"/>
    </row>
    <row r="3466" spans="7:27" x14ac:dyDescent="0.2">
      <c r="G3466" s="21"/>
      <c r="H3466" s="21"/>
      <c r="N3466" s="21"/>
      <c r="O3466" s="21"/>
      <c r="T3466" s="21"/>
      <c r="AA3466" s="21"/>
    </row>
    <row r="3467" spans="7:27" x14ac:dyDescent="0.2">
      <c r="G3467" s="21"/>
      <c r="H3467" s="21"/>
      <c r="N3467" s="21"/>
      <c r="O3467" s="21"/>
      <c r="T3467" s="21"/>
      <c r="AA3467" s="21"/>
    </row>
    <row r="3468" spans="7:27" x14ac:dyDescent="0.2">
      <c r="G3468" s="21"/>
      <c r="H3468" s="21"/>
      <c r="N3468" s="21"/>
      <c r="O3468" s="21"/>
      <c r="T3468" s="21"/>
      <c r="AA3468" s="21"/>
    </row>
    <row r="3469" spans="7:27" x14ac:dyDescent="0.2">
      <c r="G3469" s="21"/>
      <c r="H3469" s="21"/>
      <c r="N3469" s="21"/>
      <c r="O3469" s="21"/>
      <c r="T3469" s="21"/>
      <c r="AA3469" s="21"/>
    </row>
    <row r="3470" spans="7:27" x14ac:dyDescent="0.2">
      <c r="G3470" s="21"/>
      <c r="H3470" s="21"/>
      <c r="N3470" s="21"/>
      <c r="O3470" s="21"/>
      <c r="T3470" s="21"/>
      <c r="AA3470" s="21"/>
    </row>
    <row r="3471" spans="7:27" x14ac:dyDescent="0.2">
      <c r="G3471" s="21"/>
      <c r="H3471" s="21"/>
      <c r="N3471" s="21"/>
      <c r="O3471" s="21"/>
      <c r="T3471" s="21"/>
      <c r="AA3471" s="21"/>
    </row>
    <row r="3472" spans="7:27" x14ac:dyDescent="0.2">
      <c r="G3472" s="21"/>
      <c r="H3472" s="21"/>
      <c r="N3472" s="21"/>
      <c r="O3472" s="21"/>
      <c r="T3472" s="21"/>
      <c r="AA3472" s="21"/>
    </row>
    <row r="3473" spans="7:27" x14ac:dyDescent="0.2">
      <c r="G3473" s="21"/>
      <c r="H3473" s="21"/>
      <c r="N3473" s="21"/>
      <c r="O3473" s="21"/>
      <c r="T3473" s="21"/>
      <c r="AA3473" s="21"/>
    </row>
    <row r="3474" spans="7:27" x14ac:dyDescent="0.2">
      <c r="G3474" s="21"/>
      <c r="H3474" s="21"/>
      <c r="N3474" s="21"/>
      <c r="O3474" s="21"/>
      <c r="T3474" s="21"/>
      <c r="AA3474" s="21"/>
    </row>
    <row r="3475" spans="7:27" x14ac:dyDescent="0.2">
      <c r="G3475" s="21"/>
      <c r="H3475" s="21"/>
      <c r="N3475" s="21"/>
      <c r="O3475" s="21"/>
      <c r="T3475" s="21"/>
      <c r="AA3475" s="21"/>
    </row>
    <row r="3476" spans="7:27" x14ac:dyDescent="0.2">
      <c r="G3476" s="21"/>
      <c r="H3476" s="21"/>
      <c r="N3476" s="21"/>
      <c r="O3476" s="21"/>
      <c r="T3476" s="21"/>
      <c r="AA3476" s="21"/>
    </row>
    <row r="3477" spans="7:27" x14ac:dyDescent="0.2">
      <c r="G3477" s="21"/>
      <c r="H3477" s="21"/>
      <c r="N3477" s="21"/>
      <c r="O3477" s="21"/>
      <c r="T3477" s="21"/>
      <c r="AA3477" s="21"/>
    </row>
    <row r="3478" spans="7:27" x14ac:dyDescent="0.2">
      <c r="G3478" s="21"/>
      <c r="H3478" s="21"/>
      <c r="N3478" s="21"/>
      <c r="O3478" s="21"/>
      <c r="T3478" s="21"/>
      <c r="AA3478" s="21"/>
    </row>
    <row r="3479" spans="7:27" x14ac:dyDescent="0.2">
      <c r="G3479" s="21"/>
      <c r="H3479" s="21"/>
      <c r="N3479" s="21"/>
      <c r="O3479" s="21"/>
      <c r="T3479" s="21"/>
      <c r="AA3479" s="21"/>
    </row>
    <row r="3480" spans="7:27" x14ac:dyDescent="0.2">
      <c r="G3480" s="21"/>
      <c r="H3480" s="21"/>
      <c r="N3480" s="21"/>
      <c r="O3480" s="21"/>
      <c r="T3480" s="21"/>
      <c r="AA3480" s="21"/>
    </row>
    <row r="3481" spans="7:27" x14ac:dyDescent="0.2">
      <c r="G3481" s="21"/>
      <c r="H3481" s="21"/>
      <c r="N3481" s="21"/>
      <c r="O3481" s="21"/>
      <c r="T3481" s="21"/>
      <c r="AA3481" s="21"/>
    </row>
    <row r="3482" spans="7:27" x14ac:dyDescent="0.2">
      <c r="G3482" s="21"/>
      <c r="H3482" s="21"/>
      <c r="N3482" s="21"/>
      <c r="O3482" s="21"/>
      <c r="T3482" s="21"/>
      <c r="AA3482" s="21"/>
    </row>
    <row r="3483" spans="7:27" x14ac:dyDescent="0.2">
      <c r="G3483" s="21"/>
      <c r="H3483" s="21"/>
      <c r="N3483" s="21"/>
      <c r="O3483" s="21"/>
      <c r="T3483" s="21"/>
      <c r="AA3483" s="21"/>
    </row>
    <row r="3484" spans="7:27" x14ac:dyDescent="0.2">
      <c r="G3484" s="21"/>
      <c r="H3484" s="21"/>
      <c r="N3484" s="21"/>
      <c r="O3484" s="21"/>
      <c r="T3484" s="21"/>
      <c r="AA3484" s="21"/>
    </row>
    <row r="3485" spans="7:27" x14ac:dyDescent="0.2">
      <c r="G3485" s="21"/>
      <c r="H3485" s="21"/>
      <c r="N3485" s="21"/>
      <c r="O3485" s="21"/>
      <c r="T3485" s="21"/>
      <c r="AA3485" s="21"/>
    </row>
    <row r="3486" spans="7:27" x14ac:dyDescent="0.2">
      <c r="G3486" s="21"/>
      <c r="H3486" s="21"/>
      <c r="N3486" s="21"/>
      <c r="O3486" s="21"/>
      <c r="T3486" s="21"/>
      <c r="AA3486" s="21"/>
    </row>
    <row r="3487" spans="7:27" x14ac:dyDescent="0.2">
      <c r="G3487" s="21"/>
      <c r="H3487" s="21"/>
      <c r="N3487" s="21"/>
      <c r="O3487" s="21"/>
      <c r="T3487" s="21"/>
      <c r="AA3487" s="21"/>
    </row>
    <row r="3488" spans="7:27" x14ac:dyDescent="0.2">
      <c r="G3488" s="21"/>
      <c r="H3488" s="21"/>
      <c r="N3488" s="21"/>
      <c r="O3488" s="21"/>
      <c r="T3488" s="21"/>
      <c r="AA3488" s="21"/>
    </row>
    <row r="3489" spans="7:27" x14ac:dyDescent="0.2">
      <c r="G3489" s="21"/>
      <c r="H3489" s="21"/>
      <c r="N3489" s="21"/>
      <c r="O3489" s="21"/>
      <c r="T3489" s="21"/>
      <c r="AA3489" s="21"/>
    </row>
    <row r="3490" spans="7:27" x14ac:dyDescent="0.2">
      <c r="G3490" s="21"/>
      <c r="H3490" s="21"/>
      <c r="N3490" s="21"/>
      <c r="O3490" s="21"/>
      <c r="T3490" s="21"/>
      <c r="AA3490" s="21"/>
    </row>
    <row r="3491" spans="7:27" x14ac:dyDescent="0.2">
      <c r="G3491" s="21"/>
      <c r="H3491" s="21"/>
      <c r="N3491" s="21"/>
      <c r="O3491" s="21"/>
      <c r="T3491" s="21"/>
      <c r="AA3491" s="21"/>
    </row>
    <row r="3492" spans="7:27" x14ac:dyDescent="0.2">
      <c r="G3492" s="21"/>
      <c r="H3492" s="21"/>
      <c r="N3492" s="21"/>
      <c r="O3492" s="21"/>
      <c r="T3492" s="21"/>
      <c r="AA3492" s="21"/>
    </row>
    <row r="3493" spans="7:27" x14ac:dyDescent="0.2">
      <c r="G3493" s="21"/>
      <c r="H3493" s="21"/>
      <c r="N3493" s="21"/>
      <c r="O3493" s="21"/>
      <c r="T3493" s="21"/>
      <c r="AA3493" s="21"/>
    </row>
    <row r="3494" spans="7:27" x14ac:dyDescent="0.2">
      <c r="G3494" s="21"/>
      <c r="H3494" s="21"/>
      <c r="N3494" s="21"/>
      <c r="O3494" s="21"/>
      <c r="T3494" s="21"/>
      <c r="AA3494" s="21"/>
    </row>
    <row r="3495" spans="7:27" x14ac:dyDescent="0.2">
      <c r="G3495" s="21"/>
      <c r="H3495" s="21"/>
      <c r="N3495" s="21"/>
      <c r="O3495" s="21"/>
      <c r="T3495" s="21"/>
      <c r="AA3495" s="21"/>
    </row>
    <row r="3496" spans="7:27" x14ac:dyDescent="0.2">
      <c r="G3496" s="21"/>
      <c r="H3496" s="21"/>
      <c r="N3496" s="21"/>
      <c r="O3496" s="21"/>
      <c r="T3496" s="21"/>
      <c r="AA3496" s="21"/>
    </row>
    <row r="3497" spans="7:27" x14ac:dyDescent="0.2">
      <c r="G3497" s="21"/>
      <c r="H3497" s="21"/>
      <c r="N3497" s="21"/>
      <c r="O3497" s="21"/>
      <c r="T3497" s="21"/>
      <c r="AA3497" s="21"/>
    </row>
    <row r="3498" spans="7:27" x14ac:dyDescent="0.2">
      <c r="G3498" s="21"/>
      <c r="H3498" s="21"/>
      <c r="N3498" s="21"/>
      <c r="O3498" s="21"/>
      <c r="T3498" s="21"/>
      <c r="AA3498" s="21"/>
    </row>
    <row r="3499" spans="7:27" x14ac:dyDescent="0.2">
      <c r="G3499" s="21"/>
      <c r="H3499" s="21"/>
      <c r="N3499" s="21"/>
      <c r="O3499" s="21"/>
      <c r="T3499" s="21"/>
      <c r="AA3499" s="21"/>
    </row>
    <row r="3500" spans="7:27" x14ac:dyDescent="0.2">
      <c r="G3500" s="21"/>
      <c r="H3500" s="21"/>
      <c r="N3500" s="21"/>
      <c r="O3500" s="21"/>
      <c r="T3500" s="21"/>
      <c r="AA3500" s="21"/>
    </row>
    <row r="3501" spans="7:27" x14ac:dyDescent="0.2">
      <c r="G3501" s="21"/>
      <c r="H3501" s="21"/>
      <c r="N3501" s="21"/>
      <c r="O3501" s="21"/>
      <c r="T3501" s="21"/>
      <c r="AA3501" s="21"/>
    </row>
    <row r="3502" spans="7:27" x14ac:dyDescent="0.2">
      <c r="G3502" s="21"/>
      <c r="H3502" s="21"/>
      <c r="N3502" s="21"/>
      <c r="O3502" s="21"/>
      <c r="T3502" s="21"/>
      <c r="AA3502" s="21"/>
    </row>
    <row r="3503" spans="7:27" x14ac:dyDescent="0.2">
      <c r="G3503" s="21"/>
      <c r="H3503" s="21"/>
      <c r="N3503" s="21"/>
      <c r="O3503" s="21"/>
      <c r="T3503" s="21"/>
      <c r="AA3503" s="21"/>
    </row>
    <row r="3504" spans="7:27" x14ac:dyDescent="0.2">
      <c r="G3504" s="21"/>
      <c r="H3504" s="21"/>
      <c r="N3504" s="21"/>
      <c r="O3504" s="21"/>
      <c r="T3504" s="21"/>
      <c r="AA3504" s="21"/>
    </row>
    <row r="3505" spans="7:27" x14ac:dyDescent="0.2">
      <c r="G3505" s="21"/>
      <c r="H3505" s="21"/>
      <c r="N3505" s="21"/>
      <c r="O3505" s="21"/>
      <c r="T3505" s="21"/>
      <c r="AA3505" s="21"/>
    </row>
    <row r="3506" spans="7:27" x14ac:dyDescent="0.2">
      <c r="G3506" s="21"/>
      <c r="H3506" s="21"/>
      <c r="N3506" s="21"/>
      <c r="O3506" s="21"/>
      <c r="T3506" s="21"/>
      <c r="AA3506" s="21"/>
    </row>
    <row r="3507" spans="7:27" x14ac:dyDescent="0.2">
      <c r="G3507" s="21"/>
      <c r="H3507" s="21"/>
      <c r="N3507" s="21"/>
      <c r="O3507" s="21"/>
      <c r="T3507" s="21"/>
      <c r="AA3507" s="21"/>
    </row>
    <row r="3508" spans="7:27" x14ac:dyDescent="0.2">
      <c r="G3508" s="21"/>
      <c r="H3508" s="21"/>
      <c r="N3508" s="21"/>
      <c r="O3508" s="21"/>
      <c r="T3508" s="21"/>
      <c r="AA3508" s="21"/>
    </row>
    <row r="3509" spans="7:27" x14ac:dyDescent="0.2">
      <c r="G3509" s="21"/>
      <c r="H3509" s="21"/>
      <c r="N3509" s="21"/>
      <c r="O3509" s="21"/>
      <c r="T3509" s="21"/>
      <c r="AA3509" s="21"/>
    </row>
    <row r="3510" spans="7:27" x14ac:dyDescent="0.2">
      <c r="G3510" s="21"/>
      <c r="H3510" s="21"/>
      <c r="N3510" s="21"/>
      <c r="O3510" s="21"/>
      <c r="T3510" s="21"/>
      <c r="AA3510" s="21"/>
    </row>
    <row r="3511" spans="7:27" x14ac:dyDescent="0.2">
      <c r="G3511" s="21"/>
      <c r="H3511" s="21"/>
      <c r="N3511" s="21"/>
      <c r="O3511" s="21"/>
      <c r="T3511" s="21"/>
      <c r="AA3511" s="21"/>
    </row>
    <row r="3512" spans="7:27" x14ac:dyDescent="0.2">
      <c r="G3512" s="21"/>
      <c r="H3512" s="21"/>
      <c r="N3512" s="21"/>
      <c r="O3512" s="21"/>
      <c r="T3512" s="21"/>
      <c r="AA3512" s="21"/>
    </row>
    <row r="3513" spans="7:27" x14ac:dyDescent="0.2">
      <c r="G3513" s="21"/>
      <c r="H3513" s="21"/>
      <c r="N3513" s="21"/>
      <c r="O3513" s="21"/>
      <c r="T3513" s="21"/>
      <c r="AA3513" s="21"/>
    </row>
    <row r="3514" spans="7:27" x14ac:dyDescent="0.2">
      <c r="G3514" s="21"/>
      <c r="H3514" s="21"/>
      <c r="N3514" s="21"/>
      <c r="O3514" s="21"/>
      <c r="T3514" s="21"/>
      <c r="AA3514" s="21"/>
    </row>
    <row r="3515" spans="7:27" x14ac:dyDescent="0.2">
      <c r="G3515" s="21"/>
      <c r="H3515" s="21"/>
      <c r="N3515" s="21"/>
      <c r="O3515" s="21"/>
      <c r="T3515" s="21"/>
      <c r="AA3515" s="21"/>
    </row>
    <row r="3516" spans="7:27" x14ac:dyDescent="0.2">
      <c r="G3516" s="21"/>
      <c r="H3516" s="21"/>
      <c r="N3516" s="21"/>
      <c r="O3516" s="21"/>
      <c r="T3516" s="21"/>
      <c r="AA3516" s="21"/>
    </row>
    <row r="3517" spans="7:27" x14ac:dyDescent="0.2">
      <c r="G3517" s="21"/>
      <c r="H3517" s="21"/>
      <c r="N3517" s="21"/>
      <c r="O3517" s="21"/>
      <c r="T3517" s="21"/>
      <c r="AA3517" s="21"/>
    </row>
    <row r="3518" spans="7:27" x14ac:dyDescent="0.2">
      <c r="G3518" s="21"/>
      <c r="H3518" s="21"/>
      <c r="N3518" s="21"/>
      <c r="O3518" s="21"/>
      <c r="T3518" s="21"/>
      <c r="AA3518" s="21"/>
    </row>
    <row r="3519" spans="7:27" x14ac:dyDescent="0.2">
      <c r="G3519" s="21"/>
      <c r="H3519" s="21"/>
      <c r="N3519" s="21"/>
      <c r="O3519" s="21"/>
      <c r="T3519" s="21"/>
      <c r="AA3519" s="21"/>
    </row>
    <row r="3520" spans="7:27" x14ac:dyDescent="0.2">
      <c r="G3520" s="21"/>
      <c r="H3520" s="21"/>
      <c r="N3520" s="21"/>
      <c r="O3520" s="21"/>
      <c r="T3520" s="21"/>
      <c r="AA3520" s="21"/>
    </row>
    <row r="3521" spans="7:27" x14ac:dyDescent="0.2">
      <c r="G3521" s="21"/>
      <c r="H3521" s="21"/>
      <c r="N3521" s="21"/>
      <c r="O3521" s="21"/>
      <c r="T3521" s="21"/>
      <c r="AA3521" s="21"/>
    </row>
    <row r="3522" spans="7:27" x14ac:dyDescent="0.2">
      <c r="G3522" s="21"/>
      <c r="H3522" s="21"/>
      <c r="N3522" s="21"/>
      <c r="O3522" s="21"/>
      <c r="T3522" s="21"/>
      <c r="AA3522" s="21"/>
    </row>
    <row r="3523" spans="7:27" x14ac:dyDescent="0.2">
      <c r="G3523" s="21"/>
      <c r="H3523" s="21"/>
      <c r="N3523" s="21"/>
      <c r="O3523" s="21"/>
      <c r="T3523" s="21"/>
      <c r="AA3523" s="21"/>
    </row>
    <row r="3524" spans="7:27" x14ac:dyDescent="0.2">
      <c r="G3524" s="21"/>
      <c r="H3524" s="21"/>
      <c r="N3524" s="21"/>
      <c r="O3524" s="21"/>
      <c r="T3524" s="21"/>
      <c r="AA3524" s="21"/>
    </row>
    <row r="3525" spans="7:27" x14ac:dyDescent="0.2">
      <c r="G3525" s="21"/>
      <c r="H3525" s="21"/>
      <c r="N3525" s="21"/>
      <c r="O3525" s="21"/>
      <c r="T3525" s="21"/>
      <c r="AA3525" s="21"/>
    </row>
    <row r="3526" spans="7:27" x14ac:dyDescent="0.2">
      <c r="G3526" s="21"/>
      <c r="H3526" s="21"/>
      <c r="N3526" s="21"/>
      <c r="O3526" s="21"/>
      <c r="T3526" s="21"/>
      <c r="AA3526" s="21"/>
    </row>
    <row r="3527" spans="7:27" x14ac:dyDescent="0.2">
      <c r="G3527" s="21"/>
      <c r="H3527" s="21"/>
      <c r="N3527" s="21"/>
      <c r="O3527" s="21"/>
      <c r="T3527" s="21"/>
      <c r="AA3527" s="21"/>
    </row>
    <row r="3528" spans="7:27" x14ac:dyDescent="0.2">
      <c r="G3528" s="21"/>
      <c r="H3528" s="21"/>
      <c r="N3528" s="21"/>
      <c r="O3528" s="21"/>
      <c r="T3528" s="21"/>
      <c r="AA3528" s="21"/>
    </row>
    <row r="3529" spans="7:27" x14ac:dyDescent="0.2">
      <c r="G3529" s="21"/>
      <c r="H3529" s="21"/>
      <c r="N3529" s="21"/>
      <c r="O3529" s="21"/>
      <c r="T3529" s="21"/>
      <c r="AA3529" s="21"/>
    </row>
    <row r="3530" spans="7:27" x14ac:dyDescent="0.2">
      <c r="G3530" s="21"/>
      <c r="H3530" s="21"/>
      <c r="N3530" s="21"/>
      <c r="O3530" s="21"/>
      <c r="T3530" s="21"/>
      <c r="AA3530" s="21"/>
    </row>
    <row r="3531" spans="7:27" x14ac:dyDescent="0.2">
      <c r="G3531" s="21"/>
      <c r="H3531" s="21"/>
      <c r="N3531" s="21"/>
      <c r="O3531" s="21"/>
      <c r="T3531" s="21"/>
      <c r="AA3531" s="21"/>
    </row>
    <row r="3532" spans="7:27" x14ac:dyDescent="0.2">
      <c r="G3532" s="21"/>
      <c r="H3532" s="21"/>
      <c r="N3532" s="21"/>
      <c r="O3532" s="21"/>
      <c r="T3532" s="21"/>
      <c r="AA3532" s="21"/>
    </row>
    <row r="3533" spans="7:27" x14ac:dyDescent="0.2">
      <c r="G3533" s="21"/>
      <c r="H3533" s="21"/>
      <c r="N3533" s="21"/>
      <c r="O3533" s="21"/>
      <c r="T3533" s="21"/>
      <c r="AA3533" s="21"/>
    </row>
    <row r="3534" spans="7:27" x14ac:dyDescent="0.2">
      <c r="G3534" s="21"/>
      <c r="H3534" s="21"/>
      <c r="N3534" s="21"/>
      <c r="O3534" s="21"/>
      <c r="T3534" s="21"/>
      <c r="AA3534" s="21"/>
    </row>
    <row r="3535" spans="7:27" x14ac:dyDescent="0.2">
      <c r="G3535" s="21"/>
      <c r="H3535" s="21"/>
      <c r="N3535" s="21"/>
      <c r="O3535" s="21"/>
      <c r="T3535" s="21"/>
      <c r="AA3535" s="21"/>
    </row>
    <row r="3536" spans="7:27" x14ac:dyDescent="0.2">
      <c r="G3536" s="21"/>
      <c r="H3536" s="21"/>
      <c r="N3536" s="21"/>
      <c r="O3536" s="21"/>
      <c r="T3536" s="21"/>
      <c r="AA3536" s="21"/>
    </row>
    <row r="3537" spans="7:27" x14ac:dyDescent="0.2">
      <c r="G3537" s="21"/>
      <c r="H3537" s="21"/>
      <c r="N3537" s="21"/>
      <c r="O3537" s="21"/>
      <c r="T3537" s="21"/>
      <c r="AA3537" s="21"/>
    </row>
    <row r="3538" spans="7:27" x14ac:dyDescent="0.2">
      <c r="G3538" s="21"/>
      <c r="H3538" s="21"/>
      <c r="N3538" s="21"/>
      <c r="O3538" s="21"/>
      <c r="T3538" s="21"/>
      <c r="AA3538" s="21"/>
    </row>
    <row r="3539" spans="7:27" x14ac:dyDescent="0.2">
      <c r="G3539" s="21"/>
      <c r="H3539" s="21"/>
      <c r="N3539" s="21"/>
      <c r="O3539" s="21"/>
      <c r="T3539" s="21"/>
      <c r="AA3539" s="21"/>
    </row>
    <row r="3540" spans="7:27" x14ac:dyDescent="0.2">
      <c r="G3540" s="21"/>
      <c r="H3540" s="21"/>
      <c r="N3540" s="21"/>
      <c r="O3540" s="21"/>
      <c r="T3540" s="21"/>
      <c r="AA3540" s="21"/>
    </row>
    <row r="3541" spans="7:27" x14ac:dyDescent="0.2">
      <c r="G3541" s="21"/>
      <c r="H3541" s="21"/>
      <c r="N3541" s="21"/>
      <c r="O3541" s="21"/>
      <c r="T3541" s="21"/>
      <c r="AA3541" s="21"/>
    </row>
    <row r="3542" spans="7:27" x14ac:dyDescent="0.2">
      <c r="G3542" s="21"/>
      <c r="H3542" s="21"/>
      <c r="N3542" s="21"/>
      <c r="O3542" s="21"/>
      <c r="T3542" s="21"/>
      <c r="AA3542" s="21"/>
    </row>
    <row r="3543" spans="7:27" x14ac:dyDescent="0.2">
      <c r="G3543" s="21"/>
      <c r="H3543" s="21"/>
      <c r="N3543" s="21"/>
      <c r="O3543" s="21"/>
      <c r="T3543" s="21"/>
      <c r="AA3543" s="21"/>
    </row>
    <row r="3544" spans="7:27" x14ac:dyDescent="0.2">
      <c r="G3544" s="21"/>
      <c r="H3544" s="21"/>
      <c r="N3544" s="21"/>
      <c r="O3544" s="21"/>
      <c r="T3544" s="21"/>
      <c r="AA3544" s="21"/>
    </row>
    <row r="3545" spans="7:27" x14ac:dyDescent="0.2">
      <c r="G3545" s="21"/>
      <c r="H3545" s="21"/>
      <c r="N3545" s="21"/>
      <c r="O3545" s="21"/>
      <c r="T3545" s="21"/>
      <c r="AA3545" s="21"/>
    </row>
    <row r="3546" spans="7:27" x14ac:dyDescent="0.2">
      <c r="G3546" s="21"/>
      <c r="H3546" s="21"/>
      <c r="N3546" s="21"/>
      <c r="O3546" s="21"/>
      <c r="T3546" s="21"/>
      <c r="AA3546" s="21"/>
    </row>
    <row r="3547" spans="7:27" x14ac:dyDescent="0.2">
      <c r="G3547" s="21"/>
      <c r="H3547" s="21"/>
      <c r="N3547" s="21"/>
      <c r="O3547" s="21"/>
      <c r="T3547" s="21"/>
      <c r="AA3547" s="21"/>
    </row>
    <row r="3548" spans="7:27" x14ac:dyDescent="0.2">
      <c r="G3548" s="21"/>
      <c r="H3548" s="21"/>
      <c r="N3548" s="21"/>
      <c r="O3548" s="21"/>
      <c r="T3548" s="21"/>
      <c r="AA3548" s="21"/>
    </row>
    <row r="3549" spans="7:27" x14ac:dyDescent="0.2">
      <c r="G3549" s="21"/>
      <c r="H3549" s="21"/>
      <c r="N3549" s="21"/>
      <c r="O3549" s="21"/>
      <c r="T3549" s="21"/>
      <c r="AA3549" s="21"/>
    </row>
    <row r="3550" spans="7:27" x14ac:dyDescent="0.2">
      <c r="G3550" s="21"/>
      <c r="H3550" s="21"/>
      <c r="N3550" s="21"/>
      <c r="O3550" s="21"/>
      <c r="T3550" s="21"/>
      <c r="AA3550" s="21"/>
    </row>
    <row r="3551" spans="7:27" x14ac:dyDescent="0.2">
      <c r="G3551" s="21"/>
      <c r="H3551" s="21"/>
      <c r="N3551" s="21"/>
      <c r="O3551" s="21"/>
      <c r="T3551" s="21"/>
      <c r="AA3551" s="21"/>
    </row>
    <row r="3552" spans="7:27" x14ac:dyDescent="0.2">
      <c r="G3552" s="21"/>
      <c r="H3552" s="21"/>
      <c r="N3552" s="21"/>
      <c r="O3552" s="21"/>
      <c r="T3552" s="21"/>
      <c r="AA3552" s="21"/>
    </row>
    <row r="3553" spans="7:27" x14ac:dyDescent="0.2">
      <c r="G3553" s="21"/>
      <c r="H3553" s="21"/>
      <c r="N3553" s="21"/>
      <c r="O3553" s="21"/>
      <c r="T3553" s="21"/>
      <c r="AA3553" s="21"/>
    </row>
    <row r="3554" spans="7:27" x14ac:dyDescent="0.2">
      <c r="G3554" s="21"/>
      <c r="H3554" s="21"/>
      <c r="N3554" s="21"/>
      <c r="O3554" s="21"/>
      <c r="T3554" s="21"/>
      <c r="AA3554" s="21"/>
    </row>
    <row r="3555" spans="7:27" x14ac:dyDescent="0.2">
      <c r="G3555" s="21"/>
      <c r="H3555" s="21"/>
      <c r="N3555" s="21"/>
      <c r="O3555" s="21"/>
      <c r="T3555" s="21"/>
      <c r="AA3555" s="21"/>
    </row>
    <row r="3556" spans="7:27" x14ac:dyDescent="0.2">
      <c r="G3556" s="21"/>
      <c r="H3556" s="21"/>
      <c r="N3556" s="21"/>
      <c r="O3556" s="21"/>
      <c r="T3556" s="21"/>
      <c r="AA3556" s="21"/>
    </row>
    <row r="3557" spans="7:27" x14ac:dyDescent="0.2">
      <c r="G3557" s="21"/>
      <c r="H3557" s="21"/>
      <c r="N3557" s="21"/>
      <c r="O3557" s="21"/>
      <c r="T3557" s="21"/>
      <c r="AA3557" s="21"/>
    </row>
    <row r="3558" spans="7:27" x14ac:dyDescent="0.2">
      <c r="G3558" s="21"/>
      <c r="H3558" s="21"/>
      <c r="N3558" s="21"/>
      <c r="O3558" s="21"/>
      <c r="T3558" s="21"/>
      <c r="AA3558" s="21"/>
    </row>
    <row r="3559" spans="7:27" x14ac:dyDescent="0.2">
      <c r="G3559" s="21"/>
      <c r="H3559" s="21"/>
      <c r="N3559" s="21"/>
      <c r="O3559" s="21"/>
      <c r="T3559" s="21"/>
      <c r="AA3559" s="21"/>
    </row>
    <row r="3560" spans="7:27" x14ac:dyDescent="0.2">
      <c r="G3560" s="21"/>
      <c r="H3560" s="21"/>
      <c r="N3560" s="21"/>
      <c r="O3560" s="21"/>
      <c r="T3560" s="21"/>
      <c r="AA3560" s="21"/>
    </row>
    <row r="3561" spans="7:27" x14ac:dyDescent="0.2">
      <c r="G3561" s="21"/>
      <c r="H3561" s="21"/>
      <c r="N3561" s="21"/>
      <c r="O3561" s="21"/>
      <c r="T3561" s="21"/>
      <c r="AA3561" s="21"/>
    </row>
    <row r="3562" spans="7:27" x14ac:dyDescent="0.2">
      <c r="G3562" s="21"/>
      <c r="H3562" s="21"/>
      <c r="N3562" s="21"/>
      <c r="O3562" s="21"/>
      <c r="T3562" s="21"/>
      <c r="AA3562" s="21"/>
    </row>
    <row r="3563" spans="7:27" x14ac:dyDescent="0.2">
      <c r="G3563" s="21"/>
      <c r="H3563" s="21"/>
      <c r="N3563" s="21"/>
      <c r="O3563" s="21"/>
      <c r="T3563" s="21"/>
      <c r="AA3563" s="21"/>
    </row>
    <row r="3564" spans="7:27" x14ac:dyDescent="0.2">
      <c r="G3564" s="21"/>
      <c r="H3564" s="21"/>
      <c r="N3564" s="21"/>
      <c r="O3564" s="21"/>
      <c r="T3564" s="21"/>
      <c r="AA3564" s="21"/>
    </row>
    <row r="3565" spans="7:27" x14ac:dyDescent="0.2">
      <c r="G3565" s="21"/>
      <c r="H3565" s="21"/>
      <c r="N3565" s="21"/>
      <c r="O3565" s="21"/>
      <c r="T3565" s="21"/>
      <c r="AA3565" s="21"/>
    </row>
    <row r="3566" spans="7:27" x14ac:dyDescent="0.2">
      <c r="G3566" s="21"/>
      <c r="H3566" s="21"/>
      <c r="N3566" s="21"/>
      <c r="O3566" s="21"/>
      <c r="T3566" s="21"/>
      <c r="AA3566" s="21"/>
    </row>
    <row r="3567" spans="7:27" x14ac:dyDescent="0.2">
      <c r="G3567" s="21"/>
      <c r="H3567" s="21"/>
      <c r="N3567" s="21"/>
      <c r="O3567" s="21"/>
      <c r="T3567" s="21"/>
      <c r="AA3567" s="21"/>
    </row>
    <row r="3568" spans="7:27" x14ac:dyDescent="0.2">
      <c r="G3568" s="21"/>
      <c r="H3568" s="21"/>
      <c r="N3568" s="21"/>
      <c r="O3568" s="21"/>
      <c r="T3568" s="21"/>
      <c r="AA3568" s="21"/>
    </row>
    <row r="3569" spans="7:27" x14ac:dyDescent="0.2">
      <c r="G3569" s="21"/>
      <c r="H3569" s="21"/>
      <c r="N3569" s="21"/>
      <c r="O3569" s="21"/>
      <c r="T3569" s="21"/>
      <c r="AA3569" s="21"/>
    </row>
    <row r="3570" spans="7:27" x14ac:dyDescent="0.2">
      <c r="G3570" s="21"/>
      <c r="H3570" s="21"/>
      <c r="N3570" s="21"/>
      <c r="O3570" s="21"/>
      <c r="T3570" s="21"/>
      <c r="AA3570" s="21"/>
    </row>
    <row r="3571" spans="7:27" x14ac:dyDescent="0.2">
      <c r="G3571" s="21"/>
      <c r="H3571" s="21"/>
      <c r="N3571" s="21"/>
      <c r="O3571" s="21"/>
      <c r="T3571" s="21"/>
      <c r="AA3571" s="21"/>
    </row>
    <row r="3572" spans="7:27" x14ac:dyDescent="0.2">
      <c r="G3572" s="21"/>
      <c r="H3572" s="21"/>
      <c r="N3572" s="21"/>
      <c r="O3572" s="21"/>
      <c r="T3572" s="21"/>
      <c r="AA3572" s="21"/>
    </row>
    <row r="3573" spans="7:27" x14ac:dyDescent="0.2">
      <c r="G3573" s="21"/>
      <c r="H3573" s="21"/>
      <c r="N3573" s="21"/>
      <c r="O3573" s="21"/>
      <c r="T3573" s="21"/>
      <c r="AA3573" s="21"/>
    </row>
    <row r="3574" spans="7:27" x14ac:dyDescent="0.2">
      <c r="G3574" s="21"/>
      <c r="H3574" s="21"/>
      <c r="N3574" s="21"/>
      <c r="O3574" s="21"/>
      <c r="T3574" s="21"/>
      <c r="AA3574" s="21"/>
    </row>
    <row r="3575" spans="7:27" x14ac:dyDescent="0.2">
      <c r="G3575" s="21"/>
      <c r="H3575" s="21"/>
      <c r="N3575" s="21"/>
      <c r="O3575" s="21"/>
      <c r="T3575" s="21"/>
      <c r="AA3575" s="21"/>
    </row>
    <row r="3576" spans="7:27" x14ac:dyDescent="0.2">
      <c r="G3576" s="21"/>
      <c r="H3576" s="21"/>
      <c r="N3576" s="21"/>
      <c r="O3576" s="21"/>
      <c r="T3576" s="21"/>
      <c r="AA3576" s="21"/>
    </row>
    <row r="3577" spans="7:27" x14ac:dyDescent="0.2">
      <c r="G3577" s="21"/>
      <c r="H3577" s="21"/>
      <c r="N3577" s="21"/>
      <c r="O3577" s="21"/>
      <c r="T3577" s="21"/>
      <c r="AA3577" s="21"/>
    </row>
    <row r="3578" spans="7:27" x14ac:dyDescent="0.2">
      <c r="G3578" s="21"/>
      <c r="H3578" s="21"/>
      <c r="N3578" s="21"/>
      <c r="O3578" s="21"/>
      <c r="T3578" s="21"/>
      <c r="AA3578" s="21"/>
    </row>
    <row r="3579" spans="7:27" x14ac:dyDescent="0.2">
      <c r="G3579" s="21"/>
      <c r="H3579" s="21"/>
      <c r="N3579" s="21"/>
      <c r="O3579" s="21"/>
      <c r="T3579" s="21"/>
      <c r="AA3579" s="21"/>
    </row>
    <row r="3580" spans="7:27" x14ac:dyDescent="0.2">
      <c r="G3580" s="21"/>
      <c r="H3580" s="21"/>
      <c r="N3580" s="21"/>
      <c r="O3580" s="21"/>
      <c r="T3580" s="21"/>
      <c r="AA3580" s="21"/>
    </row>
    <row r="3581" spans="7:27" x14ac:dyDescent="0.2">
      <c r="G3581" s="21"/>
      <c r="H3581" s="21"/>
      <c r="N3581" s="21"/>
      <c r="O3581" s="21"/>
      <c r="T3581" s="21"/>
      <c r="AA3581" s="21"/>
    </row>
    <row r="3582" spans="7:27" x14ac:dyDescent="0.2">
      <c r="G3582" s="21"/>
      <c r="H3582" s="21"/>
      <c r="N3582" s="21"/>
      <c r="O3582" s="21"/>
      <c r="T3582" s="21"/>
      <c r="AA3582" s="21"/>
    </row>
    <row r="3583" spans="7:27" x14ac:dyDescent="0.2">
      <c r="G3583" s="21"/>
      <c r="H3583" s="21"/>
      <c r="N3583" s="21"/>
      <c r="O3583" s="21"/>
      <c r="T3583" s="21"/>
      <c r="AA3583" s="21"/>
    </row>
    <row r="3584" spans="7:27" x14ac:dyDescent="0.2">
      <c r="G3584" s="21"/>
      <c r="H3584" s="21"/>
      <c r="N3584" s="21"/>
      <c r="O3584" s="21"/>
      <c r="T3584" s="21"/>
      <c r="AA3584" s="21"/>
    </row>
    <row r="3585" spans="7:27" x14ac:dyDescent="0.2">
      <c r="G3585" s="21"/>
      <c r="H3585" s="21"/>
      <c r="N3585" s="21"/>
      <c r="O3585" s="21"/>
      <c r="T3585" s="21"/>
      <c r="AA3585" s="21"/>
    </row>
    <row r="3586" spans="7:27" x14ac:dyDescent="0.2">
      <c r="G3586" s="21"/>
      <c r="H3586" s="21"/>
      <c r="N3586" s="21"/>
      <c r="O3586" s="21"/>
      <c r="T3586" s="21"/>
      <c r="AA3586" s="21"/>
    </row>
    <row r="3587" spans="7:27" x14ac:dyDescent="0.2">
      <c r="G3587" s="21"/>
      <c r="H3587" s="21"/>
      <c r="N3587" s="21"/>
      <c r="O3587" s="21"/>
      <c r="T3587" s="21"/>
      <c r="AA3587" s="21"/>
    </row>
    <row r="3588" spans="7:27" x14ac:dyDescent="0.2">
      <c r="G3588" s="21"/>
      <c r="H3588" s="21"/>
      <c r="N3588" s="21"/>
      <c r="O3588" s="21"/>
      <c r="T3588" s="21"/>
      <c r="AA3588" s="21"/>
    </row>
    <row r="3589" spans="7:27" x14ac:dyDescent="0.2">
      <c r="G3589" s="21"/>
      <c r="H3589" s="21"/>
      <c r="N3589" s="21"/>
      <c r="O3589" s="21"/>
      <c r="T3589" s="21"/>
      <c r="AA3589" s="21"/>
    </row>
    <row r="3590" spans="7:27" x14ac:dyDescent="0.2">
      <c r="G3590" s="21"/>
      <c r="H3590" s="21"/>
      <c r="N3590" s="21"/>
      <c r="O3590" s="21"/>
      <c r="T3590" s="21"/>
      <c r="AA3590" s="21"/>
    </row>
    <row r="3591" spans="7:27" x14ac:dyDescent="0.2">
      <c r="G3591" s="21"/>
      <c r="H3591" s="21"/>
      <c r="N3591" s="21"/>
      <c r="O3591" s="21"/>
      <c r="T3591" s="21"/>
      <c r="AA3591" s="21"/>
    </row>
    <row r="3592" spans="7:27" x14ac:dyDescent="0.2">
      <c r="G3592" s="21"/>
      <c r="H3592" s="21"/>
      <c r="N3592" s="21"/>
      <c r="O3592" s="21"/>
      <c r="T3592" s="21"/>
      <c r="AA3592" s="21"/>
    </row>
    <row r="3593" spans="7:27" x14ac:dyDescent="0.2">
      <c r="G3593" s="21"/>
      <c r="H3593" s="21"/>
      <c r="N3593" s="21"/>
      <c r="O3593" s="21"/>
      <c r="T3593" s="21"/>
      <c r="AA3593" s="21"/>
    </row>
    <row r="3594" spans="7:27" x14ac:dyDescent="0.2">
      <c r="G3594" s="21"/>
      <c r="H3594" s="21"/>
      <c r="N3594" s="21"/>
      <c r="O3594" s="21"/>
      <c r="T3594" s="21"/>
      <c r="AA3594" s="21"/>
    </row>
    <row r="3595" spans="7:27" x14ac:dyDescent="0.2">
      <c r="G3595" s="21"/>
      <c r="H3595" s="21"/>
      <c r="N3595" s="21"/>
      <c r="O3595" s="21"/>
      <c r="T3595" s="21"/>
      <c r="AA3595" s="21"/>
    </row>
    <row r="3596" spans="7:27" x14ac:dyDescent="0.2">
      <c r="G3596" s="21"/>
      <c r="H3596" s="21"/>
      <c r="N3596" s="21"/>
      <c r="O3596" s="21"/>
      <c r="T3596" s="21"/>
      <c r="AA3596" s="21"/>
    </row>
    <row r="3597" spans="7:27" x14ac:dyDescent="0.2">
      <c r="G3597" s="21"/>
      <c r="H3597" s="21"/>
      <c r="N3597" s="21"/>
      <c r="O3597" s="21"/>
      <c r="T3597" s="21"/>
      <c r="AA3597" s="21"/>
    </row>
    <row r="3598" spans="7:27" x14ac:dyDescent="0.2">
      <c r="G3598" s="21"/>
      <c r="H3598" s="21"/>
      <c r="N3598" s="21"/>
      <c r="O3598" s="21"/>
      <c r="T3598" s="21"/>
      <c r="AA3598" s="21"/>
    </row>
    <row r="3599" spans="7:27" x14ac:dyDescent="0.2">
      <c r="G3599" s="21"/>
      <c r="H3599" s="21"/>
      <c r="N3599" s="21"/>
      <c r="O3599" s="21"/>
      <c r="T3599" s="21"/>
      <c r="AA3599" s="21"/>
    </row>
    <row r="3600" spans="7:27" x14ac:dyDescent="0.2">
      <c r="G3600" s="21"/>
      <c r="H3600" s="21"/>
      <c r="N3600" s="21"/>
      <c r="O3600" s="21"/>
      <c r="T3600" s="21"/>
      <c r="AA3600" s="21"/>
    </row>
    <row r="3601" spans="7:27" x14ac:dyDescent="0.2">
      <c r="G3601" s="21"/>
      <c r="H3601" s="21"/>
      <c r="N3601" s="21"/>
      <c r="O3601" s="21"/>
      <c r="T3601" s="21"/>
      <c r="AA3601" s="21"/>
    </row>
    <row r="3602" spans="7:27" x14ac:dyDescent="0.2">
      <c r="G3602" s="21"/>
      <c r="H3602" s="21"/>
      <c r="N3602" s="21"/>
      <c r="O3602" s="21"/>
      <c r="T3602" s="21"/>
      <c r="AA3602" s="21"/>
    </row>
    <row r="3603" spans="7:27" x14ac:dyDescent="0.2">
      <c r="G3603" s="21"/>
      <c r="H3603" s="21"/>
      <c r="N3603" s="21"/>
      <c r="O3603" s="21"/>
      <c r="T3603" s="21"/>
      <c r="AA3603" s="21"/>
    </row>
    <row r="3604" spans="7:27" x14ac:dyDescent="0.2">
      <c r="G3604" s="21"/>
      <c r="H3604" s="21"/>
      <c r="N3604" s="21"/>
      <c r="O3604" s="21"/>
      <c r="T3604" s="21"/>
      <c r="AA3604" s="21"/>
    </row>
    <row r="3605" spans="7:27" x14ac:dyDescent="0.2">
      <c r="G3605" s="21"/>
      <c r="H3605" s="21"/>
      <c r="N3605" s="21"/>
      <c r="O3605" s="21"/>
      <c r="T3605" s="21"/>
      <c r="AA3605" s="21"/>
    </row>
    <row r="3606" spans="7:27" x14ac:dyDescent="0.2">
      <c r="G3606" s="21"/>
      <c r="H3606" s="21"/>
      <c r="N3606" s="21"/>
      <c r="O3606" s="21"/>
      <c r="T3606" s="21"/>
      <c r="AA3606" s="21"/>
    </row>
    <row r="3607" spans="7:27" x14ac:dyDescent="0.2">
      <c r="G3607" s="21"/>
      <c r="H3607" s="21"/>
      <c r="N3607" s="21"/>
      <c r="O3607" s="21"/>
      <c r="T3607" s="21"/>
      <c r="AA3607" s="21"/>
    </row>
    <row r="3608" spans="7:27" x14ac:dyDescent="0.2">
      <c r="G3608" s="21"/>
      <c r="H3608" s="21"/>
      <c r="N3608" s="21"/>
      <c r="O3608" s="21"/>
      <c r="T3608" s="21"/>
      <c r="AA3608" s="21"/>
    </row>
    <row r="3609" spans="7:27" x14ac:dyDescent="0.2">
      <c r="G3609" s="21"/>
      <c r="H3609" s="21"/>
      <c r="N3609" s="21"/>
      <c r="O3609" s="21"/>
      <c r="T3609" s="21"/>
      <c r="AA3609" s="21"/>
    </row>
    <row r="3610" spans="7:27" x14ac:dyDescent="0.2">
      <c r="G3610" s="21"/>
      <c r="H3610" s="21"/>
      <c r="N3610" s="21"/>
      <c r="O3610" s="21"/>
      <c r="T3610" s="21"/>
      <c r="AA3610" s="21"/>
    </row>
    <row r="3611" spans="7:27" x14ac:dyDescent="0.2">
      <c r="G3611" s="21"/>
      <c r="H3611" s="21"/>
      <c r="N3611" s="21"/>
      <c r="O3611" s="21"/>
      <c r="T3611" s="21"/>
      <c r="AA3611" s="21"/>
    </row>
    <row r="3612" spans="7:27" x14ac:dyDescent="0.2">
      <c r="G3612" s="21"/>
      <c r="H3612" s="21"/>
      <c r="N3612" s="21"/>
      <c r="O3612" s="21"/>
      <c r="T3612" s="21"/>
      <c r="AA3612" s="21"/>
    </row>
    <row r="3613" spans="7:27" x14ac:dyDescent="0.2">
      <c r="G3613" s="21"/>
      <c r="H3613" s="21"/>
      <c r="N3613" s="21"/>
      <c r="O3613" s="21"/>
      <c r="T3613" s="21"/>
      <c r="AA3613" s="21"/>
    </row>
    <row r="3614" spans="7:27" x14ac:dyDescent="0.2">
      <c r="G3614" s="21"/>
      <c r="H3614" s="21"/>
      <c r="N3614" s="21"/>
      <c r="O3614" s="21"/>
      <c r="T3614" s="21"/>
      <c r="AA3614" s="21"/>
    </row>
    <row r="3615" spans="7:27" x14ac:dyDescent="0.2">
      <c r="G3615" s="21"/>
      <c r="H3615" s="21"/>
      <c r="N3615" s="21"/>
      <c r="O3615" s="21"/>
      <c r="T3615" s="21"/>
      <c r="AA3615" s="21"/>
    </row>
    <row r="3616" spans="7:27" x14ac:dyDescent="0.2">
      <c r="G3616" s="21"/>
      <c r="H3616" s="21"/>
      <c r="N3616" s="21"/>
      <c r="O3616" s="21"/>
      <c r="T3616" s="21"/>
      <c r="AA3616" s="21"/>
    </row>
    <row r="3617" spans="7:27" x14ac:dyDescent="0.2">
      <c r="G3617" s="21"/>
      <c r="H3617" s="21"/>
      <c r="N3617" s="21"/>
      <c r="O3617" s="21"/>
      <c r="T3617" s="21"/>
      <c r="AA3617" s="21"/>
    </row>
    <row r="3618" spans="7:27" x14ac:dyDescent="0.2">
      <c r="G3618" s="21"/>
      <c r="H3618" s="21"/>
      <c r="N3618" s="21"/>
      <c r="O3618" s="21"/>
      <c r="T3618" s="21"/>
      <c r="AA3618" s="21"/>
    </row>
    <row r="3619" spans="7:27" x14ac:dyDescent="0.2">
      <c r="G3619" s="21"/>
      <c r="H3619" s="21"/>
      <c r="N3619" s="21"/>
      <c r="O3619" s="21"/>
      <c r="T3619" s="21"/>
      <c r="AA3619" s="21"/>
    </row>
    <row r="3620" spans="7:27" x14ac:dyDescent="0.2">
      <c r="G3620" s="21"/>
      <c r="H3620" s="21"/>
      <c r="N3620" s="21"/>
      <c r="O3620" s="21"/>
      <c r="T3620" s="21"/>
      <c r="AA3620" s="21"/>
    </row>
    <row r="3621" spans="7:27" x14ac:dyDescent="0.2">
      <c r="G3621" s="21"/>
      <c r="H3621" s="21"/>
      <c r="N3621" s="21"/>
      <c r="O3621" s="21"/>
      <c r="T3621" s="21"/>
      <c r="AA3621" s="21"/>
    </row>
    <row r="3622" spans="7:27" x14ac:dyDescent="0.2">
      <c r="G3622" s="21"/>
      <c r="H3622" s="21"/>
      <c r="N3622" s="21"/>
      <c r="O3622" s="21"/>
      <c r="T3622" s="21"/>
      <c r="AA3622" s="21"/>
    </row>
    <row r="3623" spans="7:27" x14ac:dyDescent="0.2">
      <c r="G3623" s="21"/>
      <c r="H3623" s="21"/>
      <c r="N3623" s="21"/>
      <c r="O3623" s="21"/>
      <c r="T3623" s="21"/>
      <c r="AA3623" s="21"/>
    </row>
    <row r="3624" spans="7:27" x14ac:dyDescent="0.2">
      <c r="G3624" s="21"/>
      <c r="H3624" s="21"/>
      <c r="N3624" s="21"/>
      <c r="O3624" s="21"/>
      <c r="T3624" s="21"/>
      <c r="AA3624" s="21"/>
    </row>
    <row r="3625" spans="7:27" x14ac:dyDescent="0.2">
      <c r="G3625" s="21"/>
      <c r="H3625" s="21"/>
      <c r="N3625" s="21"/>
      <c r="O3625" s="21"/>
      <c r="T3625" s="21"/>
      <c r="AA3625" s="21"/>
    </row>
    <row r="3626" spans="7:27" x14ac:dyDescent="0.2">
      <c r="G3626" s="21"/>
      <c r="H3626" s="21"/>
      <c r="N3626" s="21"/>
      <c r="O3626" s="21"/>
      <c r="T3626" s="21"/>
      <c r="AA3626" s="21"/>
    </row>
    <row r="3627" spans="7:27" x14ac:dyDescent="0.2">
      <c r="G3627" s="21"/>
      <c r="H3627" s="21"/>
      <c r="N3627" s="21"/>
      <c r="O3627" s="21"/>
      <c r="T3627" s="21"/>
      <c r="AA3627" s="21"/>
    </row>
    <row r="3628" spans="7:27" x14ac:dyDescent="0.2">
      <c r="G3628" s="21"/>
      <c r="H3628" s="21"/>
      <c r="N3628" s="21"/>
      <c r="O3628" s="21"/>
      <c r="T3628" s="21"/>
      <c r="AA3628" s="21"/>
    </row>
    <row r="3629" spans="7:27" x14ac:dyDescent="0.2">
      <c r="G3629" s="21"/>
      <c r="H3629" s="21"/>
      <c r="N3629" s="21"/>
      <c r="O3629" s="21"/>
      <c r="T3629" s="21"/>
      <c r="AA3629" s="21"/>
    </row>
    <row r="3630" spans="7:27" x14ac:dyDescent="0.2">
      <c r="G3630" s="21"/>
      <c r="H3630" s="21"/>
      <c r="N3630" s="21"/>
      <c r="O3630" s="21"/>
      <c r="T3630" s="21"/>
      <c r="AA3630" s="21"/>
    </row>
    <row r="3631" spans="7:27" x14ac:dyDescent="0.2">
      <c r="G3631" s="21"/>
      <c r="H3631" s="21"/>
      <c r="N3631" s="21"/>
      <c r="O3631" s="21"/>
      <c r="T3631" s="21"/>
      <c r="AA3631" s="21"/>
    </row>
    <row r="3632" spans="7:27" x14ac:dyDescent="0.2">
      <c r="G3632" s="21"/>
      <c r="H3632" s="21"/>
      <c r="N3632" s="21"/>
      <c r="O3632" s="21"/>
      <c r="T3632" s="21"/>
      <c r="AA3632" s="21"/>
    </row>
    <row r="3633" spans="7:27" x14ac:dyDescent="0.2">
      <c r="G3633" s="21"/>
      <c r="H3633" s="21"/>
      <c r="N3633" s="21"/>
      <c r="O3633" s="21"/>
      <c r="T3633" s="21"/>
      <c r="AA3633" s="21"/>
    </row>
    <row r="3634" spans="7:27" x14ac:dyDescent="0.2">
      <c r="G3634" s="21"/>
      <c r="H3634" s="21"/>
      <c r="N3634" s="21"/>
      <c r="O3634" s="21"/>
      <c r="T3634" s="21"/>
      <c r="AA3634" s="21"/>
    </row>
    <row r="3635" spans="7:27" x14ac:dyDescent="0.2">
      <c r="G3635" s="21"/>
      <c r="H3635" s="21"/>
      <c r="N3635" s="21"/>
      <c r="O3635" s="21"/>
      <c r="T3635" s="21"/>
      <c r="AA3635" s="21"/>
    </row>
    <row r="3636" spans="7:27" x14ac:dyDescent="0.2">
      <c r="G3636" s="21"/>
      <c r="H3636" s="21"/>
      <c r="N3636" s="21"/>
      <c r="O3636" s="21"/>
      <c r="T3636" s="21"/>
      <c r="AA3636" s="21"/>
    </row>
    <row r="3637" spans="7:27" x14ac:dyDescent="0.2">
      <c r="G3637" s="21"/>
      <c r="H3637" s="21"/>
      <c r="N3637" s="21"/>
      <c r="O3637" s="21"/>
      <c r="T3637" s="21"/>
      <c r="AA3637" s="21"/>
    </row>
    <row r="3638" spans="7:27" x14ac:dyDescent="0.2">
      <c r="G3638" s="21"/>
      <c r="H3638" s="21"/>
      <c r="N3638" s="21"/>
      <c r="O3638" s="21"/>
      <c r="T3638" s="21"/>
      <c r="AA3638" s="21"/>
    </row>
    <row r="3639" spans="7:27" x14ac:dyDescent="0.2">
      <c r="G3639" s="21"/>
      <c r="H3639" s="21"/>
      <c r="N3639" s="21"/>
      <c r="O3639" s="21"/>
      <c r="T3639" s="21"/>
      <c r="AA3639" s="21"/>
    </row>
    <row r="3640" spans="7:27" x14ac:dyDescent="0.2">
      <c r="G3640" s="21"/>
      <c r="H3640" s="21"/>
      <c r="N3640" s="21"/>
      <c r="O3640" s="21"/>
      <c r="T3640" s="21"/>
      <c r="AA3640" s="21"/>
    </row>
    <row r="3641" spans="7:27" x14ac:dyDescent="0.2">
      <c r="G3641" s="21"/>
      <c r="H3641" s="21"/>
      <c r="N3641" s="21"/>
      <c r="O3641" s="21"/>
      <c r="T3641" s="21"/>
      <c r="AA3641" s="21"/>
    </row>
    <row r="3642" spans="7:27" x14ac:dyDescent="0.2">
      <c r="G3642" s="21"/>
      <c r="H3642" s="21"/>
      <c r="N3642" s="21"/>
      <c r="O3642" s="21"/>
      <c r="T3642" s="21"/>
      <c r="AA3642" s="21"/>
    </row>
    <row r="3643" spans="7:27" x14ac:dyDescent="0.2">
      <c r="G3643" s="21"/>
      <c r="H3643" s="21"/>
      <c r="N3643" s="21"/>
      <c r="O3643" s="21"/>
      <c r="T3643" s="21"/>
      <c r="AA3643" s="21"/>
    </row>
    <row r="3644" spans="7:27" x14ac:dyDescent="0.2">
      <c r="G3644" s="21"/>
      <c r="H3644" s="21"/>
      <c r="N3644" s="21"/>
      <c r="O3644" s="21"/>
      <c r="T3644" s="21"/>
      <c r="AA3644" s="21"/>
    </row>
    <row r="3645" spans="7:27" x14ac:dyDescent="0.2">
      <c r="G3645" s="21"/>
      <c r="H3645" s="21"/>
      <c r="N3645" s="21"/>
      <c r="O3645" s="21"/>
      <c r="T3645" s="21"/>
      <c r="AA3645" s="21"/>
    </row>
    <row r="3646" spans="7:27" x14ac:dyDescent="0.2">
      <c r="G3646" s="21"/>
      <c r="H3646" s="21"/>
      <c r="N3646" s="21"/>
      <c r="O3646" s="21"/>
      <c r="T3646" s="21"/>
      <c r="AA3646" s="21"/>
    </row>
    <row r="3647" spans="7:27" x14ac:dyDescent="0.2">
      <c r="G3647" s="21"/>
      <c r="H3647" s="21"/>
      <c r="N3647" s="21"/>
      <c r="O3647" s="21"/>
      <c r="T3647" s="21"/>
      <c r="AA3647" s="21"/>
    </row>
    <row r="3648" spans="7:27" x14ac:dyDescent="0.2">
      <c r="G3648" s="21"/>
      <c r="H3648" s="21"/>
      <c r="N3648" s="21"/>
      <c r="O3648" s="21"/>
      <c r="T3648" s="21"/>
      <c r="AA3648" s="21"/>
    </row>
    <row r="3649" spans="7:27" x14ac:dyDescent="0.2">
      <c r="G3649" s="21"/>
      <c r="H3649" s="21"/>
      <c r="N3649" s="21"/>
      <c r="O3649" s="21"/>
      <c r="T3649" s="21"/>
      <c r="AA3649" s="21"/>
    </row>
    <row r="3650" spans="7:27" x14ac:dyDescent="0.2">
      <c r="G3650" s="21"/>
      <c r="H3650" s="21"/>
      <c r="N3650" s="21"/>
      <c r="O3650" s="21"/>
      <c r="T3650" s="21"/>
      <c r="AA3650" s="21"/>
    </row>
    <row r="3651" spans="7:27" x14ac:dyDescent="0.2">
      <c r="G3651" s="21"/>
      <c r="H3651" s="21"/>
      <c r="N3651" s="21"/>
      <c r="O3651" s="21"/>
      <c r="T3651" s="21"/>
      <c r="AA3651" s="21"/>
    </row>
    <row r="3652" spans="7:27" x14ac:dyDescent="0.2">
      <c r="G3652" s="21"/>
      <c r="H3652" s="21"/>
      <c r="N3652" s="21"/>
      <c r="O3652" s="21"/>
      <c r="T3652" s="21"/>
      <c r="AA3652" s="21"/>
    </row>
    <row r="3653" spans="7:27" x14ac:dyDescent="0.2">
      <c r="G3653" s="21"/>
      <c r="H3653" s="21"/>
      <c r="N3653" s="21"/>
      <c r="O3653" s="21"/>
      <c r="T3653" s="21"/>
      <c r="AA3653" s="21"/>
    </row>
    <row r="3654" spans="7:27" x14ac:dyDescent="0.2">
      <c r="G3654" s="21"/>
      <c r="H3654" s="21"/>
      <c r="N3654" s="21"/>
      <c r="O3654" s="21"/>
      <c r="T3654" s="21"/>
      <c r="AA3654" s="21"/>
    </row>
    <row r="3655" spans="7:27" x14ac:dyDescent="0.2">
      <c r="G3655" s="21"/>
      <c r="H3655" s="21"/>
      <c r="N3655" s="21"/>
      <c r="O3655" s="21"/>
      <c r="T3655" s="21"/>
      <c r="AA3655" s="21"/>
    </row>
    <row r="3656" spans="7:27" x14ac:dyDescent="0.2">
      <c r="G3656" s="21"/>
      <c r="H3656" s="21"/>
      <c r="N3656" s="21"/>
      <c r="O3656" s="21"/>
      <c r="T3656" s="21"/>
      <c r="AA3656" s="21"/>
    </row>
    <row r="3657" spans="7:27" x14ac:dyDescent="0.2">
      <c r="G3657" s="21"/>
      <c r="H3657" s="21"/>
      <c r="N3657" s="21"/>
      <c r="O3657" s="21"/>
      <c r="T3657" s="21"/>
      <c r="AA3657" s="21"/>
    </row>
    <row r="3658" spans="7:27" x14ac:dyDescent="0.2">
      <c r="G3658" s="21"/>
      <c r="H3658" s="21"/>
      <c r="N3658" s="21"/>
      <c r="O3658" s="21"/>
      <c r="T3658" s="21"/>
      <c r="AA3658" s="21"/>
    </row>
    <row r="3659" spans="7:27" x14ac:dyDescent="0.2">
      <c r="G3659" s="21"/>
      <c r="H3659" s="21"/>
      <c r="N3659" s="21"/>
      <c r="O3659" s="21"/>
      <c r="T3659" s="21"/>
      <c r="AA3659" s="21"/>
    </row>
    <row r="3660" spans="7:27" x14ac:dyDescent="0.2">
      <c r="G3660" s="21"/>
      <c r="H3660" s="21"/>
      <c r="N3660" s="21"/>
      <c r="O3660" s="21"/>
      <c r="T3660" s="21"/>
      <c r="AA3660" s="21"/>
    </row>
    <row r="3661" spans="7:27" x14ac:dyDescent="0.2">
      <c r="G3661" s="21"/>
      <c r="H3661" s="21"/>
      <c r="N3661" s="21"/>
      <c r="O3661" s="21"/>
      <c r="T3661" s="21"/>
      <c r="AA3661" s="21"/>
    </row>
    <row r="3662" spans="7:27" x14ac:dyDescent="0.2">
      <c r="G3662" s="21"/>
      <c r="H3662" s="21"/>
      <c r="N3662" s="21"/>
      <c r="O3662" s="21"/>
      <c r="T3662" s="21"/>
      <c r="AA3662" s="21"/>
    </row>
    <row r="3663" spans="7:27" x14ac:dyDescent="0.2">
      <c r="G3663" s="21"/>
      <c r="H3663" s="21"/>
      <c r="N3663" s="21"/>
      <c r="O3663" s="21"/>
      <c r="T3663" s="21"/>
      <c r="AA3663" s="21"/>
    </row>
    <row r="3664" spans="7:27" x14ac:dyDescent="0.2">
      <c r="G3664" s="21"/>
      <c r="H3664" s="21"/>
      <c r="N3664" s="21"/>
      <c r="O3664" s="21"/>
      <c r="T3664" s="21"/>
      <c r="AA3664" s="21"/>
    </row>
    <row r="3665" spans="7:27" x14ac:dyDescent="0.2">
      <c r="G3665" s="21"/>
      <c r="H3665" s="21"/>
      <c r="N3665" s="21"/>
      <c r="O3665" s="21"/>
      <c r="T3665" s="21"/>
      <c r="AA3665" s="21"/>
    </row>
    <row r="3666" spans="7:27" x14ac:dyDescent="0.2">
      <c r="G3666" s="21"/>
      <c r="H3666" s="21"/>
      <c r="N3666" s="21"/>
      <c r="O3666" s="21"/>
      <c r="T3666" s="21"/>
      <c r="AA3666" s="21"/>
    </row>
    <row r="3667" spans="7:27" x14ac:dyDescent="0.2">
      <c r="G3667" s="21"/>
      <c r="H3667" s="21"/>
      <c r="N3667" s="21"/>
      <c r="O3667" s="21"/>
      <c r="T3667" s="21"/>
      <c r="AA3667" s="21"/>
    </row>
    <row r="3668" spans="7:27" x14ac:dyDescent="0.2">
      <c r="G3668" s="21"/>
      <c r="H3668" s="21"/>
      <c r="N3668" s="21"/>
      <c r="O3668" s="21"/>
      <c r="T3668" s="21"/>
      <c r="AA3668" s="21"/>
    </row>
    <row r="3669" spans="7:27" x14ac:dyDescent="0.2">
      <c r="G3669" s="21"/>
      <c r="H3669" s="21"/>
      <c r="N3669" s="21"/>
      <c r="O3669" s="21"/>
      <c r="T3669" s="21"/>
      <c r="AA3669" s="21"/>
    </row>
    <row r="3670" spans="7:27" x14ac:dyDescent="0.2">
      <c r="G3670" s="21"/>
      <c r="H3670" s="21"/>
      <c r="N3670" s="21"/>
      <c r="O3670" s="21"/>
      <c r="T3670" s="21"/>
      <c r="AA3670" s="21"/>
    </row>
    <row r="3671" spans="7:27" x14ac:dyDescent="0.2">
      <c r="G3671" s="21"/>
      <c r="H3671" s="21"/>
      <c r="N3671" s="21"/>
      <c r="O3671" s="21"/>
      <c r="T3671" s="21"/>
      <c r="AA3671" s="21"/>
    </row>
    <row r="3672" spans="7:27" x14ac:dyDescent="0.2">
      <c r="G3672" s="21"/>
      <c r="H3672" s="21"/>
      <c r="N3672" s="21"/>
      <c r="O3672" s="21"/>
      <c r="T3672" s="21"/>
      <c r="AA3672" s="21"/>
    </row>
    <row r="3673" spans="7:27" x14ac:dyDescent="0.2">
      <c r="G3673" s="21"/>
      <c r="H3673" s="21"/>
      <c r="N3673" s="21"/>
      <c r="O3673" s="21"/>
      <c r="T3673" s="21"/>
      <c r="AA3673" s="21"/>
    </row>
    <row r="3674" spans="7:27" x14ac:dyDescent="0.2">
      <c r="G3674" s="21"/>
      <c r="H3674" s="21"/>
      <c r="N3674" s="21"/>
      <c r="O3674" s="21"/>
      <c r="T3674" s="21"/>
      <c r="AA3674" s="21"/>
    </row>
    <row r="3675" spans="7:27" x14ac:dyDescent="0.2">
      <c r="G3675" s="21"/>
      <c r="H3675" s="21"/>
      <c r="N3675" s="21"/>
      <c r="O3675" s="21"/>
      <c r="T3675" s="21"/>
      <c r="AA3675" s="21"/>
    </row>
    <row r="3676" spans="7:27" x14ac:dyDescent="0.2">
      <c r="G3676" s="21"/>
      <c r="H3676" s="21"/>
      <c r="N3676" s="21"/>
      <c r="O3676" s="21"/>
      <c r="T3676" s="21"/>
      <c r="AA3676" s="21"/>
    </row>
    <row r="3677" spans="7:27" x14ac:dyDescent="0.2">
      <c r="G3677" s="21"/>
      <c r="H3677" s="21"/>
      <c r="N3677" s="21"/>
      <c r="O3677" s="21"/>
      <c r="T3677" s="21"/>
      <c r="AA3677" s="21"/>
    </row>
    <row r="3678" spans="7:27" x14ac:dyDescent="0.2">
      <c r="G3678" s="21"/>
      <c r="H3678" s="21"/>
      <c r="N3678" s="21"/>
      <c r="O3678" s="21"/>
      <c r="T3678" s="21"/>
      <c r="AA3678" s="21"/>
    </row>
    <row r="3679" spans="7:27" x14ac:dyDescent="0.2">
      <c r="G3679" s="21"/>
      <c r="H3679" s="21"/>
      <c r="N3679" s="21"/>
      <c r="O3679" s="21"/>
      <c r="T3679" s="21"/>
      <c r="AA3679" s="21"/>
    </row>
    <row r="3680" spans="7:27" x14ac:dyDescent="0.2">
      <c r="G3680" s="21"/>
      <c r="H3680" s="21"/>
      <c r="N3680" s="21"/>
      <c r="O3680" s="21"/>
      <c r="T3680" s="21"/>
      <c r="AA3680" s="21"/>
    </row>
    <row r="3681" spans="7:27" x14ac:dyDescent="0.2">
      <c r="G3681" s="21"/>
      <c r="H3681" s="21"/>
      <c r="N3681" s="21"/>
      <c r="O3681" s="21"/>
      <c r="T3681" s="21"/>
      <c r="AA3681" s="21"/>
    </row>
    <row r="3682" spans="7:27" x14ac:dyDescent="0.2">
      <c r="G3682" s="21"/>
      <c r="H3682" s="21"/>
      <c r="N3682" s="21"/>
      <c r="O3682" s="21"/>
      <c r="T3682" s="21"/>
      <c r="AA3682" s="21"/>
    </row>
    <row r="3683" spans="7:27" x14ac:dyDescent="0.2">
      <c r="G3683" s="21"/>
      <c r="H3683" s="21"/>
      <c r="N3683" s="21"/>
      <c r="O3683" s="21"/>
      <c r="T3683" s="21"/>
      <c r="AA3683" s="21"/>
    </row>
    <row r="3684" spans="7:27" x14ac:dyDescent="0.2">
      <c r="G3684" s="21"/>
      <c r="H3684" s="21"/>
      <c r="N3684" s="21"/>
      <c r="O3684" s="21"/>
      <c r="T3684" s="21"/>
      <c r="AA3684" s="21"/>
    </row>
    <row r="3685" spans="7:27" x14ac:dyDescent="0.2">
      <c r="G3685" s="21"/>
      <c r="H3685" s="21"/>
      <c r="N3685" s="21"/>
      <c r="O3685" s="21"/>
      <c r="T3685" s="21"/>
      <c r="AA3685" s="21"/>
    </row>
    <row r="3686" spans="7:27" x14ac:dyDescent="0.2">
      <c r="G3686" s="21"/>
      <c r="H3686" s="21"/>
      <c r="N3686" s="21"/>
      <c r="O3686" s="21"/>
      <c r="T3686" s="21"/>
      <c r="AA3686" s="21"/>
    </row>
    <row r="3687" spans="7:27" x14ac:dyDescent="0.2">
      <c r="G3687" s="21"/>
      <c r="H3687" s="21"/>
      <c r="N3687" s="21"/>
      <c r="O3687" s="21"/>
      <c r="T3687" s="21"/>
      <c r="AA3687" s="21"/>
    </row>
    <row r="3688" spans="7:27" x14ac:dyDescent="0.2">
      <c r="G3688" s="21"/>
      <c r="H3688" s="21"/>
      <c r="N3688" s="21"/>
      <c r="O3688" s="21"/>
      <c r="T3688" s="21"/>
      <c r="AA3688" s="21"/>
    </row>
    <row r="3689" spans="7:27" x14ac:dyDescent="0.2">
      <c r="G3689" s="21"/>
      <c r="H3689" s="21"/>
      <c r="N3689" s="21"/>
      <c r="O3689" s="21"/>
      <c r="T3689" s="21"/>
      <c r="AA3689" s="21"/>
    </row>
    <row r="3690" spans="7:27" x14ac:dyDescent="0.2">
      <c r="G3690" s="21"/>
      <c r="H3690" s="21"/>
      <c r="N3690" s="21"/>
      <c r="O3690" s="21"/>
      <c r="T3690" s="21"/>
      <c r="AA3690" s="21"/>
    </row>
    <row r="3691" spans="7:27" x14ac:dyDescent="0.2">
      <c r="G3691" s="21"/>
      <c r="H3691" s="21"/>
      <c r="N3691" s="21"/>
      <c r="O3691" s="21"/>
      <c r="T3691" s="21"/>
      <c r="AA3691" s="21"/>
    </row>
    <row r="3692" spans="7:27" x14ac:dyDescent="0.2">
      <c r="G3692" s="21"/>
      <c r="H3692" s="21"/>
      <c r="N3692" s="21"/>
      <c r="O3692" s="21"/>
      <c r="T3692" s="21"/>
      <c r="AA3692" s="21"/>
    </row>
    <row r="3693" spans="7:27" x14ac:dyDescent="0.2">
      <c r="G3693" s="21"/>
      <c r="H3693" s="21"/>
      <c r="N3693" s="21"/>
      <c r="O3693" s="21"/>
      <c r="T3693" s="21"/>
      <c r="AA3693" s="21"/>
    </row>
    <row r="3694" spans="7:27" x14ac:dyDescent="0.2">
      <c r="G3694" s="21"/>
      <c r="H3694" s="21"/>
      <c r="N3694" s="21"/>
      <c r="O3694" s="21"/>
      <c r="T3694" s="21"/>
      <c r="AA3694" s="21"/>
    </row>
    <row r="3695" spans="7:27" x14ac:dyDescent="0.2">
      <c r="G3695" s="21"/>
      <c r="H3695" s="21"/>
      <c r="N3695" s="21"/>
      <c r="O3695" s="21"/>
      <c r="T3695" s="21"/>
      <c r="AA3695" s="21"/>
    </row>
    <row r="3696" spans="7:27" x14ac:dyDescent="0.2">
      <c r="G3696" s="21"/>
      <c r="H3696" s="21"/>
      <c r="N3696" s="21"/>
      <c r="O3696" s="21"/>
      <c r="T3696" s="21"/>
      <c r="AA3696" s="21"/>
    </row>
    <row r="3697" spans="7:27" x14ac:dyDescent="0.2">
      <c r="G3697" s="21"/>
      <c r="H3697" s="21"/>
      <c r="N3697" s="21"/>
      <c r="O3697" s="21"/>
      <c r="T3697" s="21"/>
      <c r="AA3697" s="21"/>
    </row>
    <row r="3698" spans="7:27" x14ac:dyDescent="0.2">
      <c r="G3698" s="21"/>
      <c r="H3698" s="21"/>
      <c r="N3698" s="21"/>
      <c r="O3698" s="21"/>
      <c r="T3698" s="21"/>
      <c r="AA3698" s="21"/>
    </row>
    <row r="3699" spans="7:27" x14ac:dyDescent="0.2">
      <c r="G3699" s="21"/>
      <c r="H3699" s="21"/>
      <c r="N3699" s="21"/>
      <c r="O3699" s="21"/>
      <c r="T3699" s="21"/>
      <c r="AA3699" s="21"/>
    </row>
    <row r="3700" spans="7:27" x14ac:dyDescent="0.2">
      <c r="G3700" s="21"/>
      <c r="H3700" s="21"/>
      <c r="N3700" s="21"/>
      <c r="O3700" s="21"/>
      <c r="T3700" s="21"/>
      <c r="AA3700" s="21"/>
    </row>
    <row r="3701" spans="7:27" x14ac:dyDescent="0.2">
      <c r="G3701" s="21"/>
      <c r="H3701" s="21"/>
      <c r="N3701" s="21"/>
      <c r="O3701" s="21"/>
      <c r="T3701" s="21"/>
      <c r="AA3701" s="21"/>
    </row>
    <row r="3702" spans="7:27" x14ac:dyDescent="0.2">
      <c r="G3702" s="21"/>
      <c r="H3702" s="21"/>
      <c r="N3702" s="21"/>
      <c r="O3702" s="21"/>
      <c r="T3702" s="21"/>
      <c r="AA3702" s="21"/>
    </row>
    <row r="3703" spans="7:27" x14ac:dyDescent="0.2">
      <c r="G3703" s="21"/>
      <c r="H3703" s="21"/>
      <c r="N3703" s="21"/>
      <c r="O3703" s="21"/>
      <c r="T3703" s="21"/>
      <c r="AA3703" s="21"/>
    </row>
    <row r="3704" spans="7:27" x14ac:dyDescent="0.2">
      <c r="G3704" s="21"/>
      <c r="H3704" s="21"/>
      <c r="N3704" s="21"/>
      <c r="O3704" s="21"/>
      <c r="T3704" s="21"/>
      <c r="AA3704" s="21"/>
    </row>
    <row r="3705" spans="7:27" x14ac:dyDescent="0.2">
      <c r="G3705" s="21"/>
      <c r="H3705" s="21"/>
      <c r="N3705" s="21"/>
      <c r="O3705" s="21"/>
      <c r="T3705" s="21"/>
      <c r="AA3705" s="21"/>
    </row>
    <row r="3706" spans="7:27" x14ac:dyDescent="0.2">
      <c r="G3706" s="21"/>
      <c r="H3706" s="21"/>
      <c r="N3706" s="21"/>
      <c r="O3706" s="21"/>
      <c r="T3706" s="21"/>
      <c r="AA3706" s="21"/>
    </row>
    <row r="3707" spans="7:27" x14ac:dyDescent="0.2">
      <c r="G3707" s="21"/>
      <c r="H3707" s="21"/>
      <c r="N3707" s="21"/>
      <c r="O3707" s="21"/>
      <c r="T3707" s="21"/>
      <c r="AA3707" s="21"/>
    </row>
    <row r="3708" spans="7:27" x14ac:dyDescent="0.2">
      <c r="G3708" s="21"/>
      <c r="H3708" s="21"/>
      <c r="N3708" s="21"/>
      <c r="O3708" s="21"/>
      <c r="T3708" s="21"/>
      <c r="AA3708" s="21"/>
    </row>
    <row r="3709" spans="7:27" x14ac:dyDescent="0.2">
      <c r="G3709" s="21"/>
      <c r="H3709" s="21"/>
      <c r="N3709" s="21"/>
      <c r="O3709" s="21"/>
      <c r="T3709" s="21"/>
      <c r="AA3709" s="21"/>
    </row>
    <row r="3710" spans="7:27" x14ac:dyDescent="0.2">
      <c r="G3710" s="21"/>
      <c r="H3710" s="21"/>
      <c r="N3710" s="21"/>
      <c r="O3710" s="21"/>
      <c r="T3710" s="21"/>
      <c r="AA3710" s="21"/>
    </row>
    <row r="3711" spans="7:27" x14ac:dyDescent="0.2">
      <c r="G3711" s="21"/>
      <c r="H3711" s="21"/>
      <c r="N3711" s="21"/>
      <c r="O3711" s="21"/>
      <c r="T3711" s="21"/>
      <c r="AA3711" s="21"/>
    </row>
    <row r="3712" spans="7:27" x14ac:dyDescent="0.2">
      <c r="G3712" s="21"/>
      <c r="H3712" s="21"/>
      <c r="N3712" s="21"/>
      <c r="O3712" s="21"/>
      <c r="T3712" s="21"/>
      <c r="AA3712" s="21"/>
    </row>
    <row r="3713" spans="7:27" x14ac:dyDescent="0.2">
      <c r="G3713" s="21"/>
      <c r="H3713" s="21"/>
      <c r="N3713" s="21"/>
      <c r="O3713" s="21"/>
      <c r="T3713" s="21"/>
      <c r="AA3713" s="21"/>
    </row>
    <row r="3714" spans="7:27" x14ac:dyDescent="0.2">
      <c r="G3714" s="21"/>
      <c r="H3714" s="21"/>
      <c r="N3714" s="21"/>
      <c r="O3714" s="21"/>
      <c r="T3714" s="21"/>
      <c r="AA3714" s="21"/>
    </row>
    <row r="3715" spans="7:27" x14ac:dyDescent="0.2">
      <c r="G3715" s="21"/>
      <c r="H3715" s="21"/>
      <c r="N3715" s="21"/>
      <c r="O3715" s="21"/>
      <c r="T3715" s="21"/>
      <c r="AA3715" s="21"/>
    </row>
    <row r="3716" spans="7:27" x14ac:dyDescent="0.2">
      <c r="G3716" s="21"/>
      <c r="H3716" s="21"/>
      <c r="N3716" s="21"/>
      <c r="O3716" s="21"/>
      <c r="T3716" s="21"/>
      <c r="AA3716" s="21"/>
    </row>
    <row r="3717" spans="7:27" x14ac:dyDescent="0.2">
      <c r="G3717" s="21"/>
      <c r="H3717" s="21"/>
      <c r="N3717" s="21"/>
      <c r="O3717" s="21"/>
      <c r="T3717" s="21"/>
      <c r="AA3717" s="21"/>
    </row>
    <row r="3718" spans="7:27" x14ac:dyDescent="0.2">
      <c r="G3718" s="21"/>
      <c r="H3718" s="21"/>
      <c r="N3718" s="21"/>
      <c r="O3718" s="21"/>
      <c r="T3718" s="21"/>
      <c r="AA3718" s="21"/>
    </row>
    <row r="3719" spans="7:27" x14ac:dyDescent="0.2">
      <c r="G3719" s="21"/>
      <c r="H3719" s="21"/>
      <c r="N3719" s="21"/>
      <c r="O3719" s="21"/>
      <c r="T3719" s="21"/>
      <c r="AA3719" s="21"/>
    </row>
    <row r="3720" spans="7:27" x14ac:dyDescent="0.2">
      <c r="G3720" s="21"/>
      <c r="H3720" s="21"/>
      <c r="N3720" s="21"/>
      <c r="O3720" s="21"/>
      <c r="T3720" s="21"/>
      <c r="AA3720" s="21"/>
    </row>
    <row r="3721" spans="7:27" x14ac:dyDescent="0.2">
      <c r="G3721" s="21"/>
      <c r="H3721" s="21"/>
      <c r="N3721" s="21"/>
      <c r="O3721" s="21"/>
      <c r="T3721" s="21"/>
      <c r="AA3721" s="21"/>
    </row>
    <row r="3722" spans="7:27" x14ac:dyDescent="0.2">
      <c r="G3722" s="21"/>
      <c r="H3722" s="21"/>
      <c r="N3722" s="21"/>
      <c r="O3722" s="21"/>
      <c r="T3722" s="21"/>
      <c r="AA3722" s="21"/>
    </row>
    <row r="3723" spans="7:27" x14ac:dyDescent="0.2">
      <c r="G3723" s="21"/>
      <c r="H3723" s="21"/>
      <c r="N3723" s="21"/>
      <c r="O3723" s="21"/>
      <c r="T3723" s="21"/>
      <c r="AA3723" s="21"/>
    </row>
    <row r="3724" spans="7:27" x14ac:dyDescent="0.2">
      <c r="G3724" s="21"/>
      <c r="H3724" s="21"/>
      <c r="N3724" s="21"/>
      <c r="O3724" s="21"/>
      <c r="T3724" s="21"/>
      <c r="AA3724" s="21"/>
    </row>
    <row r="3725" spans="7:27" x14ac:dyDescent="0.2">
      <c r="G3725" s="21"/>
      <c r="H3725" s="21"/>
      <c r="N3725" s="21"/>
      <c r="O3725" s="21"/>
      <c r="T3725" s="21"/>
      <c r="AA3725" s="21"/>
    </row>
    <row r="3726" spans="7:27" x14ac:dyDescent="0.2">
      <c r="G3726" s="21"/>
      <c r="H3726" s="21"/>
      <c r="N3726" s="21"/>
      <c r="O3726" s="21"/>
      <c r="T3726" s="21"/>
      <c r="AA3726" s="21"/>
    </row>
    <row r="3727" spans="7:27" x14ac:dyDescent="0.2">
      <c r="G3727" s="21"/>
      <c r="H3727" s="21"/>
      <c r="N3727" s="21"/>
      <c r="O3727" s="21"/>
      <c r="T3727" s="21"/>
      <c r="AA3727" s="21"/>
    </row>
    <row r="3728" spans="7:27" x14ac:dyDescent="0.2">
      <c r="G3728" s="21"/>
      <c r="H3728" s="21"/>
      <c r="N3728" s="21"/>
      <c r="O3728" s="21"/>
      <c r="T3728" s="21"/>
      <c r="AA3728" s="21"/>
    </row>
    <row r="3729" spans="7:27" x14ac:dyDescent="0.2">
      <c r="G3729" s="21"/>
      <c r="H3729" s="21"/>
      <c r="N3729" s="21"/>
      <c r="O3729" s="21"/>
      <c r="T3729" s="21"/>
      <c r="AA3729" s="21"/>
    </row>
    <row r="3730" spans="7:27" x14ac:dyDescent="0.2">
      <c r="G3730" s="21"/>
      <c r="H3730" s="21"/>
      <c r="N3730" s="21"/>
      <c r="O3730" s="21"/>
      <c r="T3730" s="21"/>
      <c r="AA3730" s="21"/>
    </row>
    <row r="3731" spans="7:27" x14ac:dyDescent="0.2">
      <c r="G3731" s="21"/>
      <c r="H3731" s="21"/>
      <c r="N3731" s="21"/>
      <c r="O3731" s="21"/>
      <c r="T3731" s="21"/>
      <c r="AA3731" s="21"/>
    </row>
    <row r="3732" spans="7:27" x14ac:dyDescent="0.2">
      <c r="G3732" s="21"/>
      <c r="H3732" s="21"/>
      <c r="N3732" s="21"/>
      <c r="O3732" s="21"/>
      <c r="T3732" s="21"/>
      <c r="AA3732" s="21"/>
    </row>
    <row r="3733" spans="7:27" x14ac:dyDescent="0.2">
      <c r="G3733" s="21"/>
      <c r="H3733" s="21"/>
      <c r="N3733" s="21"/>
      <c r="O3733" s="21"/>
      <c r="T3733" s="21"/>
      <c r="AA3733" s="21"/>
    </row>
    <row r="3734" spans="7:27" x14ac:dyDescent="0.2">
      <c r="G3734" s="21"/>
      <c r="H3734" s="21"/>
      <c r="N3734" s="21"/>
      <c r="O3734" s="21"/>
      <c r="T3734" s="21"/>
      <c r="AA3734" s="21"/>
    </row>
    <row r="3735" spans="7:27" x14ac:dyDescent="0.2">
      <c r="G3735" s="21"/>
      <c r="H3735" s="21"/>
      <c r="N3735" s="21"/>
      <c r="O3735" s="21"/>
      <c r="T3735" s="21"/>
      <c r="AA3735" s="21"/>
    </row>
    <row r="3736" spans="7:27" x14ac:dyDescent="0.2">
      <c r="G3736" s="21"/>
      <c r="H3736" s="21"/>
      <c r="N3736" s="21"/>
      <c r="O3736" s="21"/>
      <c r="T3736" s="21"/>
      <c r="AA3736" s="21"/>
    </row>
    <row r="3737" spans="7:27" x14ac:dyDescent="0.2">
      <c r="G3737" s="21"/>
      <c r="H3737" s="21"/>
      <c r="N3737" s="21"/>
      <c r="O3737" s="21"/>
      <c r="T3737" s="21"/>
      <c r="AA3737" s="21"/>
    </row>
    <row r="3738" spans="7:27" x14ac:dyDescent="0.2">
      <c r="G3738" s="21"/>
      <c r="H3738" s="21"/>
      <c r="N3738" s="21"/>
      <c r="O3738" s="21"/>
      <c r="T3738" s="21"/>
      <c r="AA3738" s="21"/>
    </row>
    <row r="3739" spans="7:27" x14ac:dyDescent="0.2">
      <c r="G3739" s="21"/>
      <c r="H3739" s="21"/>
      <c r="N3739" s="21"/>
      <c r="O3739" s="21"/>
      <c r="T3739" s="21"/>
      <c r="AA3739" s="21"/>
    </row>
    <row r="3740" spans="7:27" x14ac:dyDescent="0.2">
      <c r="G3740" s="21"/>
      <c r="H3740" s="21"/>
      <c r="N3740" s="21"/>
      <c r="O3740" s="21"/>
      <c r="T3740" s="21"/>
      <c r="AA3740" s="21"/>
    </row>
    <row r="3741" spans="7:27" x14ac:dyDescent="0.2">
      <c r="G3741" s="21"/>
      <c r="H3741" s="21"/>
      <c r="N3741" s="21"/>
      <c r="O3741" s="21"/>
      <c r="T3741" s="21"/>
      <c r="AA3741" s="21"/>
    </row>
    <row r="3742" spans="7:27" x14ac:dyDescent="0.2">
      <c r="G3742" s="21"/>
      <c r="H3742" s="21"/>
      <c r="N3742" s="21"/>
      <c r="O3742" s="21"/>
      <c r="T3742" s="21"/>
      <c r="AA3742" s="21"/>
    </row>
    <row r="3743" spans="7:27" x14ac:dyDescent="0.2">
      <c r="G3743" s="21"/>
      <c r="H3743" s="21"/>
      <c r="N3743" s="21"/>
      <c r="O3743" s="21"/>
      <c r="T3743" s="21"/>
      <c r="AA3743" s="21"/>
    </row>
    <row r="3744" spans="7:27" x14ac:dyDescent="0.2">
      <c r="G3744" s="21"/>
      <c r="H3744" s="21"/>
      <c r="N3744" s="21"/>
      <c r="O3744" s="21"/>
      <c r="T3744" s="21"/>
      <c r="AA3744" s="21"/>
    </row>
    <row r="3745" spans="7:27" x14ac:dyDescent="0.2">
      <c r="G3745" s="21"/>
      <c r="H3745" s="21"/>
      <c r="N3745" s="21"/>
      <c r="O3745" s="21"/>
      <c r="T3745" s="21"/>
      <c r="AA3745" s="21"/>
    </row>
    <row r="3746" spans="7:27" x14ac:dyDescent="0.2">
      <c r="G3746" s="21"/>
      <c r="H3746" s="21"/>
      <c r="N3746" s="21"/>
      <c r="O3746" s="21"/>
      <c r="T3746" s="21"/>
      <c r="AA3746" s="21"/>
    </row>
    <row r="3747" spans="7:27" x14ac:dyDescent="0.2">
      <c r="G3747" s="21"/>
      <c r="H3747" s="21"/>
      <c r="N3747" s="21"/>
      <c r="O3747" s="21"/>
      <c r="T3747" s="21"/>
      <c r="AA3747" s="21"/>
    </row>
    <row r="3748" spans="7:27" x14ac:dyDescent="0.2">
      <c r="G3748" s="21"/>
      <c r="H3748" s="21"/>
      <c r="N3748" s="21"/>
      <c r="O3748" s="21"/>
      <c r="T3748" s="21"/>
      <c r="AA3748" s="21"/>
    </row>
    <row r="3749" spans="7:27" x14ac:dyDescent="0.2">
      <c r="G3749" s="21"/>
      <c r="H3749" s="21"/>
      <c r="N3749" s="21"/>
      <c r="O3749" s="21"/>
      <c r="T3749" s="21"/>
      <c r="AA3749" s="21"/>
    </row>
    <row r="3750" spans="7:27" x14ac:dyDescent="0.2">
      <c r="G3750" s="21"/>
      <c r="H3750" s="21"/>
      <c r="N3750" s="21"/>
      <c r="O3750" s="21"/>
      <c r="T3750" s="21"/>
      <c r="AA3750" s="21"/>
    </row>
    <row r="3751" spans="7:27" x14ac:dyDescent="0.2">
      <c r="G3751" s="21"/>
      <c r="H3751" s="21"/>
      <c r="N3751" s="21"/>
      <c r="O3751" s="21"/>
      <c r="T3751" s="21"/>
      <c r="AA3751" s="21"/>
    </row>
    <row r="3752" spans="7:27" x14ac:dyDescent="0.2">
      <c r="G3752" s="21"/>
      <c r="H3752" s="21"/>
      <c r="N3752" s="21"/>
      <c r="O3752" s="21"/>
      <c r="T3752" s="21"/>
      <c r="AA3752" s="21"/>
    </row>
    <row r="3753" spans="7:27" x14ac:dyDescent="0.2">
      <c r="G3753" s="21"/>
      <c r="H3753" s="21"/>
      <c r="N3753" s="21"/>
      <c r="O3753" s="21"/>
      <c r="T3753" s="21"/>
      <c r="AA3753" s="21"/>
    </row>
    <row r="3754" spans="7:27" x14ac:dyDescent="0.2">
      <c r="G3754" s="21"/>
      <c r="H3754" s="21"/>
      <c r="N3754" s="21"/>
      <c r="O3754" s="21"/>
      <c r="T3754" s="21"/>
      <c r="AA3754" s="21"/>
    </row>
    <row r="3755" spans="7:27" x14ac:dyDescent="0.2">
      <c r="G3755" s="21"/>
      <c r="H3755" s="21"/>
      <c r="N3755" s="21"/>
      <c r="O3755" s="21"/>
      <c r="T3755" s="21"/>
      <c r="AA3755" s="21"/>
    </row>
    <row r="3756" spans="7:27" x14ac:dyDescent="0.2">
      <c r="G3756" s="21"/>
      <c r="H3756" s="21"/>
      <c r="N3756" s="21"/>
      <c r="O3756" s="21"/>
      <c r="T3756" s="21"/>
      <c r="AA3756" s="21"/>
    </row>
    <row r="3757" spans="7:27" x14ac:dyDescent="0.2">
      <c r="G3757" s="21"/>
      <c r="H3757" s="21"/>
      <c r="N3757" s="21"/>
      <c r="O3757" s="21"/>
      <c r="T3757" s="21"/>
      <c r="AA3757" s="21"/>
    </row>
    <row r="3758" spans="7:27" x14ac:dyDescent="0.2">
      <c r="G3758" s="21"/>
      <c r="H3758" s="21"/>
      <c r="N3758" s="21"/>
      <c r="O3758" s="21"/>
      <c r="T3758" s="21"/>
      <c r="AA3758" s="21"/>
    </row>
    <row r="3759" spans="7:27" x14ac:dyDescent="0.2">
      <c r="G3759" s="21"/>
      <c r="H3759" s="21"/>
      <c r="N3759" s="21"/>
      <c r="O3759" s="21"/>
      <c r="T3759" s="21"/>
      <c r="AA3759" s="21"/>
    </row>
    <row r="3760" spans="7:27" x14ac:dyDescent="0.2">
      <c r="G3760" s="21"/>
      <c r="H3760" s="21"/>
      <c r="N3760" s="21"/>
      <c r="O3760" s="21"/>
      <c r="T3760" s="21"/>
      <c r="AA3760" s="21"/>
    </row>
    <row r="3761" spans="7:27" x14ac:dyDescent="0.2">
      <c r="G3761" s="21"/>
      <c r="H3761" s="21"/>
      <c r="N3761" s="21"/>
      <c r="O3761" s="21"/>
      <c r="T3761" s="21"/>
      <c r="AA3761" s="21"/>
    </row>
    <row r="3762" spans="7:27" x14ac:dyDescent="0.2">
      <c r="G3762" s="21"/>
      <c r="H3762" s="21"/>
      <c r="N3762" s="21"/>
      <c r="O3762" s="21"/>
      <c r="T3762" s="21"/>
      <c r="AA3762" s="21"/>
    </row>
    <row r="3763" spans="7:27" x14ac:dyDescent="0.2">
      <c r="G3763" s="21"/>
      <c r="H3763" s="21"/>
      <c r="N3763" s="21"/>
      <c r="O3763" s="21"/>
      <c r="T3763" s="21"/>
      <c r="AA3763" s="21"/>
    </row>
    <row r="3764" spans="7:27" x14ac:dyDescent="0.2">
      <c r="G3764" s="21"/>
      <c r="H3764" s="21"/>
      <c r="N3764" s="21"/>
      <c r="O3764" s="21"/>
      <c r="T3764" s="21"/>
      <c r="AA3764" s="21"/>
    </row>
    <row r="3765" spans="7:27" x14ac:dyDescent="0.2">
      <c r="G3765" s="21"/>
      <c r="H3765" s="21"/>
      <c r="N3765" s="21"/>
      <c r="O3765" s="21"/>
      <c r="T3765" s="21"/>
      <c r="AA3765" s="21"/>
    </row>
    <row r="3766" spans="7:27" x14ac:dyDescent="0.2">
      <c r="G3766" s="21"/>
      <c r="H3766" s="21"/>
      <c r="N3766" s="21"/>
      <c r="O3766" s="21"/>
      <c r="T3766" s="21"/>
      <c r="AA3766" s="21"/>
    </row>
    <row r="3767" spans="7:27" x14ac:dyDescent="0.2">
      <c r="G3767" s="21"/>
      <c r="H3767" s="21"/>
      <c r="N3767" s="21"/>
      <c r="O3767" s="21"/>
      <c r="T3767" s="21"/>
      <c r="AA3767" s="21"/>
    </row>
    <row r="3768" spans="7:27" x14ac:dyDescent="0.2">
      <c r="G3768" s="21"/>
      <c r="H3768" s="21"/>
      <c r="N3768" s="21"/>
      <c r="O3768" s="21"/>
      <c r="T3768" s="21"/>
      <c r="AA3768" s="21"/>
    </row>
    <row r="3769" spans="7:27" x14ac:dyDescent="0.2">
      <c r="G3769" s="21"/>
      <c r="H3769" s="21"/>
      <c r="N3769" s="21"/>
      <c r="O3769" s="21"/>
      <c r="T3769" s="21"/>
      <c r="AA3769" s="21"/>
    </row>
    <row r="3770" spans="7:27" x14ac:dyDescent="0.2">
      <c r="G3770" s="21"/>
      <c r="H3770" s="21"/>
      <c r="N3770" s="21"/>
      <c r="O3770" s="21"/>
      <c r="T3770" s="21"/>
      <c r="AA3770" s="21"/>
    </row>
    <row r="3771" spans="7:27" x14ac:dyDescent="0.2">
      <c r="G3771" s="21"/>
      <c r="H3771" s="21"/>
      <c r="N3771" s="21"/>
      <c r="O3771" s="21"/>
      <c r="T3771" s="21"/>
      <c r="AA3771" s="21"/>
    </row>
    <row r="3772" spans="7:27" x14ac:dyDescent="0.2">
      <c r="G3772" s="21"/>
      <c r="H3772" s="21"/>
      <c r="N3772" s="21"/>
      <c r="O3772" s="21"/>
      <c r="T3772" s="21"/>
      <c r="AA3772" s="21"/>
    </row>
    <row r="3773" spans="7:27" x14ac:dyDescent="0.2">
      <c r="G3773" s="21"/>
      <c r="H3773" s="21"/>
      <c r="N3773" s="21"/>
      <c r="O3773" s="21"/>
      <c r="T3773" s="21"/>
      <c r="AA3773" s="21"/>
    </row>
    <row r="3774" spans="7:27" x14ac:dyDescent="0.2">
      <c r="G3774" s="21"/>
      <c r="H3774" s="21"/>
      <c r="N3774" s="21"/>
      <c r="O3774" s="21"/>
      <c r="T3774" s="21"/>
      <c r="AA3774" s="21"/>
    </row>
    <row r="3775" spans="7:27" x14ac:dyDescent="0.2">
      <c r="G3775" s="21"/>
      <c r="H3775" s="21"/>
      <c r="N3775" s="21"/>
      <c r="O3775" s="21"/>
      <c r="T3775" s="21"/>
      <c r="AA3775" s="21"/>
    </row>
    <row r="3776" spans="7:27" x14ac:dyDescent="0.2">
      <c r="G3776" s="21"/>
      <c r="H3776" s="21"/>
      <c r="N3776" s="21"/>
      <c r="O3776" s="21"/>
      <c r="T3776" s="21"/>
      <c r="AA3776" s="21"/>
    </row>
    <row r="3777" spans="7:27" x14ac:dyDescent="0.2">
      <c r="G3777" s="21"/>
      <c r="H3777" s="21"/>
      <c r="N3777" s="21"/>
      <c r="O3777" s="21"/>
      <c r="T3777" s="21"/>
      <c r="AA3777" s="21"/>
    </row>
    <row r="3778" spans="7:27" x14ac:dyDescent="0.2">
      <c r="G3778" s="21"/>
      <c r="H3778" s="21"/>
      <c r="N3778" s="21"/>
      <c r="O3778" s="21"/>
      <c r="T3778" s="21"/>
      <c r="AA3778" s="21"/>
    </row>
    <row r="3779" spans="7:27" x14ac:dyDescent="0.2">
      <c r="G3779" s="21"/>
      <c r="H3779" s="21"/>
      <c r="N3779" s="21"/>
      <c r="O3779" s="21"/>
      <c r="T3779" s="21"/>
      <c r="AA3779" s="21"/>
    </row>
    <row r="3780" spans="7:27" x14ac:dyDescent="0.2">
      <c r="G3780" s="21"/>
      <c r="H3780" s="21"/>
      <c r="N3780" s="21"/>
      <c r="O3780" s="21"/>
      <c r="T3780" s="21"/>
      <c r="AA3780" s="21"/>
    </row>
    <row r="3781" spans="7:27" x14ac:dyDescent="0.2">
      <c r="G3781" s="21"/>
      <c r="H3781" s="21"/>
      <c r="N3781" s="21"/>
      <c r="O3781" s="21"/>
      <c r="T3781" s="21"/>
      <c r="AA3781" s="21"/>
    </row>
    <row r="3782" spans="7:27" x14ac:dyDescent="0.2">
      <c r="G3782" s="21"/>
      <c r="H3782" s="21"/>
      <c r="N3782" s="21"/>
      <c r="O3782" s="21"/>
      <c r="T3782" s="21"/>
      <c r="AA3782" s="21"/>
    </row>
    <row r="3783" spans="7:27" x14ac:dyDescent="0.2">
      <c r="G3783" s="21"/>
      <c r="H3783" s="21"/>
      <c r="N3783" s="21"/>
      <c r="O3783" s="21"/>
      <c r="T3783" s="21"/>
      <c r="AA3783" s="21"/>
    </row>
    <row r="3784" spans="7:27" x14ac:dyDescent="0.2">
      <c r="G3784" s="21"/>
      <c r="H3784" s="21"/>
      <c r="N3784" s="21"/>
      <c r="O3784" s="21"/>
      <c r="T3784" s="21"/>
      <c r="AA3784" s="21"/>
    </row>
    <row r="3785" spans="7:27" x14ac:dyDescent="0.2">
      <c r="G3785" s="21"/>
      <c r="H3785" s="21"/>
      <c r="N3785" s="21"/>
      <c r="O3785" s="21"/>
      <c r="T3785" s="21"/>
      <c r="AA3785" s="21"/>
    </row>
    <row r="3786" spans="7:27" x14ac:dyDescent="0.2">
      <c r="G3786" s="21"/>
      <c r="H3786" s="21"/>
      <c r="N3786" s="21"/>
      <c r="O3786" s="21"/>
      <c r="T3786" s="21"/>
      <c r="AA3786" s="21"/>
    </row>
    <row r="3787" spans="7:27" x14ac:dyDescent="0.2">
      <c r="G3787" s="21"/>
      <c r="H3787" s="21"/>
      <c r="N3787" s="21"/>
      <c r="O3787" s="21"/>
      <c r="T3787" s="21"/>
      <c r="AA3787" s="21"/>
    </row>
    <row r="3788" spans="7:27" x14ac:dyDescent="0.2">
      <c r="G3788" s="21"/>
      <c r="H3788" s="21"/>
      <c r="N3788" s="21"/>
      <c r="O3788" s="21"/>
      <c r="T3788" s="21"/>
      <c r="AA3788" s="21"/>
    </row>
    <row r="3789" spans="7:27" x14ac:dyDescent="0.2">
      <c r="G3789" s="21"/>
      <c r="H3789" s="21"/>
      <c r="N3789" s="21"/>
      <c r="O3789" s="21"/>
      <c r="T3789" s="21"/>
      <c r="AA3789" s="21"/>
    </row>
    <row r="3790" spans="7:27" x14ac:dyDescent="0.2">
      <c r="G3790" s="21"/>
      <c r="H3790" s="21"/>
      <c r="N3790" s="21"/>
      <c r="O3790" s="21"/>
      <c r="T3790" s="21"/>
      <c r="AA3790" s="21"/>
    </row>
    <row r="3791" spans="7:27" x14ac:dyDescent="0.2">
      <c r="G3791" s="21"/>
      <c r="H3791" s="21"/>
      <c r="N3791" s="21"/>
      <c r="O3791" s="21"/>
      <c r="T3791" s="21"/>
      <c r="AA3791" s="21"/>
    </row>
    <row r="3792" spans="7:27" x14ac:dyDescent="0.2">
      <c r="G3792" s="21"/>
      <c r="H3792" s="21"/>
      <c r="N3792" s="21"/>
      <c r="O3792" s="21"/>
      <c r="T3792" s="21"/>
      <c r="AA3792" s="21"/>
    </row>
    <row r="3793" spans="7:27" x14ac:dyDescent="0.2">
      <c r="G3793" s="21"/>
      <c r="H3793" s="21"/>
      <c r="N3793" s="21"/>
      <c r="O3793" s="21"/>
      <c r="T3793" s="21"/>
      <c r="AA3793" s="21"/>
    </row>
    <row r="3794" spans="7:27" x14ac:dyDescent="0.2">
      <c r="G3794" s="21"/>
      <c r="H3794" s="21"/>
      <c r="N3794" s="21"/>
      <c r="O3794" s="21"/>
      <c r="T3794" s="21"/>
      <c r="AA3794" s="21"/>
    </row>
    <row r="3795" spans="7:27" x14ac:dyDescent="0.2">
      <c r="G3795" s="21"/>
      <c r="H3795" s="21"/>
      <c r="N3795" s="21"/>
      <c r="O3795" s="21"/>
      <c r="T3795" s="21"/>
      <c r="AA3795" s="21"/>
    </row>
    <row r="3796" spans="7:27" x14ac:dyDescent="0.2">
      <c r="G3796" s="21"/>
      <c r="H3796" s="21"/>
      <c r="N3796" s="21"/>
      <c r="O3796" s="21"/>
      <c r="T3796" s="21"/>
      <c r="AA3796" s="21"/>
    </row>
    <row r="3797" spans="7:27" x14ac:dyDescent="0.2">
      <c r="G3797" s="21"/>
      <c r="H3797" s="21"/>
      <c r="N3797" s="21"/>
      <c r="O3797" s="21"/>
      <c r="T3797" s="21"/>
      <c r="AA3797" s="21"/>
    </row>
    <row r="3798" spans="7:27" x14ac:dyDescent="0.2">
      <c r="G3798" s="21"/>
      <c r="H3798" s="21"/>
      <c r="N3798" s="21"/>
      <c r="O3798" s="21"/>
      <c r="T3798" s="21"/>
      <c r="AA3798" s="21"/>
    </row>
    <row r="3799" spans="7:27" x14ac:dyDescent="0.2">
      <c r="G3799" s="21"/>
      <c r="H3799" s="21"/>
      <c r="N3799" s="21"/>
      <c r="O3799" s="21"/>
      <c r="T3799" s="21"/>
      <c r="AA3799" s="21"/>
    </row>
    <row r="3800" spans="7:27" x14ac:dyDescent="0.2">
      <c r="G3800" s="21"/>
      <c r="H3800" s="21"/>
      <c r="N3800" s="21"/>
      <c r="O3800" s="21"/>
      <c r="T3800" s="21"/>
      <c r="AA3800" s="21"/>
    </row>
    <row r="3801" spans="7:27" x14ac:dyDescent="0.2">
      <c r="G3801" s="21"/>
      <c r="H3801" s="21"/>
      <c r="N3801" s="21"/>
      <c r="O3801" s="21"/>
      <c r="T3801" s="21"/>
      <c r="AA3801" s="21"/>
    </row>
    <row r="3802" spans="7:27" x14ac:dyDescent="0.2">
      <c r="G3802" s="21"/>
      <c r="H3802" s="21"/>
      <c r="N3802" s="21"/>
      <c r="O3802" s="21"/>
      <c r="T3802" s="21"/>
      <c r="AA3802" s="21"/>
    </row>
    <row r="3803" spans="7:27" x14ac:dyDescent="0.2">
      <c r="G3803" s="21"/>
      <c r="H3803" s="21"/>
      <c r="N3803" s="21"/>
      <c r="O3803" s="21"/>
      <c r="T3803" s="21"/>
      <c r="AA3803" s="21"/>
    </row>
    <row r="3804" spans="7:27" x14ac:dyDescent="0.2">
      <c r="G3804" s="21"/>
      <c r="H3804" s="21"/>
      <c r="N3804" s="21"/>
      <c r="O3804" s="21"/>
      <c r="T3804" s="21"/>
      <c r="AA3804" s="21"/>
    </row>
    <row r="3805" spans="7:27" x14ac:dyDescent="0.2">
      <c r="G3805" s="21"/>
      <c r="H3805" s="21"/>
      <c r="N3805" s="21"/>
      <c r="O3805" s="21"/>
      <c r="T3805" s="21"/>
      <c r="AA3805" s="21"/>
    </row>
    <row r="3806" spans="7:27" x14ac:dyDescent="0.2">
      <c r="G3806" s="21"/>
      <c r="H3806" s="21"/>
      <c r="N3806" s="21"/>
      <c r="O3806" s="21"/>
      <c r="T3806" s="21"/>
      <c r="AA3806" s="21"/>
    </row>
    <row r="3807" spans="7:27" x14ac:dyDescent="0.2">
      <c r="G3807" s="21"/>
      <c r="H3807" s="21"/>
      <c r="N3807" s="21"/>
      <c r="O3807" s="21"/>
      <c r="T3807" s="21"/>
      <c r="AA3807" s="21"/>
    </row>
    <row r="3808" spans="7:27" x14ac:dyDescent="0.2">
      <c r="G3808" s="21"/>
      <c r="H3808" s="21"/>
      <c r="N3808" s="21"/>
      <c r="O3808" s="21"/>
      <c r="T3808" s="21"/>
      <c r="AA3808" s="21"/>
    </row>
    <row r="3809" spans="7:27" x14ac:dyDescent="0.2">
      <c r="G3809" s="21"/>
      <c r="H3809" s="21"/>
      <c r="N3809" s="21"/>
      <c r="O3809" s="21"/>
      <c r="T3809" s="21"/>
      <c r="AA3809" s="21"/>
    </row>
    <row r="3810" spans="7:27" x14ac:dyDescent="0.2">
      <c r="G3810" s="21"/>
      <c r="H3810" s="21"/>
      <c r="N3810" s="21"/>
      <c r="O3810" s="21"/>
      <c r="T3810" s="21"/>
      <c r="AA3810" s="21"/>
    </row>
    <row r="3811" spans="7:27" x14ac:dyDescent="0.2">
      <c r="G3811" s="21"/>
      <c r="H3811" s="21"/>
      <c r="N3811" s="21"/>
      <c r="O3811" s="21"/>
      <c r="T3811" s="21"/>
      <c r="AA3811" s="21"/>
    </row>
    <row r="3812" spans="7:27" x14ac:dyDescent="0.2">
      <c r="G3812" s="21"/>
      <c r="H3812" s="21"/>
      <c r="N3812" s="21"/>
      <c r="O3812" s="21"/>
      <c r="T3812" s="21"/>
      <c r="AA3812" s="21"/>
    </row>
    <row r="3813" spans="7:27" x14ac:dyDescent="0.2">
      <c r="G3813" s="21"/>
      <c r="H3813" s="21"/>
      <c r="N3813" s="21"/>
      <c r="O3813" s="21"/>
      <c r="T3813" s="21"/>
      <c r="AA3813" s="21"/>
    </row>
    <row r="3814" spans="7:27" x14ac:dyDescent="0.2">
      <c r="G3814" s="21"/>
      <c r="H3814" s="21"/>
      <c r="N3814" s="21"/>
      <c r="O3814" s="21"/>
      <c r="T3814" s="21"/>
      <c r="AA3814" s="21"/>
    </row>
    <row r="3815" spans="7:27" x14ac:dyDescent="0.2">
      <c r="G3815" s="21"/>
      <c r="H3815" s="21"/>
      <c r="N3815" s="21"/>
      <c r="O3815" s="21"/>
      <c r="T3815" s="21"/>
      <c r="AA3815" s="21"/>
    </row>
    <row r="3816" spans="7:27" x14ac:dyDescent="0.2">
      <c r="G3816" s="21"/>
      <c r="H3816" s="21"/>
      <c r="N3816" s="21"/>
      <c r="O3816" s="21"/>
      <c r="T3816" s="21"/>
      <c r="AA3816" s="21"/>
    </row>
    <row r="3817" spans="7:27" x14ac:dyDescent="0.2">
      <c r="G3817" s="21"/>
      <c r="H3817" s="21"/>
      <c r="N3817" s="21"/>
      <c r="O3817" s="21"/>
      <c r="T3817" s="21"/>
      <c r="AA3817" s="21"/>
    </row>
    <row r="3818" spans="7:27" x14ac:dyDescent="0.2">
      <c r="G3818" s="21"/>
      <c r="H3818" s="21"/>
      <c r="N3818" s="21"/>
      <c r="O3818" s="21"/>
      <c r="T3818" s="21"/>
      <c r="AA3818" s="21"/>
    </row>
    <row r="3819" spans="7:27" x14ac:dyDescent="0.2">
      <c r="G3819" s="21"/>
      <c r="H3819" s="21"/>
      <c r="N3819" s="21"/>
      <c r="O3819" s="21"/>
      <c r="T3819" s="21"/>
      <c r="AA3819" s="21"/>
    </row>
    <row r="3820" spans="7:27" x14ac:dyDescent="0.2">
      <c r="G3820" s="21"/>
      <c r="H3820" s="21"/>
      <c r="N3820" s="21"/>
      <c r="O3820" s="21"/>
      <c r="T3820" s="21"/>
      <c r="AA3820" s="21"/>
    </row>
    <row r="3821" spans="7:27" x14ac:dyDescent="0.2">
      <c r="G3821" s="21"/>
      <c r="H3821" s="21"/>
      <c r="N3821" s="21"/>
      <c r="O3821" s="21"/>
      <c r="T3821" s="21"/>
      <c r="AA3821" s="21"/>
    </row>
    <row r="3822" spans="7:27" x14ac:dyDescent="0.2">
      <c r="G3822" s="21"/>
      <c r="H3822" s="21"/>
      <c r="N3822" s="21"/>
      <c r="O3822" s="21"/>
      <c r="T3822" s="21"/>
      <c r="AA3822" s="21"/>
    </row>
    <row r="3823" spans="7:27" x14ac:dyDescent="0.2">
      <c r="G3823" s="21"/>
      <c r="H3823" s="21"/>
      <c r="N3823" s="21"/>
      <c r="O3823" s="21"/>
      <c r="T3823" s="21"/>
      <c r="AA3823" s="21"/>
    </row>
    <row r="3824" spans="7:27" x14ac:dyDescent="0.2">
      <c r="G3824" s="21"/>
      <c r="H3824" s="21"/>
      <c r="N3824" s="21"/>
      <c r="O3824" s="21"/>
      <c r="T3824" s="21"/>
      <c r="AA3824" s="21"/>
    </row>
    <row r="3825" spans="7:27" x14ac:dyDescent="0.2">
      <c r="G3825" s="21"/>
      <c r="H3825" s="21"/>
      <c r="N3825" s="21"/>
      <c r="O3825" s="21"/>
      <c r="T3825" s="21"/>
      <c r="AA3825" s="21"/>
    </row>
    <row r="3826" spans="7:27" x14ac:dyDescent="0.2">
      <c r="G3826" s="21"/>
      <c r="H3826" s="21"/>
      <c r="N3826" s="21"/>
      <c r="O3826" s="21"/>
      <c r="T3826" s="21"/>
      <c r="AA3826" s="21"/>
    </row>
    <row r="3827" spans="7:27" x14ac:dyDescent="0.2">
      <c r="G3827" s="21"/>
      <c r="H3827" s="21"/>
      <c r="N3827" s="21"/>
      <c r="O3827" s="21"/>
      <c r="T3827" s="21"/>
      <c r="AA3827" s="21"/>
    </row>
    <row r="3828" spans="7:27" x14ac:dyDescent="0.2">
      <c r="G3828" s="21"/>
      <c r="H3828" s="21"/>
      <c r="N3828" s="21"/>
      <c r="O3828" s="21"/>
      <c r="T3828" s="21"/>
      <c r="AA3828" s="21"/>
    </row>
    <row r="3829" spans="7:27" x14ac:dyDescent="0.2">
      <c r="G3829" s="21"/>
      <c r="H3829" s="21"/>
      <c r="N3829" s="21"/>
      <c r="O3829" s="21"/>
      <c r="T3829" s="21"/>
      <c r="AA3829" s="21"/>
    </row>
    <row r="3830" spans="7:27" x14ac:dyDescent="0.2">
      <c r="G3830" s="21"/>
      <c r="H3830" s="21"/>
      <c r="N3830" s="21"/>
      <c r="O3830" s="21"/>
      <c r="T3830" s="21"/>
      <c r="AA3830" s="21"/>
    </row>
    <row r="3831" spans="7:27" x14ac:dyDescent="0.2">
      <c r="G3831" s="21"/>
      <c r="H3831" s="21"/>
      <c r="N3831" s="21"/>
      <c r="O3831" s="21"/>
      <c r="T3831" s="21"/>
      <c r="AA3831" s="21"/>
    </row>
    <row r="3832" spans="7:27" x14ac:dyDescent="0.2">
      <c r="G3832" s="21"/>
      <c r="H3832" s="21"/>
      <c r="N3832" s="21"/>
      <c r="O3832" s="21"/>
      <c r="T3832" s="21"/>
      <c r="AA3832" s="21"/>
    </row>
    <row r="3833" spans="7:27" x14ac:dyDescent="0.2">
      <c r="G3833" s="21"/>
      <c r="H3833" s="21"/>
      <c r="N3833" s="21"/>
      <c r="O3833" s="21"/>
      <c r="T3833" s="21"/>
      <c r="AA3833" s="21"/>
    </row>
    <row r="3834" spans="7:27" x14ac:dyDescent="0.2">
      <c r="G3834" s="21"/>
      <c r="H3834" s="21"/>
      <c r="N3834" s="21"/>
      <c r="O3834" s="21"/>
      <c r="T3834" s="21"/>
      <c r="AA3834" s="21"/>
    </row>
    <row r="3835" spans="7:27" x14ac:dyDescent="0.2">
      <c r="G3835" s="21"/>
      <c r="H3835" s="21"/>
      <c r="N3835" s="21"/>
      <c r="O3835" s="21"/>
      <c r="T3835" s="21"/>
      <c r="AA3835" s="21"/>
    </row>
    <row r="3836" spans="7:27" x14ac:dyDescent="0.2">
      <c r="G3836" s="21"/>
      <c r="H3836" s="21"/>
      <c r="N3836" s="21"/>
      <c r="O3836" s="21"/>
      <c r="T3836" s="21"/>
      <c r="AA3836" s="21"/>
    </row>
    <row r="3837" spans="7:27" x14ac:dyDescent="0.2">
      <c r="G3837" s="21"/>
      <c r="H3837" s="21"/>
      <c r="N3837" s="21"/>
      <c r="O3837" s="21"/>
      <c r="T3837" s="21"/>
      <c r="AA3837" s="21"/>
    </row>
    <row r="3838" spans="7:27" x14ac:dyDescent="0.2">
      <c r="G3838" s="21"/>
      <c r="H3838" s="21"/>
      <c r="N3838" s="21"/>
      <c r="O3838" s="21"/>
      <c r="T3838" s="21"/>
      <c r="AA3838" s="21"/>
    </row>
    <row r="3839" spans="7:27" x14ac:dyDescent="0.2">
      <c r="G3839" s="21"/>
      <c r="H3839" s="21"/>
      <c r="N3839" s="21"/>
      <c r="O3839" s="21"/>
      <c r="T3839" s="21"/>
      <c r="AA3839" s="21"/>
    </row>
    <row r="3840" spans="7:27" x14ac:dyDescent="0.2">
      <c r="G3840" s="21"/>
      <c r="H3840" s="21"/>
      <c r="N3840" s="21"/>
      <c r="O3840" s="21"/>
      <c r="T3840" s="21"/>
      <c r="AA3840" s="21"/>
    </row>
    <row r="3841" spans="7:27" x14ac:dyDescent="0.2">
      <c r="G3841" s="21"/>
      <c r="H3841" s="21"/>
      <c r="N3841" s="21"/>
      <c r="O3841" s="21"/>
      <c r="T3841" s="21"/>
      <c r="AA3841" s="21"/>
    </row>
    <row r="3842" spans="7:27" x14ac:dyDescent="0.2">
      <c r="G3842" s="21"/>
      <c r="H3842" s="21"/>
      <c r="N3842" s="21"/>
      <c r="O3842" s="21"/>
      <c r="T3842" s="21"/>
      <c r="AA3842" s="21"/>
    </row>
    <row r="3843" spans="7:27" x14ac:dyDescent="0.2">
      <c r="G3843" s="21"/>
      <c r="H3843" s="21"/>
      <c r="N3843" s="21"/>
      <c r="O3843" s="21"/>
      <c r="T3843" s="21"/>
      <c r="AA3843" s="21"/>
    </row>
    <row r="3844" spans="7:27" x14ac:dyDescent="0.2">
      <c r="G3844" s="21"/>
      <c r="H3844" s="21"/>
      <c r="N3844" s="21"/>
      <c r="O3844" s="21"/>
      <c r="T3844" s="21"/>
      <c r="AA3844" s="21"/>
    </row>
    <row r="3845" spans="7:27" x14ac:dyDescent="0.2">
      <c r="G3845" s="21"/>
      <c r="H3845" s="21"/>
      <c r="N3845" s="21"/>
      <c r="O3845" s="21"/>
      <c r="T3845" s="21"/>
      <c r="AA3845" s="21"/>
    </row>
    <row r="3846" spans="7:27" x14ac:dyDescent="0.2">
      <c r="G3846" s="21"/>
      <c r="H3846" s="21"/>
      <c r="N3846" s="21"/>
      <c r="O3846" s="21"/>
      <c r="T3846" s="21"/>
      <c r="AA3846" s="21"/>
    </row>
    <row r="3847" spans="7:27" x14ac:dyDescent="0.2">
      <c r="G3847" s="21"/>
      <c r="H3847" s="21"/>
      <c r="N3847" s="21"/>
      <c r="O3847" s="21"/>
      <c r="T3847" s="21"/>
      <c r="AA3847" s="21"/>
    </row>
    <row r="3848" spans="7:27" x14ac:dyDescent="0.2">
      <c r="G3848" s="21"/>
      <c r="H3848" s="21"/>
      <c r="N3848" s="21"/>
      <c r="O3848" s="21"/>
      <c r="T3848" s="21"/>
      <c r="AA3848" s="21"/>
    </row>
    <row r="3849" spans="7:27" x14ac:dyDescent="0.2">
      <c r="G3849" s="21"/>
      <c r="H3849" s="21"/>
      <c r="N3849" s="21"/>
      <c r="O3849" s="21"/>
      <c r="T3849" s="21"/>
      <c r="AA3849" s="21"/>
    </row>
    <row r="3850" spans="7:27" x14ac:dyDescent="0.2">
      <c r="G3850" s="21"/>
      <c r="H3850" s="21"/>
      <c r="N3850" s="21"/>
      <c r="O3850" s="21"/>
      <c r="T3850" s="21"/>
      <c r="AA3850" s="21"/>
    </row>
    <row r="3851" spans="7:27" x14ac:dyDescent="0.2">
      <c r="G3851" s="21"/>
      <c r="H3851" s="21"/>
      <c r="N3851" s="21"/>
      <c r="O3851" s="21"/>
      <c r="T3851" s="21"/>
      <c r="AA3851" s="21"/>
    </row>
    <row r="3852" spans="7:27" x14ac:dyDescent="0.2">
      <c r="G3852" s="21"/>
      <c r="H3852" s="21"/>
      <c r="N3852" s="21"/>
      <c r="O3852" s="21"/>
      <c r="T3852" s="21"/>
      <c r="AA3852" s="21"/>
    </row>
    <row r="3853" spans="7:27" x14ac:dyDescent="0.2">
      <c r="G3853" s="21"/>
      <c r="H3853" s="21"/>
      <c r="N3853" s="21"/>
      <c r="O3853" s="21"/>
      <c r="T3853" s="21"/>
      <c r="AA3853" s="21"/>
    </row>
    <row r="3854" spans="7:27" x14ac:dyDescent="0.2">
      <c r="G3854" s="21"/>
      <c r="H3854" s="21"/>
      <c r="N3854" s="21"/>
      <c r="O3854" s="21"/>
      <c r="T3854" s="21"/>
      <c r="AA3854" s="21"/>
    </row>
    <row r="3855" spans="7:27" x14ac:dyDescent="0.2">
      <c r="G3855" s="21"/>
      <c r="H3855" s="21"/>
      <c r="N3855" s="21"/>
      <c r="O3855" s="21"/>
      <c r="T3855" s="21"/>
      <c r="AA3855" s="21"/>
    </row>
    <row r="3856" spans="7:27" x14ac:dyDescent="0.2">
      <c r="G3856" s="21"/>
      <c r="H3856" s="21"/>
      <c r="N3856" s="21"/>
      <c r="O3856" s="21"/>
      <c r="T3856" s="21"/>
      <c r="AA3856" s="21"/>
    </row>
    <row r="3857" spans="7:27" x14ac:dyDescent="0.2">
      <c r="G3857" s="21"/>
      <c r="H3857" s="21"/>
      <c r="N3857" s="21"/>
      <c r="O3857" s="21"/>
      <c r="T3857" s="21"/>
      <c r="AA3857" s="21"/>
    </row>
    <row r="3858" spans="7:27" x14ac:dyDescent="0.2">
      <c r="G3858" s="21"/>
      <c r="H3858" s="21"/>
      <c r="N3858" s="21"/>
      <c r="O3858" s="21"/>
      <c r="T3858" s="21"/>
      <c r="AA3858" s="21"/>
    </row>
    <row r="3859" spans="7:27" x14ac:dyDescent="0.2">
      <c r="G3859" s="21"/>
      <c r="H3859" s="21"/>
      <c r="N3859" s="21"/>
      <c r="O3859" s="21"/>
      <c r="T3859" s="21"/>
      <c r="AA3859" s="21"/>
    </row>
    <row r="3860" spans="7:27" x14ac:dyDescent="0.2">
      <c r="G3860" s="21"/>
      <c r="H3860" s="21"/>
      <c r="N3860" s="21"/>
      <c r="O3860" s="21"/>
      <c r="T3860" s="21"/>
      <c r="AA3860" s="21"/>
    </row>
    <row r="3861" spans="7:27" x14ac:dyDescent="0.2">
      <c r="G3861" s="21"/>
      <c r="H3861" s="21"/>
      <c r="N3861" s="21"/>
      <c r="O3861" s="21"/>
      <c r="T3861" s="21"/>
      <c r="AA3861" s="21"/>
    </row>
    <row r="3862" spans="7:27" x14ac:dyDescent="0.2">
      <c r="G3862" s="21"/>
      <c r="H3862" s="21"/>
      <c r="N3862" s="21"/>
      <c r="O3862" s="21"/>
      <c r="T3862" s="21"/>
      <c r="AA3862" s="21"/>
    </row>
    <row r="3863" spans="7:27" x14ac:dyDescent="0.2">
      <c r="G3863" s="21"/>
      <c r="H3863" s="21"/>
      <c r="N3863" s="21"/>
      <c r="O3863" s="21"/>
      <c r="T3863" s="21"/>
      <c r="AA3863" s="21"/>
    </row>
    <row r="3864" spans="7:27" x14ac:dyDescent="0.2">
      <c r="G3864" s="21"/>
      <c r="H3864" s="21"/>
      <c r="N3864" s="21"/>
      <c r="O3864" s="21"/>
      <c r="T3864" s="21"/>
      <c r="AA3864" s="21"/>
    </row>
    <row r="3865" spans="7:27" x14ac:dyDescent="0.2">
      <c r="G3865" s="21"/>
      <c r="H3865" s="21"/>
      <c r="N3865" s="21"/>
      <c r="O3865" s="21"/>
      <c r="T3865" s="21"/>
      <c r="AA3865" s="21"/>
    </row>
    <row r="3866" spans="7:27" x14ac:dyDescent="0.2">
      <c r="G3866" s="21"/>
      <c r="H3866" s="21"/>
      <c r="N3866" s="21"/>
      <c r="O3866" s="21"/>
      <c r="T3866" s="21"/>
      <c r="AA3866" s="21"/>
    </row>
    <row r="3867" spans="7:27" x14ac:dyDescent="0.2">
      <c r="G3867" s="21"/>
      <c r="H3867" s="21"/>
      <c r="N3867" s="21"/>
      <c r="O3867" s="21"/>
      <c r="T3867" s="21"/>
      <c r="AA3867" s="21"/>
    </row>
    <row r="3868" spans="7:27" x14ac:dyDescent="0.2">
      <c r="G3868" s="21"/>
      <c r="H3868" s="21"/>
      <c r="N3868" s="21"/>
      <c r="O3868" s="21"/>
      <c r="T3868" s="21"/>
      <c r="AA3868" s="21"/>
    </row>
    <row r="3869" spans="7:27" x14ac:dyDescent="0.2">
      <c r="G3869" s="21"/>
      <c r="H3869" s="21"/>
      <c r="N3869" s="21"/>
      <c r="O3869" s="21"/>
      <c r="T3869" s="21"/>
      <c r="AA3869" s="21"/>
    </row>
    <row r="3870" spans="7:27" x14ac:dyDescent="0.2">
      <c r="G3870" s="21"/>
      <c r="H3870" s="21"/>
      <c r="N3870" s="21"/>
      <c r="O3870" s="21"/>
      <c r="T3870" s="21"/>
      <c r="AA3870" s="21"/>
    </row>
    <row r="3871" spans="7:27" x14ac:dyDescent="0.2">
      <c r="G3871" s="21"/>
      <c r="H3871" s="21"/>
      <c r="N3871" s="21"/>
      <c r="O3871" s="21"/>
      <c r="T3871" s="21"/>
      <c r="AA3871" s="21"/>
    </row>
    <row r="3872" spans="7:27" x14ac:dyDescent="0.2">
      <c r="G3872" s="21"/>
      <c r="H3872" s="21"/>
      <c r="N3872" s="21"/>
      <c r="O3872" s="21"/>
      <c r="T3872" s="21"/>
      <c r="AA3872" s="21"/>
    </row>
    <row r="3873" spans="7:27" x14ac:dyDescent="0.2">
      <c r="G3873" s="21"/>
      <c r="H3873" s="21"/>
      <c r="N3873" s="21"/>
      <c r="O3873" s="21"/>
      <c r="T3873" s="21"/>
      <c r="AA3873" s="21"/>
    </row>
    <row r="3874" spans="7:27" x14ac:dyDescent="0.2">
      <c r="G3874" s="21"/>
      <c r="H3874" s="21"/>
      <c r="N3874" s="21"/>
      <c r="O3874" s="21"/>
      <c r="T3874" s="21"/>
      <c r="AA3874" s="21"/>
    </row>
    <row r="3875" spans="7:27" x14ac:dyDescent="0.2">
      <c r="G3875" s="21"/>
      <c r="H3875" s="21"/>
      <c r="N3875" s="21"/>
      <c r="O3875" s="21"/>
      <c r="T3875" s="21"/>
      <c r="AA3875" s="21"/>
    </row>
    <row r="3876" spans="7:27" x14ac:dyDescent="0.2">
      <c r="G3876" s="21"/>
      <c r="H3876" s="21"/>
      <c r="N3876" s="21"/>
      <c r="O3876" s="21"/>
      <c r="T3876" s="21"/>
      <c r="AA3876" s="21"/>
    </row>
    <row r="3877" spans="7:27" x14ac:dyDescent="0.2">
      <c r="G3877" s="21"/>
      <c r="H3877" s="21"/>
      <c r="N3877" s="21"/>
      <c r="O3877" s="21"/>
      <c r="T3877" s="21"/>
      <c r="AA3877" s="21"/>
    </row>
    <row r="3878" spans="7:27" x14ac:dyDescent="0.2">
      <c r="G3878" s="21"/>
      <c r="H3878" s="21"/>
      <c r="N3878" s="21"/>
      <c r="O3878" s="21"/>
      <c r="T3878" s="21"/>
      <c r="AA3878" s="21"/>
    </row>
    <row r="3879" spans="7:27" x14ac:dyDescent="0.2">
      <c r="G3879" s="21"/>
      <c r="H3879" s="21"/>
      <c r="N3879" s="21"/>
      <c r="O3879" s="21"/>
      <c r="T3879" s="21"/>
      <c r="AA3879" s="21"/>
    </row>
    <row r="3880" spans="7:27" x14ac:dyDescent="0.2">
      <c r="G3880" s="21"/>
      <c r="H3880" s="21"/>
      <c r="N3880" s="21"/>
      <c r="O3880" s="21"/>
      <c r="T3880" s="21"/>
      <c r="AA3880" s="21"/>
    </row>
    <row r="3881" spans="7:27" x14ac:dyDescent="0.2">
      <c r="G3881" s="21"/>
      <c r="H3881" s="21"/>
      <c r="N3881" s="21"/>
      <c r="O3881" s="21"/>
      <c r="T3881" s="21"/>
      <c r="AA3881" s="21"/>
    </row>
    <row r="3882" spans="7:27" x14ac:dyDescent="0.2">
      <c r="G3882" s="21"/>
      <c r="H3882" s="21"/>
      <c r="N3882" s="21"/>
      <c r="O3882" s="21"/>
      <c r="T3882" s="21"/>
      <c r="AA3882" s="21"/>
    </row>
    <row r="3883" spans="7:27" x14ac:dyDescent="0.2">
      <c r="G3883" s="21"/>
      <c r="H3883" s="21"/>
      <c r="N3883" s="21"/>
      <c r="O3883" s="21"/>
      <c r="T3883" s="21"/>
      <c r="AA3883" s="21"/>
    </row>
    <row r="3884" spans="7:27" x14ac:dyDescent="0.2">
      <c r="G3884" s="21"/>
      <c r="H3884" s="21"/>
      <c r="N3884" s="21"/>
      <c r="O3884" s="21"/>
      <c r="T3884" s="21"/>
      <c r="AA3884" s="21"/>
    </row>
    <row r="3885" spans="7:27" x14ac:dyDescent="0.2">
      <c r="G3885" s="21"/>
      <c r="H3885" s="21"/>
      <c r="N3885" s="21"/>
      <c r="O3885" s="21"/>
      <c r="T3885" s="21"/>
      <c r="AA3885" s="21"/>
    </row>
    <row r="3886" spans="7:27" x14ac:dyDescent="0.2">
      <c r="G3886" s="21"/>
      <c r="H3886" s="21"/>
      <c r="N3886" s="21"/>
      <c r="O3886" s="21"/>
      <c r="T3886" s="21"/>
      <c r="AA3886" s="21"/>
    </row>
    <row r="3887" spans="7:27" x14ac:dyDescent="0.2">
      <c r="G3887" s="21"/>
      <c r="H3887" s="21"/>
      <c r="N3887" s="21"/>
      <c r="O3887" s="21"/>
      <c r="T3887" s="21"/>
      <c r="AA3887" s="21"/>
    </row>
    <row r="3888" spans="7:27" x14ac:dyDescent="0.2">
      <c r="G3888" s="21"/>
      <c r="H3888" s="21"/>
      <c r="N3888" s="21"/>
      <c r="O3888" s="21"/>
      <c r="T3888" s="21"/>
      <c r="AA3888" s="21"/>
    </row>
    <row r="3889" spans="7:27" x14ac:dyDescent="0.2">
      <c r="G3889" s="21"/>
      <c r="H3889" s="21"/>
      <c r="N3889" s="21"/>
      <c r="O3889" s="21"/>
      <c r="T3889" s="21"/>
      <c r="AA3889" s="21"/>
    </row>
    <row r="3890" spans="7:27" x14ac:dyDescent="0.2">
      <c r="G3890" s="21"/>
      <c r="H3890" s="21"/>
      <c r="N3890" s="21"/>
      <c r="O3890" s="21"/>
      <c r="T3890" s="21"/>
      <c r="AA3890" s="21"/>
    </row>
    <row r="3891" spans="7:27" x14ac:dyDescent="0.2">
      <c r="G3891" s="21"/>
      <c r="H3891" s="21"/>
      <c r="N3891" s="21"/>
      <c r="O3891" s="21"/>
      <c r="T3891" s="21"/>
      <c r="AA3891" s="21"/>
    </row>
    <row r="3892" spans="7:27" x14ac:dyDescent="0.2">
      <c r="G3892" s="21"/>
      <c r="H3892" s="21"/>
      <c r="N3892" s="21"/>
      <c r="O3892" s="21"/>
      <c r="T3892" s="21"/>
      <c r="AA3892" s="21"/>
    </row>
    <row r="3893" spans="7:27" x14ac:dyDescent="0.2">
      <c r="G3893" s="21"/>
      <c r="H3893" s="21"/>
      <c r="N3893" s="21"/>
      <c r="O3893" s="21"/>
      <c r="T3893" s="21"/>
      <c r="AA3893" s="21"/>
    </row>
    <row r="3894" spans="7:27" x14ac:dyDescent="0.2">
      <c r="G3894" s="21"/>
      <c r="H3894" s="21"/>
      <c r="N3894" s="21"/>
      <c r="O3894" s="21"/>
      <c r="T3894" s="21"/>
      <c r="AA3894" s="21"/>
    </row>
    <row r="3895" spans="7:27" x14ac:dyDescent="0.2">
      <c r="G3895" s="21"/>
      <c r="H3895" s="21"/>
      <c r="N3895" s="21"/>
      <c r="O3895" s="21"/>
      <c r="T3895" s="21"/>
      <c r="AA3895" s="21"/>
    </row>
    <row r="3896" spans="7:27" x14ac:dyDescent="0.2">
      <c r="G3896" s="21"/>
      <c r="H3896" s="21"/>
      <c r="N3896" s="21"/>
      <c r="O3896" s="21"/>
      <c r="T3896" s="21"/>
      <c r="AA3896" s="21"/>
    </row>
    <row r="3897" spans="7:27" x14ac:dyDescent="0.2">
      <c r="G3897" s="21"/>
      <c r="H3897" s="21"/>
      <c r="N3897" s="21"/>
      <c r="O3897" s="21"/>
      <c r="T3897" s="21"/>
      <c r="AA3897" s="21"/>
    </row>
    <row r="3898" spans="7:27" x14ac:dyDescent="0.2">
      <c r="G3898" s="21"/>
      <c r="H3898" s="21"/>
      <c r="N3898" s="21"/>
      <c r="O3898" s="21"/>
      <c r="T3898" s="21"/>
      <c r="AA3898" s="21"/>
    </row>
    <row r="3899" spans="7:27" x14ac:dyDescent="0.2">
      <c r="G3899" s="21"/>
      <c r="H3899" s="21"/>
      <c r="N3899" s="21"/>
      <c r="O3899" s="21"/>
      <c r="T3899" s="21"/>
      <c r="AA3899" s="21"/>
    </row>
    <row r="3900" spans="7:27" x14ac:dyDescent="0.2">
      <c r="G3900" s="21"/>
      <c r="H3900" s="21"/>
      <c r="N3900" s="21"/>
      <c r="O3900" s="21"/>
      <c r="T3900" s="21"/>
      <c r="AA3900" s="21"/>
    </row>
    <row r="3901" spans="7:27" x14ac:dyDescent="0.2">
      <c r="G3901" s="21"/>
      <c r="H3901" s="21"/>
      <c r="N3901" s="21"/>
      <c r="O3901" s="21"/>
      <c r="T3901" s="21"/>
      <c r="AA3901" s="21"/>
    </row>
    <row r="3902" spans="7:27" x14ac:dyDescent="0.2">
      <c r="G3902" s="21"/>
      <c r="H3902" s="21"/>
      <c r="N3902" s="21"/>
      <c r="O3902" s="21"/>
      <c r="T3902" s="21"/>
      <c r="AA3902" s="21"/>
    </row>
    <row r="3903" spans="7:27" x14ac:dyDescent="0.2">
      <c r="G3903" s="21"/>
      <c r="H3903" s="21"/>
      <c r="N3903" s="21"/>
      <c r="O3903" s="21"/>
      <c r="T3903" s="21"/>
      <c r="AA3903" s="21"/>
    </row>
    <row r="3904" spans="7:27" x14ac:dyDescent="0.2">
      <c r="G3904" s="21"/>
      <c r="H3904" s="21"/>
      <c r="N3904" s="21"/>
      <c r="O3904" s="21"/>
      <c r="T3904" s="21"/>
      <c r="AA3904" s="21"/>
    </row>
    <row r="3905" spans="7:27" x14ac:dyDescent="0.2">
      <c r="G3905" s="21"/>
      <c r="H3905" s="21"/>
      <c r="N3905" s="21"/>
      <c r="O3905" s="21"/>
      <c r="T3905" s="21"/>
      <c r="AA3905" s="21"/>
    </row>
    <row r="3906" spans="7:27" x14ac:dyDescent="0.2">
      <c r="G3906" s="21"/>
      <c r="H3906" s="21"/>
      <c r="N3906" s="21"/>
      <c r="O3906" s="21"/>
      <c r="T3906" s="21"/>
      <c r="AA3906" s="21"/>
    </row>
    <row r="3907" spans="7:27" x14ac:dyDescent="0.2">
      <c r="G3907" s="21"/>
      <c r="H3907" s="21"/>
      <c r="N3907" s="21"/>
      <c r="O3907" s="21"/>
      <c r="T3907" s="21"/>
      <c r="AA3907" s="21"/>
    </row>
    <row r="3908" spans="7:27" x14ac:dyDescent="0.2">
      <c r="G3908" s="21"/>
      <c r="H3908" s="21"/>
      <c r="N3908" s="21"/>
      <c r="O3908" s="21"/>
      <c r="T3908" s="21"/>
      <c r="AA3908" s="21"/>
    </row>
    <row r="3909" spans="7:27" x14ac:dyDescent="0.2">
      <c r="G3909" s="21"/>
      <c r="H3909" s="21"/>
      <c r="N3909" s="21"/>
      <c r="O3909" s="21"/>
      <c r="T3909" s="21"/>
      <c r="AA3909" s="21"/>
    </row>
    <row r="3910" spans="7:27" x14ac:dyDescent="0.2">
      <c r="G3910" s="21"/>
      <c r="H3910" s="21"/>
      <c r="N3910" s="21"/>
      <c r="O3910" s="21"/>
      <c r="T3910" s="21"/>
      <c r="AA3910" s="21"/>
    </row>
    <row r="3911" spans="7:27" x14ac:dyDescent="0.2">
      <c r="G3911" s="21"/>
      <c r="H3911" s="21"/>
      <c r="N3911" s="21"/>
      <c r="O3911" s="21"/>
      <c r="T3911" s="21"/>
      <c r="AA3911" s="21"/>
    </row>
    <row r="3912" spans="7:27" x14ac:dyDescent="0.2">
      <c r="G3912" s="21"/>
      <c r="H3912" s="21"/>
      <c r="N3912" s="21"/>
      <c r="O3912" s="21"/>
      <c r="T3912" s="21"/>
      <c r="AA3912" s="21"/>
    </row>
    <row r="3913" spans="7:27" x14ac:dyDescent="0.2">
      <c r="G3913" s="21"/>
      <c r="H3913" s="21"/>
      <c r="N3913" s="21"/>
      <c r="O3913" s="21"/>
      <c r="T3913" s="21"/>
      <c r="AA3913" s="21"/>
    </row>
    <row r="3914" spans="7:27" x14ac:dyDescent="0.2">
      <c r="G3914" s="21"/>
      <c r="H3914" s="21"/>
      <c r="N3914" s="21"/>
      <c r="O3914" s="21"/>
      <c r="T3914" s="21"/>
      <c r="AA3914" s="21"/>
    </row>
    <row r="3915" spans="7:27" x14ac:dyDescent="0.2">
      <c r="G3915" s="21"/>
      <c r="H3915" s="21"/>
      <c r="N3915" s="21"/>
      <c r="O3915" s="21"/>
      <c r="T3915" s="21"/>
      <c r="AA3915" s="21"/>
    </row>
    <row r="3916" spans="7:27" x14ac:dyDescent="0.2">
      <c r="G3916" s="21"/>
      <c r="H3916" s="21"/>
      <c r="N3916" s="21"/>
      <c r="O3916" s="21"/>
      <c r="T3916" s="21"/>
      <c r="AA3916" s="21"/>
    </row>
    <row r="3917" spans="7:27" x14ac:dyDescent="0.2">
      <c r="G3917" s="21"/>
      <c r="H3917" s="21"/>
      <c r="N3917" s="21"/>
      <c r="O3917" s="21"/>
      <c r="T3917" s="21"/>
      <c r="AA3917" s="21"/>
    </row>
    <row r="3918" spans="7:27" x14ac:dyDescent="0.2">
      <c r="G3918" s="21"/>
      <c r="H3918" s="21"/>
      <c r="N3918" s="21"/>
      <c r="O3918" s="21"/>
      <c r="T3918" s="21"/>
      <c r="AA3918" s="21"/>
    </row>
    <row r="3919" spans="7:27" x14ac:dyDescent="0.2">
      <c r="G3919" s="21"/>
      <c r="H3919" s="21"/>
      <c r="N3919" s="21"/>
      <c r="O3919" s="21"/>
      <c r="T3919" s="21"/>
      <c r="AA3919" s="21"/>
    </row>
    <row r="3920" spans="7:27" x14ac:dyDescent="0.2">
      <c r="G3920" s="21"/>
      <c r="H3920" s="21"/>
      <c r="N3920" s="21"/>
      <c r="O3920" s="21"/>
      <c r="T3920" s="21"/>
      <c r="AA3920" s="21"/>
    </row>
    <row r="3921" spans="7:27" x14ac:dyDescent="0.2">
      <c r="G3921" s="21"/>
      <c r="H3921" s="21"/>
      <c r="N3921" s="21"/>
      <c r="O3921" s="21"/>
      <c r="T3921" s="21"/>
      <c r="AA3921" s="21"/>
    </row>
    <row r="3922" spans="7:27" x14ac:dyDescent="0.2">
      <c r="G3922" s="21"/>
      <c r="H3922" s="21"/>
      <c r="N3922" s="21"/>
      <c r="O3922" s="21"/>
      <c r="T3922" s="21"/>
      <c r="AA3922" s="21"/>
    </row>
    <row r="3923" spans="7:27" x14ac:dyDescent="0.2">
      <c r="G3923" s="21"/>
      <c r="H3923" s="21"/>
      <c r="N3923" s="21"/>
      <c r="O3923" s="21"/>
      <c r="T3923" s="21"/>
      <c r="AA3923" s="21"/>
    </row>
    <row r="3924" spans="7:27" x14ac:dyDescent="0.2">
      <c r="G3924" s="21"/>
      <c r="H3924" s="21"/>
      <c r="N3924" s="21"/>
      <c r="O3924" s="21"/>
      <c r="T3924" s="21"/>
      <c r="AA3924" s="21"/>
    </row>
    <row r="3925" spans="7:27" x14ac:dyDescent="0.2">
      <c r="G3925" s="21"/>
      <c r="H3925" s="21"/>
      <c r="N3925" s="21"/>
      <c r="O3925" s="21"/>
      <c r="T3925" s="21"/>
      <c r="AA3925" s="21"/>
    </row>
    <row r="3926" spans="7:27" x14ac:dyDescent="0.2">
      <c r="G3926" s="21"/>
      <c r="H3926" s="21"/>
      <c r="N3926" s="21"/>
      <c r="O3926" s="21"/>
      <c r="T3926" s="21"/>
      <c r="AA3926" s="21"/>
    </row>
    <row r="3927" spans="7:27" x14ac:dyDescent="0.2">
      <c r="G3927" s="21"/>
      <c r="H3927" s="21"/>
      <c r="N3927" s="21"/>
      <c r="O3927" s="21"/>
      <c r="T3927" s="21"/>
      <c r="AA3927" s="21"/>
    </row>
    <row r="3928" spans="7:27" x14ac:dyDescent="0.2">
      <c r="G3928" s="21"/>
      <c r="H3928" s="21"/>
      <c r="N3928" s="21"/>
      <c r="O3928" s="21"/>
      <c r="T3928" s="21"/>
      <c r="AA3928" s="21"/>
    </row>
    <row r="3929" spans="7:27" x14ac:dyDescent="0.2">
      <c r="G3929" s="21"/>
      <c r="H3929" s="21"/>
      <c r="N3929" s="21"/>
      <c r="O3929" s="21"/>
      <c r="T3929" s="21"/>
      <c r="AA3929" s="21"/>
    </row>
    <row r="3930" spans="7:27" x14ac:dyDescent="0.2">
      <c r="G3930" s="21"/>
      <c r="H3930" s="21"/>
      <c r="N3930" s="21"/>
      <c r="O3930" s="21"/>
      <c r="T3930" s="21"/>
      <c r="AA3930" s="21"/>
    </row>
    <row r="3931" spans="7:27" x14ac:dyDescent="0.2">
      <c r="G3931" s="21"/>
      <c r="H3931" s="21"/>
      <c r="N3931" s="21"/>
      <c r="O3931" s="21"/>
      <c r="T3931" s="21"/>
      <c r="AA3931" s="21"/>
    </row>
    <row r="3932" spans="7:27" x14ac:dyDescent="0.2">
      <c r="G3932" s="21"/>
      <c r="H3932" s="21"/>
      <c r="N3932" s="21"/>
      <c r="O3932" s="21"/>
      <c r="T3932" s="21"/>
      <c r="AA3932" s="21"/>
    </row>
    <row r="3933" spans="7:27" x14ac:dyDescent="0.2">
      <c r="G3933" s="21"/>
      <c r="H3933" s="21"/>
      <c r="N3933" s="21"/>
      <c r="O3933" s="21"/>
      <c r="T3933" s="21"/>
      <c r="AA3933" s="21"/>
    </row>
    <row r="3934" spans="7:27" x14ac:dyDescent="0.2">
      <c r="G3934" s="21"/>
      <c r="H3934" s="21"/>
      <c r="N3934" s="21"/>
      <c r="O3934" s="21"/>
      <c r="T3934" s="21"/>
      <c r="AA3934" s="21"/>
    </row>
    <row r="3935" spans="7:27" x14ac:dyDescent="0.2">
      <c r="G3935" s="21"/>
      <c r="H3935" s="21"/>
      <c r="N3935" s="21"/>
      <c r="O3935" s="21"/>
      <c r="T3935" s="21"/>
      <c r="AA3935" s="21"/>
    </row>
    <row r="3936" spans="7:27" x14ac:dyDescent="0.2">
      <c r="G3936" s="21"/>
      <c r="H3936" s="21"/>
      <c r="N3936" s="21"/>
      <c r="O3936" s="21"/>
      <c r="T3936" s="21"/>
      <c r="AA3936" s="21"/>
    </row>
    <row r="3937" spans="7:27" x14ac:dyDescent="0.2">
      <c r="G3937" s="21"/>
      <c r="H3937" s="21"/>
      <c r="N3937" s="21"/>
      <c r="O3937" s="21"/>
      <c r="T3937" s="21"/>
      <c r="AA3937" s="21"/>
    </row>
    <row r="3938" spans="7:27" x14ac:dyDescent="0.2">
      <c r="G3938" s="21"/>
      <c r="H3938" s="21"/>
      <c r="N3938" s="21"/>
      <c r="O3938" s="21"/>
      <c r="T3938" s="21"/>
      <c r="AA3938" s="21"/>
    </row>
    <row r="3939" spans="7:27" x14ac:dyDescent="0.2">
      <c r="G3939" s="21"/>
      <c r="H3939" s="21"/>
      <c r="N3939" s="21"/>
      <c r="O3939" s="21"/>
      <c r="T3939" s="21"/>
      <c r="AA3939" s="21"/>
    </row>
    <row r="3940" spans="7:27" x14ac:dyDescent="0.2">
      <c r="G3940" s="21"/>
      <c r="H3940" s="21"/>
      <c r="N3940" s="21"/>
      <c r="O3940" s="21"/>
      <c r="T3940" s="21"/>
      <c r="AA3940" s="21"/>
    </row>
    <row r="3941" spans="7:27" x14ac:dyDescent="0.2">
      <c r="G3941" s="21"/>
      <c r="H3941" s="21"/>
      <c r="N3941" s="21"/>
      <c r="O3941" s="21"/>
      <c r="T3941" s="21"/>
      <c r="AA3941" s="21"/>
    </row>
    <row r="3942" spans="7:27" x14ac:dyDescent="0.2">
      <c r="G3942" s="21"/>
      <c r="H3942" s="21"/>
      <c r="N3942" s="21"/>
      <c r="O3942" s="21"/>
      <c r="T3942" s="21"/>
      <c r="AA3942" s="21"/>
    </row>
    <row r="3943" spans="7:27" x14ac:dyDescent="0.2">
      <c r="G3943" s="21"/>
      <c r="H3943" s="21"/>
      <c r="N3943" s="21"/>
      <c r="O3943" s="21"/>
      <c r="T3943" s="21"/>
      <c r="AA3943" s="21"/>
    </row>
    <row r="3944" spans="7:27" x14ac:dyDescent="0.2">
      <c r="G3944" s="21"/>
      <c r="H3944" s="21"/>
      <c r="N3944" s="21"/>
      <c r="O3944" s="21"/>
      <c r="T3944" s="21"/>
      <c r="AA3944" s="21"/>
    </row>
    <row r="3945" spans="7:27" x14ac:dyDescent="0.2">
      <c r="G3945" s="21"/>
      <c r="H3945" s="21"/>
      <c r="N3945" s="21"/>
      <c r="O3945" s="21"/>
      <c r="T3945" s="21"/>
      <c r="AA3945" s="21"/>
    </row>
    <row r="3946" spans="7:27" x14ac:dyDescent="0.2">
      <c r="G3946" s="21"/>
      <c r="H3946" s="21"/>
      <c r="N3946" s="21"/>
      <c r="O3946" s="21"/>
      <c r="T3946" s="21"/>
      <c r="AA3946" s="21"/>
    </row>
    <row r="3947" spans="7:27" x14ac:dyDescent="0.2">
      <c r="G3947" s="21"/>
      <c r="H3947" s="21"/>
      <c r="N3947" s="21"/>
      <c r="O3947" s="21"/>
      <c r="T3947" s="21"/>
      <c r="AA3947" s="21"/>
    </row>
    <row r="3948" spans="7:27" x14ac:dyDescent="0.2">
      <c r="G3948" s="21"/>
      <c r="H3948" s="21"/>
      <c r="N3948" s="21"/>
      <c r="O3948" s="21"/>
      <c r="T3948" s="21"/>
      <c r="AA3948" s="21"/>
    </row>
    <row r="3949" spans="7:27" x14ac:dyDescent="0.2">
      <c r="G3949" s="21"/>
      <c r="H3949" s="21"/>
      <c r="N3949" s="21"/>
      <c r="O3949" s="21"/>
      <c r="T3949" s="21"/>
      <c r="AA3949" s="21"/>
    </row>
    <row r="3950" spans="7:27" x14ac:dyDescent="0.2">
      <c r="G3950" s="21"/>
      <c r="H3950" s="21"/>
      <c r="N3950" s="21"/>
      <c r="O3950" s="21"/>
      <c r="T3950" s="21"/>
      <c r="AA3950" s="21"/>
    </row>
    <row r="3951" spans="7:27" x14ac:dyDescent="0.2">
      <c r="G3951" s="21"/>
      <c r="H3951" s="21"/>
      <c r="N3951" s="21"/>
      <c r="O3951" s="21"/>
      <c r="T3951" s="21"/>
      <c r="AA3951" s="21"/>
    </row>
    <row r="3952" spans="7:27" x14ac:dyDescent="0.2">
      <c r="G3952" s="21"/>
      <c r="H3952" s="21"/>
      <c r="N3952" s="21"/>
      <c r="O3952" s="21"/>
      <c r="T3952" s="21"/>
      <c r="AA3952" s="21"/>
    </row>
    <row r="3953" spans="7:27" x14ac:dyDescent="0.2">
      <c r="G3953" s="21"/>
      <c r="H3953" s="21"/>
      <c r="N3953" s="21"/>
      <c r="O3953" s="21"/>
      <c r="T3953" s="21"/>
      <c r="AA3953" s="21"/>
    </row>
    <row r="3954" spans="7:27" x14ac:dyDescent="0.2">
      <c r="G3954" s="21"/>
      <c r="H3954" s="21"/>
      <c r="N3954" s="21"/>
      <c r="O3954" s="21"/>
      <c r="T3954" s="21"/>
      <c r="AA3954" s="21"/>
    </row>
    <row r="3955" spans="7:27" x14ac:dyDescent="0.2">
      <c r="G3955" s="21"/>
      <c r="H3955" s="21"/>
      <c r="N3955" s="21"/>
      <c r="O3955" s="21"/>
      <c r="T3955" s="21"/>
      <c r="AA3955" s="21"/>
    </row>
    <row r="3956" spans="7:27" x14ac:dyDescent="0.2">
      <c r="G3956" s="21"/>
      <c r="H3956" s="21"/>
      <c r="N3956" s="21"/>
      <c r="O3956" s="21"/>
      <c r="T3956" s="21"/>
      <c r="AA3956" s="21"/>
    </row>
    <row r="3957" spans="7:27" x14ac:dyDescent="0.2">
      <c r="G3957" s="21"/>
      <c r="H3957" s="21"/>
      <c r="N3957" s="21"/>
      <c r="O3957" s="21"/>
      <c r="T3957" s="21"/>
      <c r="AA3957" s="21"/>
    </row>
    <row r="3958" spans="7:27" x14ac:dyDescent="0.2">
      <c r="G3958" s="21"/>
      <c r="H3958" s="21"/>
      <c r="N3958" s="21"/>
      <c r="O3958" s="21"/>
      <c r="T3958" s="21"/>
      <c r="AA3958" s="21"/>
    </row>
    <row r="3959" spans="7:27" x14ac:dyDescent="0.2">
      <c r="G3959" s="21"/>
      <c r="H3959" s="21"/>
      <c r="N3959" s="21"/>
      <c r="O3959" s="21"/>
      <c r="T3959" s="21"/>
      <c r="AA3959" s="21"/>
    </row>
    <row r="3960" spans="7:27" x14ac:dyDescent="0.2">
      <c r="G3960" s="21"/>
      <c r="H3960" s="21"/>
      <c r="N3960" s="21"/>
      <c r="O3960" s="21"/>
      <c r="T3960" s="21"/>
      <c r="AA3960" s="21"/>
    </row>
    <row r="3961" spans="7:27" x14ac:dyDescent="0.2">
      <c r="G3961" s="21"/>
      <c r="H3961" s="21"/>
      <c r="N3961" s="21"/>
      <c r="O3961" s="21"/>
      <c r="T3961" s="21"/>
      <c r="AA3961" s="21"/>
    </row>
    <row r="3962" spans="7:27" x14ac:dyDescent="0.2">
      <c r="G3962" s="21"/>
      <c r="H3962" s="21"/>
      <c r="N3962" s="21"/>
      <c r="O3962" s="21"/>
      <c r="T3962" s="21"/>
      <c r="AA3962" s="21"/>
    </row>
    <row r="3963" spans="7:27" x14ac:dyDescent="0.2">
      <c r="G3963" s="21"/>
      <c r="H3963" s="21"/>
      <c r="N3963" s="21"/>
      <c r="O3963" s="21"/>
      <c r="T3963" s="21"/>
      <c r="AA3963" s="21"/>
    </row>
    <row r="3964" spans="7:27" x14ac:dyDescent="0.2">
      <c r="G3964" s="21"/>
      <c r="H3964" s="21"/>
      <c r="N3964" s="21"/>
      <c r="O3964" s="21"/>
      <c r="T3964" s="21"/>
      <c r="AA3964" s="21"/>
    </row>
    <row r="3965" spans="7:27" x14ac:dyDescent="0.2">
      <c r="G3965" s="21"/>
      <c r="H3965" s="21"/>
      <c r="N3965" s="21"/>
      <c r="O3965" s="21"/>
      <c r="T3965" s="21"/>
      <c r="AA3965" s="21"/>
    </row>
    <row r="3966" spans="7:27" x14ac:dyDescent="0.2">
      <c r="G3966" s="21"/>
      <c r="H3966" s="21"/>
      <c r="N3966" s="21"/>
      <c r="O3966" s="21"/>
      <c r="T3966" s="21"/>
      <c r="AA3966" s="21"/>
    </row>
    <row r="3967" spans="7:27" x14ac:dyDescent="0.2">
      <c r="G3967" s="21"/>
      <c r="H3967" s="21"/>
      <c r="N3967" s="21"/>
      <c r="O3967" s="21"/>
      <c r="T3967" s="21"/>
      <c r="AA3967" s="21"/>
    </row>
    <row r="3968" spans="7:27" x14ac:dyDescent="0.2">
      <c r="G3968" s="21"/>
      <c r="H3968" s="21"/>
      <c r="N3968" s="21"/>
      <c r="O3968" s="21"/>
      <c r="T3968" s="21"/>
      <c r="AA3968" s="21"/>
    </row>
    <row r="3969" spans="7:27" x14ac:dyDescent="0.2">
      <c r="G3969" s="21"/>
      <c r="H3969" s="21"/>
      <c r="N3969" s="21"/>
      <c r="O3969" s="21"/>
      <c r="T3969" s="21"/>
      <c r="AA3969" s="21"/>
    </row>
    <row r="3970" spans="7:27" x14ac:dyDescent="0.2">
      <c r="G3970" s="21"/>
      <c r="H3970" s="21"/>
      <c r="N3970" s="21"/>
      <c r="O3970" s="21"/>
      <c r="T3970" s="21"/>
      <c r="AA3970" s="21"/>
    </row>
    <row r="3971" spans="7:27" x14ac:dyDescent="0.2">
      <c r="G3971" s="21"/>
      <c r="H3971" s="21"/>
      <c r="N3971" s="21"/>
      <c r="O3971" s="21"/>
      <c r="T3971" s="21"/>
      <c r="AA3971" s="21"/>
    </row>
    <row r="3972" spans="7:27" x14ac:dyDescent="0.2">
      <c r="G3972" s="21"/>
      <c r="H3972" s="21"/>
      <c r="N3972" s="21"/>
      <c r="O3972" s="21"/>
      <c r="T3972" s="21"/>
      <c r="AA3972" s="21"/>
    </row>
    <row r="3973" spans="7:27" x14ac:dyDescent="0.2">
      <c r="G3973" s="21"/>
      <c r="H3973" s="21"/>
      <c r="N3973" s="21"/>
      <c r="O3973" s="21"/>
      <c r="T3973" s="21"/>
      <c r="AA3973" s="21"/>
    </row>
    <row r="3974" spans="7:27" x14ac:dyDescent="0.2">
      <c r="G3974" s="21"/>
      <c r="H3974" s="21"/>
      <c r="N3974" s="21"/>
      <c r="O3974" s="21"/>
      <c r="T3974" s="21"/>
      <c r="AA3974" s="21"/>
    </row>
    <row r="3975" spans="7:27" x14ac:dyDescent="0.2">
      <c r="G3975" s="21"/>
      <c r="H3975" s="21"/>
      <c r="N3975" s="21"/>
      <c r="O3975" s="21"/>
      <c r="T3975" s="21"/>
      <c r="AA3975" s="21"/>
    </row>
    <row r="3976" spans="7:27" x14ac:dyDescent="0.2">
      <c r="G3976" s="21"/>
      <c r="H3976" s="21"/>
      <c r="N3976" s="21"/>
      <c r="O3976" s="21"/>
      <c r="T3976" s="21"/>
      <c r="AA3976" s="21"/>
    </row>
    <row r="3977" spans="7:27" x14ac:dyDescent="0.2">
      <c r="G3977" s="21"/>
      <c r="H3977" s="21"/>
      <c r="N3977" s="21"/>
      <c r="O3977" s="21"/>
      <c r="T3977" s="21"/>
      <c r="AA3977" s="21"/>
    </row>
    <row r="3978" spans="7:27" x14ac:dyDescent="0.2">
      <c r="G3978" s="21"/>
      <c r="H3978" s="21"/>
      <c r="N3978" s="21"/>
      <c r="O3978" s="21"/>
      <c r="T3978" s="21"/>
      <c r="AA3978" s="21"/>
    </row>
    <row r="3979" spans="7:27" x14ac:dyDescent="0.2">
      <c r="G3979" s="21"/>
      <c r="H3979" s="21"/>
      <c r="N3979" s="21"/>
      <c r="O3979" s="21"/>
      <c r="T3979" s="21"/>
      <c r="AA3979" s="21"/>
    </row>
    <row r="3980" spans="7:27" x14ac:dyDescent="0.2">
      <c r="G3980" s="21"/>
      <c r="H3980" s="21"/>
      <c r="N3980" s="21"/>
      <c r="O3980" s="21"/>
      <c r="T3980" s="21"/>
      <c r="AA3980" s="21"/>
    </row>
    <row r="3981" spans="7:27" x14ac:dyDescent="0.2">
      <c r="G3981" s="21"/>
      <c r="H3981" s="21"/>
      <c r="N3981" s="21"/>
      <c r="O3981" s="21"/>
      <c r="T3981" s="21"/>
      <c r="AA3981" s="21"/>
    </row>
    <row r="3982" spans="7:27" x14ac:dyDescent="0.2">
      <c r="G3982" s="21"/>
      <c r="H3982" s="21"/>
      <c r="N3982" s="21"/>
      <c r="O3982" s="21"/>
      <c r="T3982" s="21"/>
      <c r="AA3982" s="21"/>
    </row>
    <row r="3983" spans="7:27" x14ac:dyDescent="0.2">
      <c r="G3983" s="21"/>
      <c r="H3983" s="21"/>
      <c r="N3983" s="21"/>
      <c r="O3983" s="21"/>
      <c r="T3983" s="21"/>
      <c r="AA3983" s="21"/>
    </row>
    <row r="3984" spans="7:27" x14ac:dyDescent="0.2">
      <c r="G3984" s="21"/>
      <c r="H3984" s="21"/>
      <c r="N3984" s="21"/>
      <c r="O3984" s="21"/>
      <c r="T3984" s="21"/>
      <c r="AA3984" s="21"/>
    </row>
    <row r="3985" spans="7:27" x14ac:dyDescent="0.2">
      <c r="G3985" s="21"/>
      <c r="H3985" s="21"/>
      <c r="N3985" s="21"/>
      <c r="O3985" s="21"/>
      <c r="T3985" s="21"/>
      <c r="AA3985" s="21"/>
    </row>
    <row r="3986" spans="7:27" x14ac:dyDescent="0.2">
      <c r="G3986" s="21"/>
      <c r="H3986" s="21"/>
      <c r="N3986" s="21"/>
      <c r="O3986" s="21"/>
      <c r="T3986" s="21"/>
      <c r="AA3986" s="21"/>
    </row>
    <row r="3987" spans="7:27" x14ac:dyDescent="0.2">
      <c r="G3987" s="21"/>
      <c r="H3987" s="21"/>
      <c r="N3987" s="21"/>
      <c r="O3987" s="21"/>
      <c r="T3987" s="21"/>
      <c r="AA3987" s="21"/>
    </row>
    <row r="3988" spans="7:27" x14ac:dyDescent="0.2">
      <c r="G3988" s="21"/>
      <c r="H3988" s="21"/>
      <c r="N3988" s="21"/>
      <c r="O3988" s="21"/>
      <c r="T3988" s="21"/>
      <c r="AA3988" s="21"/>
    </row>
    <row r="3989" spans="7:27" x14ac:dyDescent="0.2">
      <c r="G3989" s="21"/>
      <c r="H3989" s="21"/>
      <c r="N3989" s="21"/>
      <c r="O3989" s="21"/>
      <c r="T3989" s="21"/>
      <c r="AA3989" s="21"/>
    </row>
    <row r="3990" spans="7:27" x14ac:dyDescent="0.2">
      <c r="G3990" s="21"/>
      <c r="H3990" s="21"/>
      <c r="N3990" s="21"/>
      <c r="O3990" s="21"/>
      <c r="T3990" s="21"/>
      <c r="AA3990" s="21"/>
    </row>
    <row r="3991" spans="7:27" x14ac:dyDescent="0.2">
      <c r="G3991" s="21"/>
      <c r="H3991" s="21"/>
      <c r="N3991" s="21"/>
      <c r="O3991" s="21"/>
      <c r="T3991" s="21"/>
      <c r="AA3991" s="21"/>
    </row>
    <row r="3992" spans="7:27" x14ac:dyDescent="0.2">
      <c r="G3992" s="21"/>
      <c r="H3992" s="21"/>
      <c r="N3992" s="21"/>
      <c r="O3992" s="21"/>
      <c r="T3992" s="21"/>
      <c r="AA3992" s="21"/>
    </row>
    <row r="3993" spans="7:27" x14ac:dyDescent="0.2">
      <c r="G3993" s="21"/>
      <c r="H3993" s="21"/>
      <c r="N3993" s="21"/>
      <c r="O3993" s="21"/>
      <c r="T3993" s="21"/>
      <c r="AA3993" s="21"/>
    </row>
    <row r="3994" spans="7:27" x14ac:dyDescent="0.2">
      <c r="G3994" s="21"/>
      <c r="H3994" s="21"/>
      <c r="N3994" s="21"/>
      <c r="O3994" s="21"/>
      <c r="T3994" s="21"/>
      <c r="AA3994" s="21"/>
    </row>
    <row r="3995" spans="7:27" x14ac:dyDescent="0.2">
      <c r="G3995" s="21"/>
      <c r="H3995" s="21"/>
      <c r="N3995" s="21"/>
      <c r="O3995" s="21"/>
      <c r="T3995" s="21"/>
      <c r="AA3995" s="21"/>
    </row>
    <row r="3996" spans="7:27" x14ac:dyDescent="0.2">
      <c r="G3996" s="21"/>
      <c r="H3996" s="21"/>
      <c r="N3996" s="21"/>
      <c r="O3996" s="21"/>
      <c r="T3996" s="21"/>
      <c r="AA3996" s="21"/>
    </row>
    <row r="3997" spans="7:27" x14ac:dyDescent="0.2">
      <c r="G3997" s="21"/>
      <c r="H3997" s="21"/>
      <c r="N3997" s="21"/>
      <c r="O3997" s="21"/>
      <c r="T3997" s="21"/>
      <c r="AA3997" s="21"/>
    </row>
    <row r="3998" spans="7:27" x14ac:dyDescent="0.2">
      <c r="G3998" s="21"/>
      <c r="H3998" s="21"/>
      <c r="N3998" s="21"/>
      <c r="O3998" s="21"/>
      <c r="T3998" s="21"/>
      <c r="AA3998" s="21"/>
    </row>
    <row r="3999" spans="7:27" x14ac:dyDescent="0.2">
      <c r="G3999" s="21"/>
      <c r="H3999" s="21"/>
      <c r="N3999" s="21"/>
      <c r="O3999" s="21"/>
      <c r="T3999" s="21"/>
      <c r="AA3999" s="21"/>
    </row>
    <row r="4000" spans="7:27" x14ac:dyDescent="0.2">
      <c r="G4000" s="21"/>
      <c r="H4000" s="21"/>
      <c r="N4000" s="21"/>
      <c r="O4000" s="21"/>
      <c r="T4000" s="21"/>
      <c r="AA4000" s="21"/>
    </row>
    <row r="4001" spans="7:27" x14ac:dyDescent="0.2">
      <c r="G4001" s="21"/>
      <c r="H4001" s="21"/>
      <c r="N4001" s="21"/>
      <c r="O4001" s="21"/>
      <c r="T4001" s="21"/>
      <c r="AA4001" s="21"/>
    </row>
    <row r="4002" spans="7:27" x14ac:dyDescent="0.2">
      <c r="G4002" s="21"/>
      <c r="H4002" s="21"/>
      <c r="N4002" s="21"/>
      <c r="O4002" s="21"/>
      <c r="T4002" s="21"/>
      <c r="AA4002" s="21"/>
    </row>
    <row r="4003" spans="7:27" x14ac:dyDescent="0.2">
      <c r="G4003" s="21"/>
      <c r="H4003" s="21"/>
      <c r="N4003" s="21"/>
      <c r="O4003" s="21"/>
      <c r="T4003" s="21"/>
      <c r="AA4003" s="21"/>
    </row>
    <row r="4004" spans="7:27" x14ac:dyDescent="0.2">
      <c r="G4004" s="21"/>
      <c r="H4004" s="21"/>
      <c r="N4004" s="21"/>
      <c r="O4004" s="21"/>
      <c r="T4004" s="21"/>
      <c r="AA4004" s="21"/>
    </row>
    <row r="4005" spans="7:27" x14ac:dyDescent="0.2">
      <c r="G4005" s="21"/>
      <c r="H4005" s="21"/>
      <c r="N4005" s="21"/>
      <c r="O4005" s="21"/>
      <c r="T4005" s="21"/>
      <c r="AA4005" s="21"/>
    </row>
    <row r="4006" spans="7:27" x14ac:dyDescent="0.2">
      <c r="G4006" s="21"/>
      <c r="H4006" s="21"/>
      <c r="N4006" s="21"/>
      <c r="O4006" s="21"/>
      <c r="T4006" s="21"/>
      <c r="AA4006" s="21"/>
    </row>
    <row r="4007" spans="7:27" x14ac:dyDescent="0.2">
      <c r="G4007" s="21"/>
      <c r="H4007" s="21"/>
      <c r="N4007" s="21"/>
      <c r="O4007" s="21"/>
      <c r="T4007" s="21"/>
      <c r="AA4007" s="21"/>
    </row>
    <row r="4008" spans="7:27" x14ac:dyDescent="0.2">
      <c r="G4008" s="21"/>
      <c r="H4008" s="21"/>
      <c r="N4008" s="21"/>
      <c r="O4008" s="21"/>
      <c r="T4008" s="21"/>
      <c r="AA4008" s="21"/>
    </row>
    <row r="4009" spans="7:27" x14ac:dyDescent="0.2">
      <c r="G4009" s="21"/>
      <c r="H4009" s="21"/>
      <c r="N4009" s="21"/>
      <c r="O4009" s="21"/>
      <c r="T4009" s="21"/>
      <c r="AA4009" s="21"/>
    </row>
    <row r="4010" spans="7:27" x14ac:dyDescent="0.2">
      <c r="G4010" s="21"/>
      <c r="H4010" s="21"/>
      <c r="N4010" s="21"/>
      <c r="O4010" s="21"/>
      <c r="T4010" s="21"/>
      <c r="AA4010" s="21"/>
    </row>
    <row r="4011" spans="7:27" x14ac:dyDescent="0.2">
      <c r="G4011" s="21"/>
      <c r="H4011" s="21"/>
      <c r="N4011" s="21"/>
      <c r="O4011" s="21"/>
      <c r="T4011" s="21"/>
      <c r="AA4011" s="21"/>
    </row>
    <row r="4012" spans="7:27" x14ac:dyDescent="0.2">
      <c r="G4012" s="21"/>
      <c r="H4012" s="21"/>
      <c r="N4012" s="21"/>
      <c r="O4012" s="21"/>
      <c r="T4012" s="21"/>
      <c r="AA4012" s="21"/>
    </row>
    <row r="4013" spans="7:27" x14ac:dyDescent="0.2">
      <c r="G4013" s="21"/>
      <c r="H4013" s="21"/>
      <c r="N4013" s="21"/>
      <c r="O4013" s="21"/>
      <c r="T4013" s="21"/>
      <c r="AA4013" s="21"/>
    </row>
    <row r="4014" spans="7:27" x14ac:dyDescent="0.2">
      <c r="G4014" s="21"/>
      <c r="H4014" s="21"/>
      <c r="N4014" s="21"/>
      <c r="O4014" s="21"/>
      <c r="T4014" s="21"/>
      <c r="AA4014" s="21"/>
    </row>
    <row r="4015" spans="7:27" x14ac:dyDescent="0.2">
      <c r="G4015" s="21"/>
      <c r="H4015" s="21"/>
      <c r="N4015" s="21"/>
      <c r="O4015" s="21"/>
      <c r="T4015" s="21"/>
      <c r="AA4015" s="21"/>
    </row>
    <row r="4016" spans="7:27" x14ac:dyDescent="0.2">
      <c r="G4016" s="21"/>
      <c r="H4016" s="21"/>
      <c r="N4016" s="21"/>
      <c r="O4016" s="21"/>
      <c r="T4016" s="21"/>
      <c r="AA4016" s="21"/>
    </row>
    <row r="4017" spans="7:27" x14ac:dyDescent="0.2">
      <c r="G4017" s="21"/>
      <c r="H4017" s="21"/>
      <c r="N4017" s="21"/>
      <c r="O4017" s="21"/>
      <c r="T4017" s="21"/>
      <c r="AA4017" s="21"/>
    </row>
    <row r="4018" spans="7:27" x14ac:dyDescent="0.2">
      <c r="G4018" s="21"/>
      <c r="H4018" s="21"/>
      <c r="N4018" s="21"/>
      <c r="O4018" s="21"/>
      <c r="T4018" s="21"/>
      <c r="AA4018" s="21"/>
    </row>
    <row r="4019" spans="7:27" x14ac:dyDescent="0.2">
      <c r="G4019" s="21"/>
      <c r="H4019" s="21"/>
      <c r="N4019" s="21"/>
      <c r="O4019" s="21"/>
      <c r="T4019" s="21"/>
      <c r="AA4019" s="21"/>
    </row>
    <row r="4020" spans="7:27" x14ac:dyDescent="0.2">
      <c r="G4020" s="21"/>
      <c r="H4020" s="21"/>
      <c r="N4020" s="21"/>
      <c r="O4020" s="21"/>
      <c r="T4020" s="21"/>
      <c r="AA4020" s="21"/>
    </row>
    <row r="4021" spans="7:27" x14ac:dyDescent="0.2">
      <c r="G4021" s="21"/>
      <c r="H4021" s="21"/>
      <c r="N4021" s="21"/>
      <c r="O4021" s="21"/>
      <c r="T4021" s="21"/>
      <c r="AA4021" s="21"/>
    </row>
    <row r="4022" spans="7:27" x14ac:dyDescent="0.2">
      <c r="G4022" s="21"/>
      <c r="H4022" s="21"/>
      <c r="N4022" s="21"/>
      <c r="O4022" s="21"/>
      <c r="T4022" s="21"/>
      <c r="AA4022" s="21"/>
    </row>
    <row r="4023" spans="7:27" x14ac:dyDescent="0.2">
      <c r="G4023" s="21"/>
      <c r="H4023" s="21"/>
      <c r="N4023" s="21"/>
      <c r="O4023" s="21"/>
      <c r="T4023" s="21"/>
      <c r="AA4023" s="21"/>
    </row>
    <row r="4024" spans="7:27" x14ac:dyDescent="0.2">
      <c r="G4024" s="21"/>
      <c r="H4024" s="21"/>
      <c r="N4024" s="21"/>
      <c r="O4024" s="21"/>
      <c r="T4024" s="21"/>
      <c r="AA4024" s="21"/>
    </row>
    <row r="4025" spans="7:27" x14ac:dyDescent="0.2">
      <c r="G4025" s="21"/>
      <c r="H4025" s="21"/>
      <c r="N4025" s="21"/>
      <c r="O4025" s="21"/>
      <c r="T4025" s="21"/>
      <c r="AA4025" s="21"/>
    </row>
    <row r="4026" spans="7:27" x14ac:dyDescent="0.2">
      <c r="G4026" s="21"/>
      <c r="H4026" s="21"/>
      <c r="N4026" s="21"/>
      <c r="O4026" s="21"/>
      <c r="T4026" s="21"/>
      <c r="AA4026" s="21"/>
    </row>
    <row r="4027" spans="7:27" x14ac:dyDescent="0.2">
      <c r="G4027" s="21"/>
      <c r="H4027" s="21"/>
      <c r="N4027" s="21"/>
      <c r="O4027" s="21"/>
      <c r="T4027" s="21"/>
      <c r="AA4027" s="21"/>
    </row>
    <row r="4028" spans="7:27" x14ac:dyDescent="0.2">
      <c r="G4028" s="21"/>
      <c r="H4028" s="21"/>
      <c r="N4028" s="21"/>
      <c r="O4028" s="21"/>
      <c r="T4028" s="21"/>
      <c r="AA4028" s="21"/>
    </row>
    <row r="4029" spans="7:27" x14ac:dyDescent="0.2">
      <c r="G4029" s="21"/>
      <c r="H4029" s="21"/>
      <c r="N4029" s="21"/>
      <c r="O4029" s="21"/>
      <c r="T4029" s="21"/>
      <c r="AA4029" s="21"/>
    </row>
    <row r="4030" spans="7:27" x14ac:dyDescent="0.2">
      <c r="G4030" s="21"/>
      <c r="H4030" s="21"/>
      <c r="N4030" s="21"/>
      <c r="O4030" s="21"/>
      <c r="T4030" s="21"/>
      <c r="AA4030" s="21"/>
    </row>
    <row r="4031" spans="7:27" x14ac:dyDescent="0.2">
      <c r="G4031" s="21"/>
      <c r="H4031" s="21"/>
      <c r="N4031" s="21"/>
      <c r="O4031" s="21"/>
      <c r="T4031" s="21"/>
      <c r="AA4031" s="21"/>
    </row>
    <row r="4032" spans="7:27" x14ac:dyDescent="0.2">
      <c r="G4032" s="21"/>
      <c r="H4032" s="21"/>
      <c r="N4032" s="21"/>
      <c r="O4032" s="21"/>
      <c r="T4032" s="21"/>
      <c r="AA4032" s="21"/>
    </row>
    <row r="4033" spans="7:27" x14ac:dyDescent="0.2">
      <c r="G4033" s="21"/>
      <c r="H4033" s="21"/>
      <c r="N4033" s="21"/>
      <c r="O4033" s="21"/>
      <c r="T4033" s="21"/>
      <c r="AA4033" s="21"/>
    </row>
    <row r="4034" spans="7:27" x14ac:dyDescent="0.2">
      <c r="G4034" s="21"/>
      <c r="H4034" s="21"/>
      <c r="N4034" s="21"/>
      <c r="O4034" s="21"/>
      <c r="T4034" s="21"/>
      <c r="AA4034" s="21"/>
    </row>
    <row r="4035" spans="7:27" x14ac:dyDescent="0.2">
      <c r="G4035" s="21"/>
      <c r="H4035" s="21"/>
      <c r="N4035" s="21"/>
      <c r="O4035" s="21"/>
      <c r="T4035" s="21"/>
      <c r="AA4035" s="21"/>
    </row>
    <row r="4036" spans="7:27" x14ac:dyDescent="0.2">
      <c r="G4036" s="21"/>
      <c r="H4036" s="21"/>
      <c r="N4036" s="21"/>
      <c r="O4036" s="21"/>
      <c r="T4036" s="21"/>
      <c r="AA4036" s="21"/>
    </row>
    <row r="4037" spans="7:27" x14ac:dyDescent="0.2">
      <c r="G4037" s="21"/>
      <c r="H4037" s="21"/>
      <c r="N4037" s="21"/>
      <c r="O4037" s="21"/>
      <c r="T4037" s="21"/>
      <c r="AA4037" s="21"/>
    </row>
    <row r="4038" spans="7:27" x14ac:dyDescent="0.2">
      <c r="G4038" s="21"/>
      <c r="H4038" s="21"/>
      <c r="N4038" s="21"/>
      <c r="O4038" s="21"/>
      <c r="T4038" s="21"/>
      <c r="AA4038" s="21"/>
    </row>
    <row r="4039" spans="7:27" x14ac:dyDescent="0.2">
      <c r="G4039" s="21"/>
      <c r="H4039" s="21"/>
      <c r="N4039" s="21"/>
      <c r="O4039" s="21"/>
      <c r="T4039" s="21"/>
      <c r="AA4039" s="21"/>
    </row>
    <row r="4040" spans="7:27" x14ac:dyDescent="0.2">
      <c r="G4040" s="21"/>
      <c r="H4040" s="21"/>
      <c r="N4040" s="21"/>
      <c r="O4040" s="21"/>
      <c r="T4040" s="21"/>
      <c r="AA4040" s="21"/>
    </row>
    <row r="4041" spans="7:27" x14ac:dyDescent="0.2">
      <c r="G4041" s="21"/>
      <c r="H4041" s="21"/>
      <c r="N4041" s="21"/>
      <c r="O4041" s="21"/>
      <c r="T4041" s="21"/>
      <c r="AA4041" s="21"/>
    </row>
    <row r="4042" spans="7:27" x14ac:dyDescent="0.2">
      <c r="G4042" s="21"/>
      <c r="H4042" s="21"/>
      <c r="N4042" s="21"/>
      <c r="O4042" s="21"/>
      <c r="T4042" s="21"/>
      <c r="AA4042" s="21"/>
    </row>
    <row r="4043" spans="7:27" x14ac:dyDescent="0.2">
      <c r="G4043" s="21"/>
      <c r="H4043" s="21"/>
      <c r="N4043" s="21"/>
      <c r="O4043" s="21"/>
      <c r="T4043" s="21"/>
      <c r="AA4043" s="21"/>
    </row>
    <row r="4044" spans="7:27" x14ac:dyDescent="0.2">
      <c r="G4044" s="21"/>
      <c r="H4044" s="21"/>
      <c r="N4044" s="21"/>
      <c r="O4044" s="21"/>
      <c r="T4044" s="21"/>
      <c r="AA4044" s="21"/>
    </row>
    <row r="4045" spans="7:27" x14ac:dyDescent="0.2">
      <c r="G4045" s="21"/>
      <c r="H4045" s="21"/>
      <c r="N4045" s="21"/>
      <c r="O4045" s="21"/>
      <c r="T4045" s="21"/>
      <c r="AA4045" s="21"/>
    </row>
    <row r="4046" spans="7:27" x14ac:dyDescent="0.2">
      <c r="G4046" s="21"/>
      <c r="H4046" s="21"/>
      <c r="N4046" s="21"/>
      <c r="O4046" s="21"/>
      <c r="T4046" s="21"/>
      <c r="AA4046" s="21"/>
    </row>
    <row r="4047" spans="7:27" x14ac:dyDescent="0.2">
      <c r="G4047" s="21"/>
      <c r="H4047" s="21"/>
      <c r="N4047" s="21"/>
      <c r="O4047" s="21"/>
      <c r="T4047" s="21"/>
      <c r="AA4047" s="21"/>
    </row>
    <row r="4048" spans="7:27" x14ac:dyDescent="0.2">
      <c r="G4048" s="21"/>
      <c r="H4048" s="21"/>
      <c r="N4048" s="21"/>
      <c r="O4048" s="21"/>
      <c r="T4048" s="21"/>
      <c r="AA4048" s="21"/>
    </row>
    <row r="4049" spans="7:27" x14ac:dyDescent="0.2">
      <c r="G4049" s="21"/>
      <c r="H4049" s="21"/>
      <c r="N4049" s="21"/>
      <c r="O4049" s="21"/>
      <c r="T4049" s="21"/>
      <c r="AA4049" s="21"/>
    </row>
    <row r="4050" spans="7:27" x14ac:dyDescent="0.2">
      <c r="G4050" s="21"/>
      <c r="H4050" s="21"/>
      <c r="N4050" s="21"/>
      <c r="O4050" s="21"/>
      <c r="T4050" s="21"/>
      <c r="AA4050" s="21"/>
    </row>
    <row r="4051" spans="7:27" x14ac:dyDescent="0.2">
      <c r="G4051" s="21"/>
      <c r="H4051" s="21"/>
      <c r="N4051" s="21"/>
      <c r="O4051" s="21"/>
      <c r="T4051" s="21"/>
      <c r="AA4051" s="21"/>
    </row>
    <row r="4052" spans="7:27" x14ac:dyDescent="0.2">
      <c r="G4052" s="21"/>
      <c r="H4052" s="21"/>
      <c r="N4052" s="21"/>
      <c r="O4052" s="21"/>
      <c r="T4052" s="21"/>
      <c r="AA4052" s="21"/>
    </row>
    <row r="4053" spans="7:27" x14ac:dyDescent="0.2">
      <c r="G4053" s="21"/>
      <c r="H4053" s="21"/>
      <c r="N4053" s="21"/>
      <c r="O4053" s="21"/>
      <c r="T4053" s="21"/>
      <c r="AA4053" s="21"/>
    </row>
    <row r="4054" spans="7:27" x14ac:dyDescent="0.2">
      <c r="G4054" s="21"/>
      <c r="H4054" s="21"/>
      <c r="N4054" s="21"/>
      <c r="O4054" s="21"/>
      <c r="T4054" s="21"/>
      <c r="AA4054" s="21"/>
    </row>
    <row r="4055" spans="7:27" x14ac:dyDescent="0.2">
      <c r="G4055" s="21"/>
      <c r="H4055" s="21"/>
      <c r="N4055" s="21"/>
      <c r="O4055" s="21"/>
      <c r="T4055" s="21"/>
      <c r="AA4055" s="21"/>
    </row>
    <row r="4056" spans="7:27" x14ac:dyDescent="0.2">
      <c r="G4056" s="21"/>
      <c r="H4056" s="21"/>
      <c r="N4056" s="21"/>
      <c r="O4056" s="21"/>
      <c r="T4056" s="21"/>
      <c r="AA4056" s="21"/>
    </row>
    <row r="4057" spans="7:27" x14ac:dyDescent="0.2">
      <c r="G4057" s="21"/>
      <c r="H4057" s="21"/>
      <c r="N4057" s="21"/>
      <c r="O4057" s="21"/>
      <c r="T4057" s="21"/>
      <c r="AA4057" s="21"/>
    </row>
    <row r="4058" spans="7:27" x14ac:dyDescent="0.2">
      <c r="G4058" s="21"/>
      <c r="H4058" s="21"/>
      <c r="N4058" s="21"/>
      <c r="O4058" s="21"/>
      <c r="T4058" s="21"/>
      <c r="AA4058" s="21"/>
    </row>
    <row r="4059" spans="7:27" x14ac:dyDescent="0.2">
      <c r="G4059" s="21"/>
      <c r="H4059" s="21"/>
      <c r="N4059" s="21"/>
      <c r="O4059" s="21"/>
      <c r="T4059" s="21"/>
      <c r="AA4059" s="21"/>
    </row>
    <row r="4060" spans="7:27" x14ac:dyDescent="0.2">
      <c r="G4060" s="21"/>
      <c r="H4060" s="21"/>
      <c r="N4060" s="21"/>
      <c r="O4060" s="21"/>
      <c r="T4060" s="21"/>
      <c r="AA4060" s="21"/>
    </row>
    <row r="4061" spans="7:27" x14ac:dyDescent="0.2">
      <c r="G4061" s="21"/>
      <c r="H4061" s="21"/>
      <c r="N4061" s="21"/>
      <c r="O4061" s="21"/>
      <c r="T4061" s="21"/>
      <c r="AA4061" s="21"/>
    </row>
    <row r="4062" spans="7:27" x14ac:dyDescent="0.2">
      <c r="G4062" s="21"/>
      <c r="H4062" s="21"/>
      <c r="N4062" s="21"/>
      <c r="O4062" s="21"/>
      <c r="T4062" s="21"/>
      <c r="AA4062" s="21"/>
    </row>
    <row r="4063" spans="7:27" x14ac:dyDescent="0.2">
      <c r="G4063" s="21"/>
      <c r="H4063" s="21"/>
      <c r="N4063" s="21"/>
      <c r="O4063" s="21"/>
      <c r="T4063" s="21"/>
      <c r="AA4063" s="21"/>
    </row>
    <row r="4064" spans="7:27" x14ac:dyDescent="0.2">
      <c r="G4064" s="21"/>
      <c r="H4064" s="21"/>
      <c r="N4064" s="21"/>
      <c r="O4064" s="21"/>
      <c r="T4064" s="21"/>
      <c r="AA4064" s="21"/>
    </row>
    <row r="4065" spans="7:27" x14ac:dyDescent="0.2">
      <c r="G4065" s="21"/>
      <c r="H4065" s="21"/>
      <c r="N4065" s="21"/>
      <c r="O4065" s="21"/>
      <c r="T4065" s="21"/>
      <c r="AA4065" s="21"/>
    </row>
    <row r="4066" spans="7:27" x14ac:dyDescent="0.2">
      <c r="G4066" s="21"/>
      <c r="H4066" s="21"/>
      <c r="N4066" s="21"/>
      <c r="O4066" s="21"/>
      <c r="T4066" s="21"/>
      <c r="AA4066" s="21"/>
    </row>
    <row r="4067" spans="7:27" x14ac:dyDescent="0.2">
      <c r="G4067" s="21"/>
      <c r="H4067" s="21"/>
      <c r="N4067" s="21"/>
      <c r="O4067" s="21"/>
      <c r="T4067" s="21"/>
      <c r="AA4067" s="21"/>
    </row>
    <row r="4068" spans="7:27" x14ac:dyDescent="0.2">
      <c r="G4068" s="21"/>
      <c r="H4068" s="21"/>
      <c r="N4068" s="21"/>
      <c r="O4068" s="21"/>
      <c r="T4068" s="21"/>
      <c r="AA4068" s="21"/>
    </row>
    <row r="4069" spans="7:27" x14ac:dyDescent="0.2">
      <c r="G4069" s="21"/>
      <c r="H4069" s="21"/>
      <c r="N4069" s="21"/>
      <c r="O4069" s="21"/>
      <c r="T4069" s="21"/>
      <c r="AA4069" s="21"/>
    </row>
    <row r="4070" spans="7:27" x14ac:dyDescent="0.2">
      <c r="G4070" s="21"/>
      <c r="H4070" s="21"/>
      <c r="N4070" s="21"/>
      <c r="O4070" s="21"/>
      <c r="T4070" s="21"/>
      <c r="AA4070" s="21"/>
    </row>
    <row r="4071" spans="7:27" x14ac:dyDescent="0.2">
      <c r="G4071" s="21"/>
      <c r="H4071" s="21"/>
      <c r="N4071" s="21"/>
      <c r="O4071" s="21"/>
      <c r="T4071" s="21"/>
      <c r="AA4071" s="21"/>
    </row>
    <row r="4072" spans="7:27" x14ac:dyDescent="0.2">
      <c r="G4072" s="21"/>
      <c r="H4072" s="21"/>
      <c r="N4072" s="21"/>
      <c r="O4072" s="21"/>
      <c r="T4072" s="21"/>
      <c r="AA4072" s="21"/>
    </row>
    <row r="4073" spans="7:27" x14ac:dyDescent="0.2">
      <c r="G4073" s="21"/>
      <c r="H4073" s="21"/>
      <c r="N4073" s="21"/>
      <c r="O4073" s="21"/>
      <c r="T4073" s="21"/>
      <c r="AA4073" s="21"/>
    </row>
    <row r="4074" spans="7:27" x14ac:dyDescent="0.2">
      <c r="G4074" s="21"/>
      <c r="H4074" s="21"/>
      <c r="N4074" s="21"/>
      <c r="O4074" s="21"/>
      <c r="T4074" s="21"/>
      <c r="AA4074" s="21"/>
    </row>
    <row r="4075" spans="7:27" x14ac:dyDescent="0.2">
      <c r="G4075" s="21"/>
      <c r="H4075" s="21"/>
      <c r="N4075" s="21"/>
      <c r="O4075" s="21"/>
      <c r="T4075" s="21"/>
      <c r="AA4075" s="21"/>
    </row>
    <row r="4076" spans="7:27" x14ac:dyDescent="0.2">
      <c r="G4076" s="21"/>
      <c r="H4076" s="21"/>
      <c r="N4076" s="21"/>
      <c r="O4076" s="21"/>
      <c r="T4076" s="21"/>
      <c r="AA4076" s="21"/>
    </row>
    <row r="4077" spans="7:27" x14ac:dyDescent="0.2">
      <c r="G4077" s="21"/>
      <c r="H4077" s="21"/>
      <c r="N4077" s="21"/>
      <c r="O4077" s="21"/>
      <c r="T4077" s="21"/>
      <c r="AA4077" s="21"/>
    </row>
    <row r="4078" spans="7:27" x14ac:dyDescent="0.2">
      <c r="G4078" s="21"/>
      <c r="H4078" s="21"/>
      <c r="N4078" s="21"/>
      <c r="O4078" s="21"/>
      <c r="T4078" s="21"/>
      <c r="AA4078" s="21"/>
    </row>
    <row r="4079" spans="7:27" x14ac:dyDescent="0.2">
      <c r="G4079" s="21"/>
      <c r="H4079" s="21"/>
      <c r="N4079" s="21"/>
      <c r="O4079" s="21"/>
      <c r="T4079" s="21"/>
      <c r="AA4079" s="21"/>
    </row>
    <row r="4080" spans="7:27" x14ac:dyDescent="0.2">
      <c r="G4080" s="21"/>
      <c r="H4080" s="21"/>
      <c r="N4080" s="21"/>
      <c r="O4080" s="21"/>
      <c r="T4080" s="21"/>
      <c r="AA4080" s="21"/>
    </row>
    <row r="4081" spans="7:27" x14ac:dyDescent="0.2">
      <c r="G4081" s="21"/>
      <c r="H4081" s="21"/>
      <c r="N4081" s="21"/>
      <c r="O4081" s="21"/>
      <c r="T4081" s="21"/>
      <c r="AA4081" s="21"/>
    </row>
    <row r="4082" spans="7:27" x14ac:dyDescent="0.2">
      <c r="G4082" s="21"/>
      <c r="H4082" s="21"/>
      <c r="N4082" s="21"/>
      <c r="O4082" s="21"/>
      <c r="T4082" s="21"/>
      <c r="AA4082" s="21"/>
    </row>
    <row r="4083" spans="7:27" x14ac:dyDescent="0.2">
      <c r="G4083" s="21"/>
      <c r="H4083" s="21"/>
      <c r="N4083" s="21"/>
      <c r="O4083" s="21"/>
      <c r="T4083" s="21"/>
      <c r="AA4083" s="21"/>
    </row>
    <row r="4084" spans="7:27" x14ac:dyDescent="0.2">
      <c r="G4084" s="21"/>
      <c r="H4084" s="21"/>
      <c r="N4084" s="21"/>
      <c r="O4084" s="21"/>
      <c r="T4084" s="21"/>
      <c r="AA4084" s="21"/>
    </row>
    <row r="4085" spans="7:27" x14ac:dyDescent="0.2">
      <c r="G4085" s="21"/>
      <c r="H4085" s="21"/>
      <c r="N4085" s="21"/>
      <c r="O4085" s="21"/>
      <c r="T4085" s="21"/>
      <c r="AA4085" s="21"/>
    </row>
    <row r="4086" spans="7:27" x14ac:dyDescent="0.2">
      <c r="G4086" s="21"/>
      <c r="H4086" s="21"/>
      <c r="N4086" s="21"/>
      <c r="O4086" s="21"/>
      <c r="T4086" s="21"/>
      <c r="AA4086" s="21"/>
    </row>
    <row r="4087" spans="7:27" x14ac:dyDescent="0.2">
      <c r="G4087" s="21"/>
      <c r="H4087" s="21"/>
      <c r="N4087" s="21"/>
      <c r="O4087" s="21"/>
      <c r="T4087" s="21"/>
      <c r="AA4087" s="21"/>
    </row>
    <row r="4088" spans="7:27" x14ac:dyDescent="0.2">
      <c r="G4088" s="21"/>
      <c r="H4088" s="21"/>
      <c r="N4088" s="21"/>
      <c r="O4088" s="21"/>
      <c r="T4088" s="21"/>
      <c r="AA4088" s="21"/>
    </row>
    <row r="4089" spans="7:27" x14ac:dyDescent="0.2">
      <c r="G4089" s="21"/>
      <c r="H4089" s="21"/>
      <c r="N4089" s="21"/>
      <c r="O4089" s="21"/>
      <c r="T4089" s="21"/>
      <c r="AA4089" s="21"/>
    </row>
    <row r="4090" spans="7:27" x14ac:dyDescent="0.2">
      <c r="G4090" s="21"/>
      <c r="H4090" s="21"/>
      <c r="N4090" s="21"/>
      <c r="O4090" s="21"/>
      <c r="T4090" s="21"/>
      <c r="AA4090" s="21"/>
    </row>
    <row r="4091" spans="7:27" x14ac:dyDescent="0.2">
      <c r="G4091" s="21"/>
      <c r="H4091" s="21"/>
      <c r="N4091" s="21"/>
      <c r="O4091" s="21"/>
      <c r="T4091" s="21"/>
      <c r="AA4091" s="21"/>
    </row>
    <row r="4092" spans="7:27" x14ac:dyDescent="0.2">
      <c r="G4092" s="21"/>
      <c r="H4092" s="21"/>
      <c r="N4092" s="21"/>
      <c r="O4092" s="21"/>
      <c r="T4092" s="21"/>
      <c r="AA4092" s="21"/>
    </row>
    <row r="4093" spans="7:27" x14ac:dyDescent="0.2">
      <c r="G4093" s="21"/>
      <c r="H4093" s="21"/>
      <c r="N4093" s="21"/>
      <c r="O4093" s="21"/>
      <c r="T4093" s="21"/>
      <c r="AA4093" s="21"/>
    </row>
    <row r="4094" spans="7:27" x14ac:dyDescent="0.2">
      <c r="G4094" s="21"/>
      <c r="H4094" s="21"/>
      <c r="N4094" s="21"/>
      <c r="O4094" s="21"/>
      <c r="T4094" s="21"/>
      <c r="AA4094" s="21"/>
    </row>
    <row r="4095" spans="7:27" x14ac:dyDescent="0.2">
      <c r="G4095" s="21"/>
      <c r="H4095" s="21"/>
      <c r="N4095" s="21"/>
      <c r="O4095" s="21"/>
      <c r="T4095" s="21"/>
      <c r="AA4095" s="21"/>
    </row>
    <row r="4096" spans="7:27" x14ac:dyDescent="0.2">
      <c r="G4096" s="21"/>
      <c r="H4096" s="21"/>
      <c r="N4096" s="21"/>
      <c r="O4096" s="21"/>
      <c r="T4096" s="21"/>
      <c r="AA4096" s="21"/>
    </row>
    <row r="4097" spans="7:27" x14ac:dyDescent="0.2">
      <c r="G4097" s="21"/>
      <c r="H4097" s="21"/>
      <c r="N4097" s="21"/>
      <c r="O4097" s="21"/>
      <c r="T4097" s="21"/>
      <c r="AA4097" s="21"/>
    </row>
    <row r="4098" spans="7:27" x14ac:dyDescent="0.2">
      <c r="G4098" s="21"/>
      <c r="H4098" s="21"/>
      <c r="N4098" s="21"/>
      <c r="O4098" s="21"/>
      <c r="T4098" s="21"/>
      <c r="AA4098" s="21"/>
    </row>
    <row r="4099" spans="7:27" x14ac:dyDescent="0.2">
      <c r="G4099" s="21"/>
      <c r="H4099" s="21"/>
      <c r="N4099" s="21"/>
      <c r="O4099" s="21"/>
      <c r="T4099" s="21"/>
      <c r="AA4099" s="21"/>
    </row>
    <row r="4100" spans="7:27" x14ac:dyDescent="0.2">
      <c r="G4100" s="21"/>
      <c r="H4100" s="21"/>
      <c r="N4100" s="21"/>
      <c r="O4100" s="21"/>
      <c r="T4100" s="21"/>
      <c r="AA4100" s="21"/>
    </row>
    <row r="4101" spans="7:27" x14ac:dyDescent="0.2">
      <c r="G4101" s="21"/>
      <c r="H4101" s="21"/>
      <c r="N4101" s="21"/>
      <c r="O4101" s="21"/>
      <c r="T4101" s="21"/>
      <c r="AA4101" s="21"/>
    </row>
    <row r="4102" spans="7:27" x14ac:dyDescent="0.2">
      <c r="G4102" s="21"/>
      <c r="H4102" s="21"/>
      <c r="N4102" s="21"/>
      <c r="O4102" s="21"/>
      <c r="T4102" s="21"/>
      <c r="AA4102" s="21"/>
    </row>
    <row r="4103" spans="7:27" x14ac:dyDescent="0.2">
      <c r="G4103" s="21"/>
      <c r="H4103" s="21"/>
      <c r="N4103" s="21"/>
      <c r="O4103" s="21"/>
      <c r="T4103" s="21"/>
      <c r="AA4103" s="21"/>
    </row>
    <row r="4104" spans="7:27" x14ac:dyDescent="0.2">
      <c r="G4104" s="21"/>
      <c r="H4104" s="21"/>
      <c r="N4104" s="21"/>
      <c r="O4104" s="21"/>
      <c r="T4104" s="21"/>
      <c r="AA4104" s="21"/>
    </row>
    <row r="4105" spans="7:27" x14ac:dyDescent="0.2">
      <c r="G4105" s="21"/>
      <c r="H4105" s="21"/>
      <c r="N4105" s="21"/>
      <c r="O4105" s="21"/>
      <c r="T4105" s="21"/>
      <c r="AA4105" s="21"/>
    </row>
    <row r="4106" spans="7:27" x14ac:dyDescent="0.2">
      <c r="G4106" s="21"/>
      <c r="H4106" s="21"/>
      <c r="N4106" s="21"/>
      <c r="O4106" s="21"/>
      <c r="T4106" s="21"/>
      <c r="AA4106" s="21"/>
    </row>
    <row r="4107" spans="7:27" x14ac:dyDescent="0.2">
      <c r="G4107" s="21"/>
      <c r="H4107" s="21"/>
      <c r="N4107" s="21"/>
      <c r="O4107" s="21"/>
      <c r="T4107" s="21"/>
      <c r="AA4107" s="21"/>
    </row>
    <row r="4108" spans="7:27" x14ac:dyDescent="0.2">
      <c r="G4108" s="21"/>
      <c r="H4108" s="21"/>
      <c r="N4108" s="21"/>
      <c r="O4108" s="21"/>
      <c r="T4108" s="21"/>
      <c r="AA4108" s="21"/>
    </row>
    <row r="4109" spans="7:27" x14ac:dyDescent="0.2">
      <c r="G4109" s="21"/>
      <c r="H4109" s="21"/>
      <c r="N4109" s="21"/>
      <c r="O4109" s="21"/>
      <c r="T4109" s="21"/>
      <c r="AA4109" s="21"/>
    </row>
    <row r="4110" spans="7:27" x14ac:dyDescent="0.2">
      <c r="G4110" s="21"/>
      <c r="H4110" s="21"/>
      <c r="N4110" s="21"/>
      <c r="O4110" s="21"/>
      <c r="T4110" s="21"/>
      <c r="AA4110" s="21"/>
    </row>
    <row r="4111" spans="7:27" x14ac:dyDescent="0.2">
      <c r="G4111" s="21"/>
      <c r="H4111" s="21"/>
      <c r="N4111" s="21"/>
      <c r="O4111" s="21"/>
      <c r="T4111" s="21"/>
      <c r="AA4111" s="21"/>
    </row>
    <row r="4112" spans="7:27" x14ac:dyDescent="0.2">
      <c r="G4112" s="21"/>
      <c r="H4112" s="21"/>
      <c r="N4112" s="21"/>
      <c r="O4112" s="21"/>
      <c r="T4112" s="21"/>
      <c r="AA4112" s="21"/>
    </row>
    <row r="4113" spans="7:27" x14ac:dyDescent="0.2">
      <c r="G4113" s="21"/>
      <c r="H4113" s="21"/>
      <c r="N4113" s="21"/>
      <c r="O4113" s="21"/>
      <c r="T4113" s="21"/>
      <c r="AA4113" s="21"/>
    </row>
    <row r="4114" spans="7:27" x14ac:dyDescent="0.2">
      <c r="G4114" s="21"/>
      <c r="H4114" s="21"/>
      <c r="N4114" s="21"/>
      <c r="O4114" s="21"/>
      <c r="T4114" s="21"/>
      <c r="AA4114" s="21"/>
    </row>
    <row r="4115" spans="7:27" x14ac:dyDescent="0.2">
      <c r="G4115" s="21"/>
      <c r="H4115" s="21"/>
      <c r="N4115" s="21"/>
      <c r="O4115" s="21"/>
      <c r="T4115" s="21"/>
      <c r="AA4115" s="21"/>
    </row>
    <row r="4116" spans="7:27" x14ac:dyDescent="0.2">
      <c r="G4116" s="21"/>
      <c r="H4116" s="21"/>
      <c r="N4116" s="21"/>
      <c r="O4116" s="21"/>
      <c r="T4116" s="21"/>
      <c r="AA4116" s="21"/>
    </row>
    <row r="4117" spans="7:27" x14ac:dyDescent="0.2">
      <c r="G4117" s="21"/>
      <c r="H4117" s="21"/>
      <c r="N4117" s="21"/>
      <c r="O4117" s="21"/>
      <c r="T4117" s="21"/>
      <c r="AA4117" s="21"/>
    </row>
    <row r="4118" spans="7:27" x14ac:dyDescent="0.2">
      <c r="G4118" s="21"/>
      <c r="H4118" s="21"/>
      <c r="N4118" s="21"/>
      <c r="O4118" s="21"/>
      <c r="T4118" s="21"/>
      <c r="AA4118" s="21"/>
    </row>
    <row r="4119" spans="7:27" x14ac:dyDescent="0.2">
      <c r="G4119" s="21"/>
      <c r="H4119" s="21"/>
      <c r="N4119" s="21"/>
      <c r="O4119" s="21"/>
      <c r="T4119" s="21"/>
      <c r="AA4119" s="21"/>
    </row>
    <row r="4120" spans="7:27" x14ac:dyDescent="0.2">
      <c r="G4120" s="21"/>
      <c r="H4120" s="21"/>
      <c r="N4120" s="21"/>
      <c r="O4120" s="21"/>
      <c r="T4120" s="21"/>
      <c r="AA4120" s="21"/>
    </row>
    <row r="4121" spans="7:27" x14ac:dyDescent="0.2">
      <c r="G4121" s="21"/>
      <c r="H4121" s="21"/>
      <c r="N4121" s="21"/>
      <c r="O4121" s="21"/>
      <c r="T4121" s="21"/>
      <c r="AA4121" s="21"/>
    </row>
    <row r="4122" spans="7:27" x14ac:dyDescent="0.2">
      <c r="G4122" s="21"/>
      <c r="H4122" s="21"/>
      <c r="N4122" s="21"/>
      <c r="O4122" s="21"/>
      <c r="T4122" s="21"/>
      <c r="AA4122" s="21"/>
    </row>
    <row r="4123" spans="7:27" x14ac:dyDescent="0.2">
      <c r="G4123" s="21"/>
      <c r="H4123" s="21"/>
      <c r="N4123" s="21"/>
      <c r="O4123" s="21"/>
      <c r="T4123" s="21"/>
      <c r="AA4123" s="21"/>
    </row>
    <row r="4124" spans="7:27" x14ac:dyDescent="0.2">
      <c r="G4124" s="21"/>
      <c r="H4124" s="21"/>
      <c r="N4124" s="21"/>
      <c r="O4124" s="21"/>
      <c r="T4124" s="21"/>
      <c r="AA4124" s="21"/>
    </row>
    <row r="4125" spans="7:27" x14ac:dyDescent="0.2">
      <c r="G4125" s="21"/>
      <c r="H4125" s="21"/>
      <c r="N4125" s="21"/>
      <c r="O4125" s="21"/>
      <c r="T4125" s="21"/>
      <c r="AA4125" s="21"/>
    </row>
    <row r="4126" spans="7:27" x14ac:dyDescent="0.2">
      <c r="G4126" s="21"/>
      <c r="H4126" s="21"/>
      <c r="N4126" s="21"/>
      <c r="O4126" s="21"/>
      <c r="T4126" s="21"/>
      <c r="AA4126" s="21"/>
    </row>
    <row r="4127" spans="7:27" x14ac:dyDescent="0.2">
      <c r="G4127" s="21"/>
      <c r="H4127" s="21"/>
      <c r="N4127" s="21"/>
      <c r="O4127" s="21"/>
      <c r="T4127" s="21"/>
      <c r="AA4127" s="21"/>
    </row>
    <row r="4128" spans="7:27" x14ac:dyDescent="0.2">
      <c r="G4128" s="21"/>
      <c r="H4128" s="21"/>
      <c r="N4128" s="21"/>
      <c r="O4128" s="21"/>
      <c r="T4128" s="21"/>
      <c r="AA4128" s="21"/>
    </row>
    <row r="4129" spans="7:27" x14ac:dyDescent="0.2">
      <c r="G4129" s="21"/>
      <c r="H4129" s="21"/>
      <c r="N4129" s="21"/>
      <c r="O4129" s="21"/>
      <c r="T4129" s="21"/>
      <c r="AA4129" s="21"/>
    </row>
    <row r="4130" spans="7:27" x14ac:dyDescent="0.2">
      <c r="G4130" s="21"/>
      <c r="H4130" s="21"/>
      <c r="N4130" s="21"/>
      <c r="O4130" s="21"/>
      <c r="T4130" s="21"/>
      <c r="AA4130" s="21"/>
    </row>
    <row r="4131" spans="7:27" x14ac:dyDescent="0.2">
      <c r="G4131" s="21"/>
      <c r="H4131" s="21"/>
      <c r="N4131" s="21"/>
      <c r="O4131" s="21"/>
      <c r="T4131" s="21"/>
      <c r="AA4131" s="21"/>
    </row>
    <row r="4132" spans="7:27" x14ac:dyDescent="0.2">
      <c r="G4132" s="21"/>
      <c r="H4132" s="21"/>
      <c r="N4132" s="21"/>
      <c r="O4132" s="21"/>
      <c r="T4132" s="21"/>
      <c r="AA4132" s="21"/>
    </row>
    <row r="4133" spans="7:27" x14ac:dyDescent="0.2">
      <c r="G4133" s="21"/>
      <c r="H4133" s="21"/>
      <c r="N4133" s="21"/>
      <c r="O4133" s="21"/>
      <c r="T4133" s="21"/>
      <c r="AA4133" s="21"/>
    </row>
    <row r="4134" spans="7:27" x14ac:dyDescent="0.2">
      <c r="G4134" s="21"/>
      <c r="H4134" s="21"/>
      <c r="N4134" s="21"/>
      <c r="O4134" s="21"/>
      <c r="T4134" s="21"/>
      <c r="AA4134" s="21"/>
    </row>
    <row r="4135" spans="7:27" x14ac:dyDescent="0.2">
      <c r="G4135" s="21"/>
      <c r="H4135" s="21"/>
      <c r="N4135" s="21"/>
      <c r="O4135" s="21"/>
      <c r="T4135" s="21"/>
      <c r="AA4135" s="21"/>
    </row>
    <row r="4136" spans="7:27" x14ac:dyDescent="0.2">
      <c r="G4136" s="21"/>
      <c r="H4136" s="21"/>
      <c r="N4136" s="21"/>
      <c r="O4136" s="21"/>
      <c r="T4136" s="21"/>
      <c r="AA4136" s="21"/>
    </row>
    <row r="4137" spans="7:27" x14ac:dyDescent="0.2">
      <c r="G4137" s="21"/>
      <c r="H4137" s="21"/>
      <c r="N4137" s="21"/>
      <c r="O4137" s="21"/>
      <c r="T4137" s="21"/>
      <c r="AA4137" s="21"/>
    </row>
    <row r="4138" spans="7:27" x14ac:dyDescent="0.2">
      <c r="G4138" s="21"/>
      <c r="H4138" s="21"/>
      <c r="N4138" s="21"/>
      <c r="O4138" s="21"/>
      <c r="T4138" s="21"/>
      <c r="AA4138" s="21"/>
    </row>
    <row r="4139" spans="7:27" x14ac:dyDescent="0.2">
      <c r="G4139" s="21"/>
      <c r="H4139" s="21"/>
      <c r="N4139" s="21"/>
      <c r="O4139" s="21"/>
      <c r="T4139" s="21"/>
      <c r="AA4139" s="21"/>
    </row>
    <row r="4140" spans="7:27" x14ac:dyDescent="0.2">
      <c r="G4140" s="21"/>
      <c r="H4140" s="21"/>
      <c r="N4140" s="21"/>
      <c r="O4140" s="21"/>
      <c r="T4140" s="21"/>
      <c r="AA4140" s="21"/>
    </row>
    <row r="4141" spans="7:27" x14ac:dyDescent="0.2">
      <c r="G4141" s="21"/>
      <c r="H4141" s="21"/>
      <c r="N4141" s="21"/>
      <c r="O4141" s="21"/>
      <c r="T4141" s="21"/>
      <c r="AA4141" s="21"/>
    </row>
    <row r="4142" spans="7:27" x14ac:dyDescent="0.2">
      <c r="G4142" s="21"/>
      <c r="H4142" s="21"/>
      <c r="N4142" s="21"/>
      <c r="O4142" s="21"/>
      <c r="T4142" s="21"/>
      <c r="AA4142" s="21"/>
    </row>
    <row r="4143" spans="7:27" x14ac:dyDescent="0.2">
      <c r="G4143" s="21"/>
      <c r="H4143" s="21"/>
      <c r="N4143" s="21"/>
      <c r="O4143" s="21"/>
      <c r="T4143" s="21"/>
      <c r="AA4143" s="21"/>
    </row>
    <row r="4144" spans="7:27" x14ac:dyDescent="0.2">
      <c r="G4144" s="21"/>
      <c r="H4144" s="21"/>
      <c r="N4144" s="21"/>
      <c r="O4144" s="21"/>
      <c r="T4144" s="21"/>
      <c r="AA4144" s="21"/>
    </row>
    <row r="4145" spans="7:27" x14ac:dyDescent="0.2">
      <c r="G4145" s="21"/>
      <c r="H4145" s="21"/>
      <c r="N4145" s="21"/>
      <c r="O4145" s="21"/>
      <c r="T4145" s="21"/>
      <c r="AA4145" s="21"/>
    </row>
    <row r="4146" spans="7:27" x14ac:dyDescent="0.2">
      <c r="G4146" s="21"/>
      <c r="H4146" s="21"/>
      <c r="N4146" s="21"/>
      <c r="O4146" s="21"/>
      <c r="T4146" s="21"/>
      <c r="AA4146" s="21"/>
    </row>
    <row r="4147" spans="7:27" x14ac:dyDescent="0.2">
      <c r="G4147" s="21"/>
      <c r="H4147" s="21"/>
      <c r="N4147" s="21"/>
      <c r="O4147" s="21"/>
      <c r="T4147" s="21"/>
      <c r="AA4147" s="21"/>
    </row>
    <row r="4148" spans="7:27" x14ac:dyDescent="0.2">
      <c r="G4148" s="21"/>
      <c r="H4148" s="21"/>
      <c r="N4148" s="21"/>
      <c r="O4148" s="21"/>
      <c r="T4148" s="21"/>
      <c r="AA4148" s="21"/>
    </row>
    <row r="4149" spans="7:27" x14ac:dyDescent="0.2">
      <c r="G4149" s="21"/>
      <c r="H4149" s="21"/>
      <c r="N4149" s="21"/>
      <c r="O4149" s="21"/>
      <c r="T4149" s="21"/>
      <c r="AA4149" s="21"/>
    </row>
    <row r="4150" spans="7:27" x14ac:dyDescent="0.2">
      <c r="G4150" s="21"/>
      <c r="H4150" s="21"/>
      <c r="N4150" s="21"/>
      <c r="O4150" s="21"/>
      <c r="T4150" s="21"/>
      <c r="AA4150" s="21"/>
    </row>
    <row r="4151" spans="7:27" x14ac:dyDescent="0.2">
      <c r="G4151" s="21"/>
      <c r="H4151" s="21"/>
      <c r="N4151" s="21"/>
      <c r="O4151" s="21"/>
      <c r="T4151" s="21"/>
      <c r="AA4151" s="21"/>
    </row>
    <row r="4152" spans="7:27" x14ac:dyDescent="0.2">
      <c r="G4152" s="21"/>
      <c r="H4152" s="21"/>
      <c r="N4152" s="21"/>
      <c r="O4152" s="21"/>
      <c r="T4152" s="21"/>
      <c r="AA4152" s="21"/>
    </row>
    <row r="4153" spans="7:27" x14ac:dyDescent="0.2">
      <c r="G4153" s="21"/>
      <c r="H4153" s="21"/>
      <c r="N4153" s="21"/>
      <c r="O4153" s="21"/>
      <c r="T4153" s="21"/>
      <c r="AA4153" s="21"/>
    </row>
    <row r="4154" spans="7:27" x14ac:dyDescent="0.2">
      <c r="G4154" s="21"/>
      <c r="H4154" s="21"/>
      <c r="N4154" s="21"/>
      <c r="O4154" s="21"/>
      <c r="T4154" s="21"/>
      <c r="AA4154" s="21"/>
    </row>
    <row r="4155" spans="7:27" x14ac:dyDescent="0.2">
      <c r="G4155" s="21"/>
      <c r="H4155" s="21"/>
      <c r="N4155" s="21"/>
      <c r="O4155" s="21"/>
      <c r="T4155" s="21"/>
      <c r="AA4155" s="21"/>
    </row>
    <row r="4156" spans="7:27" x14ac:dyDescent="0.2">
      <c r="G4156" s="21"/>
      <c r="H4156" s="21"/>
      <c r="N4156" s="21"/>
      <c r="O4156" s="21"/>
      <c r="T4156" s="21"/>
      <c r="AA4156" s="21"/>
    </row>
    <row r="4157" spans="7:27" x14ac:dyDescent="0.2">
      <c r="G4157" s="21"/>
      <c r="H4157" s="21"/>
      <c r="N4157" s="21"/>
      <c r="O4157" s="21"/>
      <c r="T4157" s="21"/>
      <c r="AA4157" s="21"/>
    </row>
    <row r="4158" spans="7:27" x14ac:dyDescent="0.2">
      <c r="G4158" s="21"/>
      <c r="H4158" s="21"/>
      <c r="N4158" s="21"/>
      <c r="O4158" s="21"/>
      <c r="T4158" s="21"/>
      <c r="AA4158" s="21"/>
    </row>
    <row r="4159" spans="7:27" x14ac:dyDescent="0.2">
      <c r="G4159" s="21"/>
      <c r="H4159" s="21"/>
      <c r="N4159" s="21"/>
      <c r="O4159" s="21"/>
      <c r="T4159" s="21"/>
      <c r="AA4159" s="21"/>
    </row>
    <row r="4160" spans="7:27" x14ac:dyDescent="0.2">
      <c r="G4160" s="21"/>
      <c r="H4160" s="21"/>
      <c r="N4160" s="21"/>
      <c r="O4160" s="21"/>
      <c r="T4160" s="21"/>
      <c r="AA4160" s="21"/>
    </row>
    <row r="4161" spans="7:27" x14ac:dyDescent="0.2">
      <c r="G4161" s="21"/>
      <c r="H4161" s="21"/>
      <c r="N4161" s="21"/>
      <c r="O4161" s="21"/>
      <c r="T4161" s="21"/>
      <c r="AA4161" s="21"/>
    </row>
    <row r="4162" spans="7:27" x14ac:dyDescent="0.2">
      <c r="G4162" s="21"/>
      <c r="H4162" s="21"/>
      <c r="N4162" s="21"/>
      <c r="O4162" s="21"/>
      <c r="T4162" s="21"/>
      <c r="AA4162" s="21"/>
    </row>
    <row r="4163" spans="7:27" x14ac:dyDescent="0.2">
      <c r="G4163" s="21"/>
      <c r="H4163" s="21"/>
      <c r="N4163" s="21"/>
      <c r="O4163" s="21"/>
      <c r="T4163" s="21"/>
      <c r="AA4163" s="21"/>
    </row>
    <row r="4164" spans="7:27" x14ac:dyDescent="0.2">
      <c r="G4164" s="21"/>
      <c r="H4164" s="21"/>
      <c r="N4164" s="21"/>
      <c r="O4164" s="21"/>
      <c r="T4164" s="21"/>
      <c r="AA4164" s="21"/>
    </row>
    <row r="4165" spans="7:27" x14ac:dyDescent="0.2">
      <c r="G4165" s="21"/>
      <c r="H4165" s="21"/>
      <c r="N4165" s="21"/>
      <c r="O4165" s="21"/>
      <c r="T4165" s="21"/>
      <c r="AA4165" s="21"/>
    </row>
    <row r="4166" spans="7:27" x14ac:dyDescent="0.2">
      <c r="G4166" s="21"/>
      <c r="H4166" s="21"/>
      <c r="N4166" s="21"/>
      <c r="O4166" s="21"/>
      <c r="T4166" s="21"/>
      <c r="AA4166" s="21"/>
    </row>
    <row r="4167" spans="7:27" x14ac:dyDescent="0.2">
      <c r="G4167" s="21"/>
      <c r="H4167" s="21"/>
      <c r="N4167" s="21"/>
      <c r="O4167" s="21"/>
      <c r="T4167" s="21"/>
      <c r="AA4167" s="21"/>
    </row>
    <row r="4168" spans="7:27" x14ac:dyDescent="0.2">
      <c r="G4168" s="21"/>
      <c r="H4168" s="21"/>
      <c r="N4168" s="21"/>
      <c r="O4168" s="21"/>
      <c r="T4168" s="21"/>
      <c r="AA4168" s="21"/>
    </row>
    <row r="4169" spans="7:27" x14ac:dyDescent="0.2">
      <c r="G4169" s="21"/>
      <c r="H4169" s="21"/>
      <c r="N4169" s="21"/>
      <c r="O4169" s="21"/>
      <c r="T4169" s="21"/>
      <c r="AA4169" s="21"/>
    </row>
    <row r="4170" spans="7:27" x14ac:dyDescent="0.2">
      <c r="G4170" s="21"/>
      <c r="H4170" s="21"/>
      <c r="N4170" s="21"/>
      <c r="O4170" s="21"/>
      <c r="T4170" s="21"/>
      <c r="AA4170" s="21"/>
    </row>
    <row r="4171" spans="7:27" x14ac:dyDescent="0.2">
      <c r="G4171" s="21"/>
      <c r="H4171" s="21"/>
      <c r="N4171" s="21"/>
      <c r="O4171" s="21"/>
      <c r="T4171" s="21"/>
      <c r="AA4171" s="21"/>
    </row>
    <row r="4172" spans="7:27" x14ac:dyDescent="0.2">
      <c r="G4172" s="21"/>
      <c r="H4172" s="21"/>
      <c r="N4172" s="21"/>
      <c r="O4172" s="21"/>
      <c r="T4172" s="21"/>
      <c r="AA4172" s="21"/>
    </row>
    <row r="4173" spans="7:27" x14ac:dyDescent="0.2">
      <c r="G4173" s="21"/>
      <c r="H4173" s="21"/>
      <c r="N4173" s="21"/>
      <c r="O4173" s="21"/>
      <c r="T4173" s="21"/>
      <c r="AA4173" s="21"/>
    </row>
    <row r="4174" spans="7:27" x14ac:dyDescent="0.2">
      <c r="G4174" s="21"/>
      <c r="H4174" s="21"/>
      <c r="N4174" s="21"/>
      <c r="O4174" s="21"/>
      <c r="T4174" s="21"/>
      <c r="AA4174" s="21"/>
    </row>
    <row r="4175" spans="7:27" x14ac:dyDescent="0.2">
      <c r="G4175" s="21"/>
      <c r="H4175" s="21"/>
      <c r="N4175" s="21"/>
      <c r="O4175" s="21"/>
      <c r="T4175" s="21"/>
      <c r="AA4175" s="21"/>
    </row>
    <row r="4176" spans="7:27" x14ac:dyDescent="0.2">
      <c r="G4176" s="21"/>
      <c r="H4176" s="21"/>
      <c r="N4176" s="21"/>
      <c r="O4176" s="21"/>
      <c r="T4176" s="21"/>
      <c r="AA4176" s="21"/>
    </row>
    <row r="4177" spans="7:27" x14ac:dyDescent="0.2">
      <c r="G4177" s="21"/>
      <c r="H4177" s="21"/>
      <c r="N4177" s="21"/>
      <c r="O4177" s="21"/>
      <c r="T4177" s="21"/>
      <c r="AA4177" s="21"/>
    </row>
    <row r="4178" spans="7:27" x14ac:dyDescent="0.2">
      <c r="G4178" s="21"/>
      <c r="H4178" s="21"/>
      <c r="N4178" s="21"/>
      <c r="O4178" s="21"/>
      <c r="T4178" s="21"/>
      <c r="AA4178" s="21"/>
    </row>
    <row r="4179" spans="7:27" x14ac:dyDescent="0.2">
      <c r="G4179" s="21"/>
      <c r="H4179" s="21"/>
      <c r="N4179" s="21"/>
      <c r="O4179" s="21"/>
      <c r="T4179" s="21"/>
      <c r="AA4179" s="21"/>
    </row>
    <row r="4180" spans="7:27" x14ac:dyDescent="0.2">
      <c r="G4180" s="21"/>
      <c r="H4180" s="21"/>
      <c r="N4180" s="21"/>
      <c r="O4180" s="21"/>
      <c r="T4180" s="21"/>
      <c r="AA4180" s="21"/>
    </row>
    <row r="4181" spans="7:27" x14ac:dyDescent="0.2">
      <c r="G4181" s="21"/>
      <c r="H4181" s="21"/>
      <c r="N4181" s="21"/>
      <c r="O4181" s="21"/>
      <c r="T4181" s="21"/>
      <c r="AA4181" s="21"/>
    </row>
    <row r="4182" spans="7:27" x14ac:dyDescent="0.2">
      <c r="G4182" s="21"/>
      <c r="H4182" s="21"/>
      <c r="N4182" s="21"/>
      <c r="O4182" s="21"/>
      <c r="T4182" s="21"/>
      <c r="AA4182" s="21"/>
    </row>
    <row r="4183" spans="7:27" x14ac:dyDescent="0.2">
      <c r="G4183" s="21"/>
      <c r="H4183" s="21"/>
      <c r="N4183" s="21"/>
      <c r="O4183" s="21"/>
      <c r="T4183" s="21"/>
      <c r="AA4183" s="21"/>
    </row>
    <row r="4184" spans="7:27" x14ac:dyDescent="0.2">
      <c r="G4184" s="21"/>
      <c r="H4184" s="21"/>
      <c r="N4184" s="21"/>
      <c r="O4184" s="21"/>
      <c r="T4184" s="21"/>
      <c r="AA4184" s="21"/>
    </row>
    <row r="4185" spans="7:27" x14ac:dyDescent="0.2">
      <c r="G4185" s="21"/>
      <c r="H4185" s="21"/>
      <c r="N4185" s="21"/>
      <c r="O4185" s="21"/>
      <c r="T4185" s="21"/>
      <c r="AA4185" s="21"/>
    </row>
    <row r="4186" spans="7:27" x14ac:dyDescent="0.2">
      <c r="G4186" s="21"/>
      <c r="H4186" s="21"/>
      <c r="N4186" s="21"/>
      <c r="O4186" s="21"/>
      <c r="T4186" s="21"/>
      <c r="AA4186" s="21"/>
    </row>
    <row r="4187" spans="7:27" x14ac:dyDescent="0.2">
      <c r="G4187" s="21"/>
      <c r="H4187" s="21"/>
      <c r="N4187" s="21"/>
      <c r="O4187" s="21"/>
      <c r="T4187" s="21"/>
      <c r="AA4187" s="21"/>
    </row>
    <row r="4188" spans="7:27" x14ac:dyDescent="0.2">
      <c r="G4188" s="21"/>
      <c r="H4188" s="21"/>
      <c r="N4188" s="21"/>
      <c r="O4188" s="21"/>
      <c r="T4188" s="21"/>
      <c r="AA4188" s="21"/>
    </row>
    <row r="4189" spans="7:27" x14ac:dyDescent="0.2">
      <c r="G4189" s="21"/>
      <c r="H4189" s="21"/>
      <c r="N4189" s="21"/>
      <c r="O4189" s="21"/>
      <c r="T4189" s="21"/>
      <c r="AA4189" s="21"/>
    </row>
    <row r="4190" spans="7:27" x14ac:dyDescent="0.2">
      <c r="G4190" s="21"/>
      <c r="H4190" s="21"/>
      <c r="N4190" s="21"/>
      <c r="O4190" s="21"/>
      <c r="T4190" s="21"/>
      <c r="AA4190" s="21"/>
    </row>
    <row r="4191" spans="7:27" x14ac:dyDescent="0.2">
      <c r="G4191" s="21"/>
      <c r="H4191" s="21"/>
      <c r="N4191" s="21"/>
      <c r="O4191" s="21"/>
      <c r="T4191" s="21"/>
      <c r="AA4191" s="21"/>
    </row>
    <row r="4192" spans="7:27" x14ac:dyDescent="0.2">
      <c r="G4192" s="21"/>
      <c r="H4192" s="21"/>
      <c r="N4192" s="21"/>
      <c r="O4192" s="21"/>
      <c r="T4192" s="21"/>
      <c r="AA4192" s="21"/>
    </row>
    <row r="4193" spans="7:27" x14ac:dyDescent="0.2">
      <c r="G4193" s="21"/>
      <c r="H4193" s="21"/>
      <c r="N4193" s="21"/>
      <c r="O4193" s="21"/>
      <c r="T4193" s="21"/>
      <c r="AA4193" s="21"/>
    </row>
    <row r="4194" spans="7:27" x14ac:dyDescent="0.2">
      <c r="G4194" s="21"/>
      <c r="H4194" s="21"/>
      <c r="N4194" s="21"/>
      <c r="O4194" s="21"/>
      <c r="T4194" s="21"/>
      <c r="AA4194" s="21"/>
    </row>
    <row r="4195" spans="7:27" x14ac:dyDescent="0.2">
      <c r="G4195" s="21"/>
      <c r="H4195" s="21"/>
      <c r="N4195" s="21"/>
      <c r="O4195" s="21"/>
      <c r="T4195" s="21"/>
      <c r="AA4195" s="21"/>
    </row>
    <row r="4196" spans="7:27" x14ac:dyDescent="0.2">
      <c r="G4196" s="21"/>
      <c r="H4196" s="21"/>
      <c r="N4196" s="21"/>
      <c r="O4196" s="21"/>
      <c r="T4196" s="21"/>
      <c r="AA4196" s="21"/>
    </row>
    <row r="4197" spans="7:27" x14ac:dyDescent="0.2">
      <c r="G4197" s="21"/>
      <c r="H4197" s="21"/>
      <c r="N4197" s="21"/>
      <c r="O4197" s="21"/>
      <c r="T4197" s="21"/>
      <c r="AA4197" s="21"/>
    </row>
    <row r="4198" spans="7:27" x14ac:dyDescent="0.2">
      <c r="G4198" s="21"/>
      <c r="H4198" s="21"/>
      <c r="N4198" s="21"/>
      <c r="O4198" s="21"/>
      <c r="T4198" s="21"/>
      <c r="AA4198" s="21"/>
    </row>
    <row r="4199" spans="7:27" x14ac:dyDescent="0.2">
      <c r="G4199" s="21"/>
      <c r="H4199" s="21"/>
      <c r="N4199" s="21"/>
      <c r="O4199" s="21"/>
      <c r="T4199" s="21"/>
      <c r="AA4199" s="21"/>
    </row>
    <row r="4200" spans="7:27" x14ac:dyDescent="0.2">
      <c r="G4200" s="21"/>
      <c r="H4200" s="21"/>
      <c r="N4200" s="21"/>
      <c r="O4200" s="21"/>
      <c r="T4200" s="21"/>
      <c r="AA4200" s="21"/>
    </row>
    <row r="4201" spans="7:27" x14ac:dyDescent="0.2">
      <c r="G4201" s="21"/>
      <c r="H4201" s="21"/>
      <c r="N4201" s="21"/>
      <c r="O4201" s="21"/>
      <c r="T4201" s="21"/>
      <c r="AA4201" s="21"/>
    </row>
    <row r="4202" spans="7:27" x14ac:dyDescent="0.2">
      <c r="G4202" s="21"/>
      <c r="H4202" s="21"/>
      <c r="N4202" s="21"/>
      <c r="O4202" s="21"/>
      <c r="T4202" s="21"/>
      <c r="AA4202" s="21"/>
    </row>
    <row r="4203" spans="7:27" x14ac:dyDescent="0.2">
      <c r="G4203" s="21"/>
      <c r="H4203" s="21"/>
      <c r="N4203" s="21"/>
      <c r="O4203" s="21"/>
      <c r="T4203" s="21"/>
      <c r="AA4203" s="21"/>
    </row>
    <row r="4204" spans="7:27" x14ac:dyDescent="0.2">
      <c r="G4204" s="21"/>
      <c r="H4204" s="21"/>
      <c r="N4204" s="21"/>
      <c r="O4204" s="21"/>
      <c r="T4204" s="21"/>
      <c r="AA4204" s="21"/>
    </row>
    <row r="4205" spans="7:27" x14ac:dyDescent="0.2">
      <c r="G4205" s="21"/>
      <c r="H4205" s="21"/>
      <c r="N4205" s="21"/>
      <c r="O4205" s="21"/>
      <c r="T4205" s="21"/>
      <c r="AA4205" s="21"/>
    </row>
    <row r="4206" spans="7:27" x14ac:dyDescent="0.2">
      <c r="G4206" s="21"/>
      <c r="H4206" s="21"/>
      <c r="N4206" s="21"/>
      <c r="O4206" s="21"/>
      <c r="T4206" s="21"/>
      <c r="AA4206" s="21"/>
    </row>
    <row r="4207" spans="7:27" x14ac:dyDescent="0.2">
      <c r="G4207" s="21"/>
      <c r="H4207" s="21"/>
      <c r="N4207" s="21"/>
      <c r="O4207" s="21"/>
      <c r="T4207" s="21"/>
      <c r="AA4207" s="21"/>
    </row>
    <row r="4208" spans="7:27" x14ac:dyDescent="0.2">
      <c r="G4208" s="21"/>
      <c r="H4208" s="21"/>
      <c r="N4208" s="21"/>
      <c r="O4208" s="21"/>
      <c r="T4208" s="21"/>
      <c r="AA4208" s="21"/>
    </row>
    <row r="4209" spans="7:27" x14ac:dyDescent="0.2">
      <c r="G4209" s="21"/>
      <c r="H4209" s="21"/>
      <c r="N4209" s="21"/>
      <c r="O4209" s="21"/>
      <c r="T4209" s="21"/>
      <c r="AA4209" s="21"/>
    </row>
    <row r="4210" spans="7:27" x14ac:dyDescent="0.2">
      <c r="G4210" s="21"/>
      <c r="H4210" s="21"/>
      <c r="N4210" s="21"/>
      <c r="O4210" s="21"/>
      <c r="T4210" s="21"/>
      <c r="AA4210" s="21"/>
    </row>
    <row r="4211" spans="7:27" x14ac:dyDescent="0.2">
      <c r="G4211" s="21"/>
      <c r="H4211" s="21"/>
      <c r="N4211" s="21"/>
      <c r="O4211" s="21"/>
      <c r="T4211" s="21"/>
      <c r="AA4211" s="21"/>
    </row>
    <row r="4212" spans="7:27" x14ac:dyDescent="0.2">
      <c r="G4212" s="21"/>
      <c r="H4212" s="21"/>
      <c r="N4212" s="21"/>
      <c r="O4212" s="21"/>
      <c r="T4212" s="21"/>
      <c r="AA4212" s="21"/>
    </row>
    <row r="4213" spans="7:27" x14ac:dyDescent="0.2">
      <c r="G4213" s="21"/>
      <c r="H4213" s="21"/>
      <c r="N4213" s="21"/>
      <c r="O4213" s="21"/>
      <c r="T4213" s="21"/>
      <c r="AA4213" s="21"/>
    </row>
    <row r="4214" spans="7:27" x14ac:dyDescent="0.2">
      <c r="G4214" s="21"/>
      <c r="H4214" s="21"/>
      <c r="N4214" s="21"/>
      <c r="O4214" s="21"/>
      <c r="T4214" s="21"/>
      <c r="AA4214" s="21"/>
    </row>
    <row r="4215" spans="7:27" x14ac:dyDescent="0.2">
      <c r="G4215" s="21"/>
      <c r="H4215" s="21"/>
      <c r="N4215" s="21"/>
      <c r="O4215" s="21"/>
      <c r="T4215" s="21"/>
      <c r="AA4215" s="21"/>
    </row>
    <row r="4216" spans="7:27" x14ac:dyDescent="0.2">
      <c r="G4216" s="21"/>
      <c r="H4216" s="21"/>
      <c r="N4216" s="21"/>
      <c r="O4216" s="21"/>
      <c r="T4216" s="21"/>
      <c r="AA4216" s="21"/>
    </row>
    <row r="4217" spans="7:27" x14ac:dyDescent="0.2">
      <c r="G4217" s="21"/>
      <c r="H4217" s="21"/>
      <c r="N4217" s="21"/>
      <c r="O4217" s="21"/>
      <c r="T4217" s="21"/>
      <c r="AA4217" s="21"/>
    </row>
    <row r="4218" spans="7:27" x14ac:dyDescent="0.2">
      <c r="G4218" s="21"/>
      <c r="H4218" s="21"/>
      <c r="N4218" s="21"/>
      <c r="O4218" s="21"/>
      <c r="T4218" s="21"/>
      <c r="AA4218" s="21"/>
    </row>
    <row r="4219" spans="7:27" x14ac:dyDescent="0.2">
      <c r="G4219" s="21"/>
      <c r="H4219" s="21"/>
      <c r="N4219" s="21"/>
      <c r="O4219" s="21"/>
      <c r="T4219" s="21"/>
      <c r="AA4219" s="21"/>
    </row>
    <row r="4220" spans="7:27" x14ac:dyDescent="0.2">
      <c r="G4220" s="21"/>
      <c r="H4220" s="21"/>
      <c r="N4220" s="21"/>
      <c r="O4220" s="21"/>
      <c r="T4220" s="21"/>
      <c r="AA4220" s="21"/>
    </row>
    <row r="4221" spans="7:27" x14ac:dyDescent="0.2">
      <c r="G4221" s="21"/>
      <c r="H4221" s="21"/>
      <c r="N4221" s="21"/>
      <c r="O4221" s="21"/>
      <c r="T4221" s="21"/>
      <c r="AA4221" s="21"/>
    </row>
    <row r="4222" spans="7:27" x14ac:dyDescent="0.2">
      <c r="G4222" s="21"/>
      <c r="H4222" s="21"/>
      <c r="N4222" s="21"/>
      <c r="O4222" s="21"/>
      <c r="T4222" s="21"/>
      <c r="AA4222" s="21"/>
    </row>
    <row r="4223" spans="7:27" x14ac:dyDescent="0.2">
      <c r="G4223" s="21"/>
      <c r="H4223" s="21"/>
      <c r="N4223" s="21"/>
      <c r="O4223" s="21"/>
      <c r="T4223" s="21"/>
      <c r="AA4223" s="21"/>
    </row>
    <row r="4224" spans="7:27" x14ac:dyDescent="0.2">
      <c r="G4224" s="21"/>
      <c r="H4224" s="21"/>
      <c r="N4224" s="21"/>
      <c r="O4224" s="21"/>
      <c r="T4224" s="21"/>
      <c r="AA4224" s="21"/>
    </row>
    <row r="4225" spans="7:27" x14ac:dyDescent="0.2">
      <c r="G4225" s="21"/>
      <c r="H4225" s="21"/>
      <c r="N4225" s="21"/>
      <c r="O4225" s="21"/>
      <c r="T4225" s="21"/>
      <c r="AA4225" s="21"/>
    </row>
    <row r="4226" spans="7:27" x14ac:dyDescent="0.2">
      <c r="G4226" s="21"/>
      <c r="H4226" s="21"/>
      <c r="N4226" s="21"/>
      <c r="O4226" s="21"/>
      <c r="T4226" s="21"/>
      <c r="AA4226" s="21"/>
    </row>
    <row r="4227" spans="7:27" x14ac:dyDescent="0.2">
      <c r="G4227" s="21"/>
      <c r="H4227" s="21"/>
      <c r="N4227" s="21"/>
      <c r="O4227" s="21"/>
      <c r="T4227" s="21"/>
      <c r="AA4227" s="21"/>
    </row>
    <row r="4228" spans="7:27" x14ac:dyDescent="0.2">
      <c r="G4228" s="21"/>
      <c r="H4228" s="21"/>
      <c r="N4228" s="21"/>
      <c r="O4228" s="21"/>
      <c r="T4228" s="21"/>
      <c r="AA4228" s="21"/>
    </row>
    <row r="4229" spans="7:27" x14ac:dyDescent="0.2">
      <c r="G4229" s="21"/>
      <c r="H4229" s="21"/>
      <c r="N4229" s="21"/>
      <c r="O4229" s="21"/>
      <c r="T4229" s="21"/>
      <c r="AA4229" s="21"/>
    </row>
    <row r="4230" spans="7:27" x14ac:dyDescent="0.2">
      <c r="G4230" s="21"/>
      <c r="H4230" s="21"/>
      <c r="N4230" s="21"/>
      <c r="O4230" s="21"/>
      <c r="T4230" s="21"/>
      <c r="AA4230" s="21"/>
    </row>
    <row r="4231" spans="7:27" x14ac:dyDescent="0.2">
      <c r="G4231" s="21"/>
      <c r="H4231" s="21"/>
      <c r="N4231" s="21"/>
      <c r="O4231" s="21"/>
      <c r="T4231" s="21"/>
      <c r="AA4231" s="21"/>
    </row>
    <row r="4232" spans="7:27" x14ac:dyDescent="0.2">
      <c r="G4232" s="21"/>
      <c r="H4232" s="21"/>
      <c r="N4232" s="21"/>
      <c r="O4232" s="21"/>
      <c r="T4232" s="21"/>
      <c r="AA4232" s="21"/>
    </row>
    <row r="4233" spans="7:27" x14ac:dyDescent="0.2">
      <c r="G4233" s="21"/>
      <c r="H4233" s="21"/>
      <c r="N4233" s="21"/>
      <c r="O4233" s="21"/>
      <c r="T4233" s="21"/>
      <c r="AA4233" s="21"/>
    </row>
    <row r="4234" spans="7:27" x14ac:dyDescent="0.2">
      <c r="G4234" s="21"/>
      <c r="H4234" s="21"/>
      <c r="N4234" s="21"/>
      <c r="O4234" s="21"/>
      <c r="T4234" s="21"/>
      <c r="AA4234" s="21"/>
    </row>
    <row r="4235" spans="7:27" x14ac:dyDescent="0.2">
      <c r="G4235" s="21"/>
      <c r="H4235" s="21"/>
      <c r="N4235" s="21"/>
      <c r="O4235" s="21"/>
      <c r="T4235" s="21"/>
      <c r="AA4235" s="21"/>
    </row>
    <row r="4236" spans="7:27" x14ac:dyDescent="0.2">
      <c r="G4236" s="21"/>
      <c r="H4236" s="21"/>
      <c r="N4236" s="21"/>
      <c r="O4236" s="21"/>
      <c r="T4236" s="21"/>
      <c r="AA4236" s="21"/>
    </row>
    <row r="4237" spans="7:27" x14ac:dyDescent="0.2">
      <c r="G4237" s="21"/>
      <c r="H4237" s="21"/>
      <c r="N4237" s="21"/>
      <c r="O4237" s="21"/>
      <c r="T4237" s="21"/>
      <c r="AA4237" s="21"/>
    </row>
    <row r="4238" spans="7:27" x14ac:dyDescent="0.2">
      <c r="G4238" s="21"/>
      <c r="H4238" s="21"/>
      <c r="N4238" s="21"/>
      <c r="O4238" s="21"/>
      <c r="T4238" s="21"/>
      <c r="AA4238" s="21"/>
    </row>
    <row r="4239" spans="7:27" x14ac:dyDescent="0.2">
      <c r="G4239" s="21"/>
      <c r="H4239" s="21"/>
      <c r="N4239" s="21"/>
      <c r="O4239" s="21"/>
      <c r="T4239" s="21"/>
      <c r="AA4239" s="21"/>
    </row>
    <row r="4240" spans="7:27" x14ac:dyDescent="0.2">
      <c r="G4240" s="21"/>
      <c r="H4240" s="21"/>
      <c r="N4240" s="21"/>
      <c r="O4240" s="21"/>
      <c r="T4240" s="21"/>
      <c r="AA4240" s="21"/>
    </row>
    <row r="4241" spans="7:27" x14ac:dyDescent="0.2">
      <c r="G4241" s="21"/>
      <c r="H4241" s="21"/>
      <c r="N4241" s="21"/>
      <c r="O4241" s="21"/>
      <c r="T4241" s="21"/>
      <c r="AA4241" s="21"/>
    </row>
    <row r="4242" spans="7:27" x14ac:dyDescent="0.2">
      <c r="G4242" s="21"/>
      <c r="H4242" s="21"/>
      <c r="N4242" s="21"/>
      <c r="O4242" s="21"/>
      <c r="T4242" s="21"/>
      <c r="AA4242" s="21"/>
    </row>
    <row r="4243" spans="7:27" x14ac:dyDescent="0.2">
      <c r="G4243" s="21"/>
      <c r="H4243" s="21"/>
      <c r="N4243" s="21"/>
      <c r="O4243" s="21"/>
      <c r="T4243" s="21"/>
      <c r="AA4243" s="21"/>
    </row>
    <row r="4244" spans="7:27" x14ac:dyDescent="0.2">
      <c r="G4244" s="21"/>
      <c r="H4244" s="21"/>
      <c r="N4244" s="21"/>
      <c r="O4244" s="21"/>
      <c r="T4244" s="21"/>
      <c r="AA4244" s="21"/>
    </row>
    <row r="4245" spans="7:27" x14ac:dyDescent="0.2">
      <c r="G4245" s="21"/>
      <c r="H4245" s="21"/>
      <c r="N4245" s="21"/>
      <c r="O4245" s="21"/>
      <c r="T4245" s="21"/>
      <c r="AA4245" s="21"/>
    </row>
    <row r="4246" spans="7:27" x14ac:dyDescent="0.2">
      <c r="G4246" s="21"/>
      <c r="H4246" s="21"/>
      <c r="N4246" s="21"/>
      <c r="O4246" s="21"/>
      <c r="T4246" s="21"/>
      <c r="AA4246" s="21"/>
    </row>
    <row r="4247" spans="7:27" x14ac:dyDescent="0.2">
      <c r="G4247" s="21"/>
      <c r="H4247" s="21"/>
      <c r="N4247" s="21"/>
      <c r="O4247" s="21"/>
      <c r="T4247" s="21"/>
      <c r="AA4247" s="21"/>
    </row>
    <row r="4248" spans="7:27" x14ac:dyDescent="0.2">
      <c r="G4248" s="21"/>
      <c r="H4248" s="21"/>
      <c r="N4248" s="21"/>
      <c r="O4248" s="21"/>
      <c r="T4248" s="21"/>
      <c r="AA4248" s="21"/>
    </row>
    <row r="4249" spans="7:27" x14ac:dyDescent="0.2">
      <c r="G4249" s="21"/>
      <c r="H4249" s="21"/>
      <c r="N4249" s="21"/>
      <c r="O4249" s="21"/>
      <c r="T4249" s="21"/>
      <c r="AA4249" s="21"/>
    </row>
    <row r="4250" spans="7:27" x14ac:dyDescent="0.2">
      <c r="G4250" s="21"/>
      <c r="H4250" s="21"/>
      <c r="N4250" s="21"/>
      <c r="O4250" s="21"/>
      <c r="T4250" s="21"/>
      <c r="AA4250" s="21"/>
    </row>
    <row r="4251" spans="7:27" x14ac:dyDescent="0.2">
      <c r="G4251" s="21"/>
      <c r="H4251" s="21"/>
      <c r="N4251" s="21"/>
      <c r="O4251" s="21"/>
      <c r="T4251" s="21"/>
      <c r="AA4251" s="21"/>
    </row>
    <row r="4252" spans="7:27" x14ac:dyDescent="0.2">
      <c r="G4252" s="21"/>
      <c r="H4252" s="21"/>
      <c r="N4252" s="21"/>
      <c r="O4252" s="21"/>
      <c r="T4252" s="21"/>
      <c r="AA4252" s="21"/>
    </row>
    <row r="4253" spans="7:27" x14ac:dyDescent="0.2">
      <c r="G4253" s="21"/>
      <c r="H4253" s="21"/>
      <c r="N4253" s="21"/>
      <c r="O4253" s="21"/>
      <c r="T4253" s="21"/>
      <c r="AA4253" s="21"/>
    </row>
    <row r="4254" spans="7:27" x14ac:dyDescent="0.2">
      <c r="G4254" s="21"/>
      <c r="H4254" s="21"/>
      <c r="N4254" s="21"/>
      <c r="O4254" s="21"/>
      <c r="T4254" s="21"/>
      <c r="AA4254" s="21"/>
    </row>
    <row r="4255" spans="7:27" x14ac:dyDescent="0.2">
      <c r="G4255" s="21"/>
      <c r="H4255" s="21"/>
      <c r="N4255" s="21"/>
      <c r="O4255" s="21"/>
      <c r="T4255" s="21"/>
      <c r="AA4255" s="21"/>
    </row>
    <row r="4256" spans="7:27" x14ac:dyDescent="0.2">
      <c r="G4256" s="21"/>
      <c r="H4256" s="21"/>
      <c r="N4256" s="21"/>
      <c r="O4256" s="21"/>
      <c r="T4256" s="21"/>
      <c r="AA4256" s="21"/>
    </row>
    <row r="4257" spans="7:27" x14ac:dyDescent="0.2">
      <c r="G4257" s="21"/>
      <c r="H4257" s="21"/>
      <c r="N4257" s="21"/>
      <c r="O4257" s="21"/>
      <c r="T4257" s="21"/>
      <c r="AA4257" s="21"/>
    </row>
    <row r="4258" spans="7:27" x14ac:dyDescent="0.2">
      <c r="G4258" s="21"/>
      <c r="H4258" s="21"/>
      <c r="N4258" s="21"/>
      <c r="O4258" s="21"/>
      <c r="T4258" s="21"/>
      <c r="AA4258" s="21"/>
    </row>
    <row r="4259" spans="7:27" x14ac:dyDescent="0.2">
      <c r="G4259" s="21"/>
      <c r="H4259" s="21"/>
      <c r="N4259" s="21"/>
      <c r="O4259" s="21"/>
      <c r="T4259" s="21"/>
      <c r="AA4259" s="21"/>
    </row>
    <row r="4260" spans="7:27" x14ac:dyDescent="0.2">
      <c r="G4260" s="21"/>
      <c r="H4260" s="21"/>
      <c r="N4260" s="21"/>
      <c r="O4260" s="21"/>
      <c r="T4260" s="21"/>
      <c r="AA4260" s="21"/>
    </row>
    <row r="4261" spans="7:27" x14ac:dyDescent="0.2">
      <c r="G4261" s="21"/>
      <c r="H4261" s="21"/>
      <c r="N4261" s="21"/>
      <c r="O4261" s="21"/>
      <c r="T4261" s="21"/>
      <c r="AA4261" s="21"/>
    </row>
    <row r="4262" spans="7:27" x14ac:dyDescent="0.2">
      <c r="G4262" s="21"/>
      <c r="H4262" s="21"/>
      <c r="N4262" s="21"/>
      <c r="O4262" s="21"/>
      <c r="T4262" s="21"/>
      <c r="AA4262" s="21"/>
    </row>
    <row r="4263" spans="7:27" x14ac:dyDescent="0.2">
      <c r="G4263" s="21"/>
      <c r="H4263" s="21"/>
      <c r="N4263" s="21"/>
      <c r="O4263" s="21"/>
      <c r="T4263" s="21"/>
      <c r="AA4263" s="21"/>
    </row>
    <row r="4264" spans="7:27" x14ac:dyDescent="0.2">
      <c r="G4264" s="21"/>
      <c r="H4264" s="21"/>
      <c r="N4264" s="21"/>
      <c r="O4264" s="21"/>
      <c r="T4264" s="21"/>
      <c r="AA4264" s="21"/>
    </row>
    <row r="4265" spans="7:27" x14ac:dyDescent="0.2">
      <c r="G4265" s="21"/>
      <c r="H4265" s="21"/>
      <c r="N4265" s="21"/>
      <c r="O4265" s="21"/>
      <c r="T4265" s="21"/>
      <c r="AA4265" s="21"/>
    </row>
    <row r="4266" spans="7:27" x14ac:dyDescent="0.2">
      <c r="G4266" s="21"/>
      <c r="H4266" s="21"/>
      <c r="N4266" s="21"/>
      <c r="O4266" s="21"/>
      <c r="T4266" s="21"/>
      <c r="AA4266" s="21"/>
    </row>
    <row r="4267" spans="7:27" x14ac:dyDescent="0.2">
      <c r="G4267" s="21"/>
      <c r="H4267" s="21"/>
      <c r="N4267" s="21"/>
      <c r="O4267" s="21"/>
      <c r="T4267" s="21"/>
      <c r="AA4267" s="21"/>
    </row>
    <row r="4268" spans="7:27" x14ac:dyDescent="0.2">
      <c r="G4268" s="21"/>
      <c r="H4268" s="21"/>
      <c r="N4268" s="21"/>
      <c r="O4268" s="21"/>
      <c r="T4268" s="21"/>
      <c r="AA4268" s="21"/>
    </row>
    <row r="4269" spans="7:27" x14ac:dyDescent="0.2">
      <c r="G4269" s="21"/>
      <c r="H4269" s="21"/>
      <c r="N4269" s="21"/>
      <c r="O4269" s="21"/>
      <c r="T4269" s="21"/>
      <c r="AA4269" s="21"/>
    </row>
    <row r="4270" spans="7:27" x14ac:dyDescent="0.2">
      <c r="G4270" s="21"/>
      <c r="H4270" s="21"/>
      <c r="N4270" s="21"/>
      <c r="O4270" s="21"/>
      <c r="T4270" s="21"/>
      <c r="AA4270" s="21"/>
    </row>
    <row r="4271" spans="7:27" x14ac:dyDescent="0.2">
      <c r="G4271" s="21"/>
      <c r="H4271" s="21"/>
      <c r="N4271" s="21"/>
      <c r="O4271" s="21"/>
      <c r="T4271" s="21"/>
      <c r="AA4271" s="21"/>
    </row>
    <row r="4272" spans="7:27" x14ac:dyDescent="0.2">
      <c r="G4272" s="21"/>
      <c r="H4272" s="21"/>
      <c r="N4272" s="21"/>
      <c r="O4272" s="21"/>
      <c r="T4272" s="21"/>
      <c r="AA4272" s="21"/>
    </row>
    <row r="4273" spans="7:27" x14ac:dyDescent="0.2">
      <c r="G4273" s="21"/>
      <c r="H4273" s="21"/>
      <c r="N4273" s="21"/>
      <c r="O4273" s="21"/>
      <c r="T4273" s="21"/>
      <c r="AA4273" s="21"/>
    </row>
    <row r="4274" spans="7:27" x14ac:dyDescent="0.2">
      <c r="G4274" s="21"/>
      <c r="H4274" s="21"/>
      <c r="N4274" s="21"/>
      <c r="O4274" s="21"/>
      <c r="T4274" s="21"/>
      <c r="AA4274" s="21"/>
    </row>
    <row r="4275" spans="7:27" x14ac:dyDescent="0.2">
      <c r="G4275" s="21"/>
      <c r="H4275" s="21"/>
      <c r="N4275" s="21"/>
      <c r="O4275" s="21"/>
      <c r="T4275" s="21"/>
      <c r="AA4275" s="21"/>
    </row>
    <row r="4276" spans="7:27" x14ac:dyDescent="0.2">
      <c r="G4276" s="21"/>
      <c r="H4276" s="21"/>
      <c r="N4276" s="21"/>
      <c r="O4276" s="21"/>
      <c r="T4276" s="21"/>
      <c r="AA4276" s="21"/>
    </row>
    <row r="4277" spans="7:27" x14ac:dyDescent="0.2">
      <c r="G4277" s="21"/>
      <c r="H4277" s="21"/>
      <c r="N4277" s="21"/>
      <c r="O4277" s="21"/>
      <c r="T4277" s="21"/>
      <c r="AA4277" s="21"/>
    </row>
    <row r="4278" spans="7:27" x14ac:dyDescent="0.2">
      <c r="G4278" s="21"/>
      <c r="H4278" s="21"/>
      <c r="N4278" s="21"/>
      <c r="O4278" s="21"/>
      <c r="T4278" s="21"/>
      <c r="AA4278" s="21"/>
    </row>
    <row r="4279" spans="7:27" x14ac:dyDescent="0.2">
      <c r="G4279" s="21"/>
      <c r="H4279" s="21"/>
      <c r="N4279" s="21"/>
      <c r="O4279" s="21"/>
      <c r="T4279" s="21"/>
      <c r="AA4279" s="21"/>
    </row>
    <row r="4280" spans="7:27" x14ac:dyDescent="0.2">
      <c r="G4280" s="21"/>
      <c r="H4280" s="21"/>
      <c r="N4280" s="21"/>
      <c r="O4280" s="21"/>
      <c r="T4280" s="21"/>
      <c r="AA4280" s="21"/>
    </row>
    <row r="4281" spans="7:27" x14ac:dyDescent="0.2">
      <c r="G4281" s="21"/>
      <c r="H4281" s="21"/>
      <c r="N4281" s="21"/>
      <c r="O4281" s="21"/>
      <c r="T4281" s="21"/>
      <c r="AA4281" s="21"/>
    </row>
    <row r="4282" spans="7:27" x14ac:dyDescent="0.2">
      <c r="G4282" s="21"/>
      <c r="H4282" s="21"/>
      <c r="N4282" s="21"/>
      <c r="O4282" s="21"/>
      <c r="T4282" s="21"/>
      <c r="AA4282" s="21"/>
    </row>
    <row r="4283" spans="7:27" x14ac:dyDescent="0.2">
      <c r="G4283" s="21"/>
      <c r="H4283" s="21"/>
      <c r="N4283" s="21"/>
      <c r="O4283" s="21"/>
      <c r="T4283" s="21"/>
      <c r="AA4283" s="21"/>
    </row>
    <row r="4284" spans="7:27" x14ac:dyDescent="0.2">
      <c r="G4284" s="21"/>
      <c r="H4284" s="21"/>
      <c r="N4284" s="21"/>
      <c r="O4284" s="21"/>
      <c r="T4284" s="21"/>
      <c r="AA4284" s="21"/>
    </row>
    <row r="4285" spans="7:27" x14ac:dyDescent="0.2">
      <c r="G4285" s="21"/>
      <c r="H4285" s="21"/>
      <c r="N4285" s="21"/>
      <c r="O4285" s="21"/>
      <c r="T4285" s="21"/>
      <c r="AA4285" s="21"/>
    </row>
    <row r="4286" spans="7:27" x14ac:dyDescent="0.2">
      <c r="G4286" s="21"/>
      <c r="H4286" s="21"/>
      <c r="N4286" s="21"/>
      <c r="O4286" s="21"/>
      <c r="T4286" s="21"/>
      <c r="AA4286" s="21"/>
    </row>
    <row r="4287" spans="7:27" x14ac:dyDescent="0.2">
      <c r="G4287" s="21"/>
      <c r="H4287" s="21"/>
      <c r="N4287" s="21"/>
      <c r="O4287" s="21"/>
      <c r="T4287" s="21"/>
      <c r="AA4287" s="21"/>
    </row>
    <row r="4288" spans="7:27" x14ac:dyDescent="0.2">
      <c r="G4288" s="21"/>
      <c r="H4288" s="21"/>
      <c r="N4288" s="21"/>
      <c r="O4288" s="21"/>
      <c r="T4288" s="21"/>
      <c r="AA4288" s="21"/>
    </row>
    <row r="4289" spans="7:27" x14ac:dyDescent="0.2">
      <c r="G4289" s="21"/>
      <c r="H4289" s="21"/>
      <c r="N4289" s="21"/>
      <c r="O4289" s="21"/>
      <c r="T4289" s="21"/>
      <c r="AA4289" s="21"/>
    </row>
    <row r="4290" spans="7:27" x14ac:dyDescent="0.2">
      <c r="G4290" s="21"/>
      <c r="H4290" s="21"/>
      <c r="N4290" s="21"/>
      <c r="O4290" s="21"/>
      <c r="T4290" s="21"/>
      <c r="AA4290" s="21"/>
    </row>
    <row r="4291" spans="7:27" x14ac:dyDescent="0.2">
      <c r="G4291" s="21"/>
      <c r="H4291" s="21"/>
      <c r="N4291" s="21"/>
      <c r="O4291" s="21"/>
      <c r="T4291" s="21"/>
      <c r="AA4291" s="21"/>
    </row>
    <row r="4292" spans="7:27" x14ac:dyDescent="0.2">
      <c r="G4292" s="21"/>
      <c r="H4292" s="21"/>
      <c r="N4292" s="21"/>
      <c r="O4292" s="21"/>
      <c r="T4292" s="21"/>
      <c r="AA4292" s="21"/>
    </row>
    <row r="4293" spans="7:27" x14ac:dyDescent="0.2">
      <c r="G4293" s="21"/>
      <c r="H4293" s="21"/>
      <c r="N4293" s="21"/>
      <c r="O4293" s="21"/>
      <c r="T4293" s="21"/>
      <c r="AA4293" s="21"/>
    </row>
    <row r="4294" spans="7:27" x14ac:dyDescent="0.2">
      <c r="G4294" s="21"/>
      <c r="H4294" s="21"/>
      <c r="N4294" s="21"/>
      <c r="O4294" s="21"/>
      <c r="T4294" s="21"/>
      <c r="AA4294" s="21"/>
    </row>
    <row r="4295" spans="7:27" x14ac:dyDescent="0.2">
      <c r="G4295" s="21"/>
      <c r="H4295" s="21"/>
      <c r="N4295" s="21"/>
      <c r="O4295" s="21"/>
      <c r="T4295" s="21"/>
      <c r="AA4295" s="21"/>
    </row>
    <row r="4296" spans="7:27" x14ac:dyDescent="0.2">
      <c r="G4296" s="21"/>
      <c r="H4296" s="21"/>
      <c r="N4296" s="21"/>
      <c r="O4296" s="21"/>
      <c r="T4296" s="21"/>
      <c r="AA4296" s="21"/>
    </row>
    <row r="4297" spans="7:27" x14ac:dyDescent="0.2">
      <c r="G4297" s="21"/>
      <c r="H4297" s="21"/>
      <c r="N4297" s="21"/>
      <c r="O4297" s="21"/>
      <c r="T4297" s="21"/>
      <c r="AA4297" s="21"/>
    </row>
    <row r="4298" spans="7:27" x14ac:dyDescent="0.2">
      <c r="G4298" s="21"/>
      <c r="H4298" s="21"/>
      <c r="N4298" s="21"/>
      <c r="O4298" s="21"/>
      <c r="T4298" s="21"/>
      <c r="AA4298" s="21"/>
    </row>
    <row r="4299" spans="7:27" x14ac:dyDescent="0.2">
      <c r="G4299" s="21"/>
      <c r="H4299" s="21"/>
      <c r="N4299" s="21"/>
      <c r="O4299" s="21"/>
      <c r="T4299" s="21"/>
      <c r="AA4299" s="21"/>
    </row>
    <row r="4300" spans="7:27" x14ac:dyDescent="0.2">
      <c r="G4300" s="21"/>
      <c r="H4300" s="21"/>
      <c r="N4300" s="21"/>
      <c r="O4300" s="21"/>
      <c r="T4300" s="21"/>
      <c r="AA4300" s="21"/>
    </row>
    <row r="4301" spans="7:27" x14ac:dyDescent="0.2">
      <c r="G4301" s="21"/>
      <c r="H4301" s="21"/>
      <c r="N4301" s="21"/>
      <c r="O4301" s="21"/>
      <c r="T4301" s="21"/>
      <c r="AA4301" s="21"/>
    </row>
    <row r="4302" spans="7:27" x14ac:dyDescent="0.2">
      <c r="G4302" s="21"/>
      <c r="H4302" s="21"/>
      <c r="N4302" s="21"/>
      <c r="O4302" s="21"/>
      <c r="T4302" s="21"/>
      <c r="AA4302" s="21"/>
    </row>
    <row r="4303" spans="7:27" x14ac:dyDescent="0.2">
      <c r="G4303" s="21"/>
      <c r="H4303" s="21"/>
      <c r="N4303" s="21"/>
      <c r="O4303" s="21"/>
      <c r="T4303" s="21"/>
      <c r="AA4303" s="21"/>
    </row>
    <row r="4304" spans="7:27" x14ac:dyDescent="0.2">
      <c r="G4304" s="21"/>
      <c r="H4304" s="21"/>
      <c r="N4304" s="21"/>
      <c r="O4304" s="21"/>
      <c r="T4304" s="21"/>
      <c r="AA4304" s="21"/>
    </row>
    <row r="4305" spans="7:27" x14ac:dyDescent="0.2">
      <c r="G4305" s="21"/>
      <c r="H4305" s="21"/>
      <c r="N4305" s="21"/>
      <c r="O4305" s="21"/>
      <c r="T4305" s="21"/>
      <c r="AA4305" s="21"/>
    </row>
    <row r="4306" spans="7:27" x14ac:dyDescent="0.2">
      <c r="G4306" s="21"/>
      <c r="H4306" s="21"/>
      <c r="N4306" s="21"/>
      <c r="O4306" s="21"/>
      <c r="T4306" s="21"/>
      <c r="AA4306" s="21"/>
    </row>
    <row r="4307" spans="7:27" x14ac:dyDescent="0.2">
      <c r="G4307" s="21"/>
      <c r="H4307" s="21"/>
      <c r="N4307" s="21"/>
      <c r="O4307" s="21"/>
      <c r="T4307" s="21"/>
      <c r="AA4307" s="21"/>
    </row>
    <row r="4308" spans="7:27" x14ac:dyDescent="0.2">
      <c r="G4308" s="21"/>
      <c r="H4308" s="21"/>
      <c r="N4308" s="21"/>
      <c r="O4308" s="21"/>
      <c r="T4308" s="21"/>
      <c r="AA4308" s="21"/>
    </row>
    <row r="4309" spans="7:27" x14ac:dyDescent="0.2">
      <c r="G4309" s="21"/>
      <c r="H4309" s="21"/>
      <c r="N4309" s="21"/>
      <c r="O4309" s="21"/>
      <c r="T4309" s="21"/>
      <c r="AA4309" s="21"/>
    </row>
    <row r="4310" spans="7:27" x14ac:dyDescent="0.2">
      <c r="G4310" s="21"/>
      <c r="H4310" s="21"/>
      <c r="N4310" s="21"/>
      <c r="O4310" s="21"/>
      <c r="T4310" s="21"/>
      <c r="AA4310" s="21"/>
    </row>
    <row r="4311" spans="7:27" x14ac:dyDescent="0.2">
      <c r="G4311" s="21"/>
      <c r="H4311" s="21"/>
      <c r="N4311" s="21"/>
      <c r="O4311" s="21"/>
      <c r="T4311" s="21"/>
      <c r="AA4311" s="21"/>
    </row>
    <row r="4312" spans="7:27" x14ac:dyDescent="0.2">
      <c r="G4312" s="21"/>
      <c r="H4312" s="21"/>
      <c r="N4312" s="21"/>
      <c r="O4312" s="21"/>
      <c r="T4312" s="21"/>
      <c r="AA4312" s="21"/>
    </row>
    <row r="4313" spans="7:27" x14ac:dyDescent="0.2">
      <c r="G4313" s="21"/>
      <c r="H4313" s="21"/>
      <c r="N4313" s="21"/>
      <c r="O4313" s="21"/>
      <c r="T4313" s="21"/>
      <c r="AA4313" s="21"/>
    </row>
    <row r="4314" spans="7:27" x14ac:dyDescent="0.2">
      <c r="G4314" s="21"/>
      <c r="H4314" s="21"/>
      <c r="N4314" s="21"/>
      <c r="O4314" s="21"/>
      <c r="T4314" s="21"/>
      <c r="AA4314" s="21"/>
    </row>
    <row r="4315" spans="7:27" x14ac:dyDescent="0.2">
      <c r="G4315" s="21"/>
      <c r="H4315" s="21"/>
      <c r="N4315" s="21"/>
      <c r="O4315" s="21"/>
      <c r="T4315" s="21"/>
      <c r="AA4315" s="21"/>
    </row>
    <row r="4316" spans="7:27" x14ac:dyDescent="0.2">
      <c r="G4316" s="21"/>
      <c r="H4316" s="21"/>
      <c r="N4316" s="21"/>
      <c r="O4316" s="21"/>
      <c r="T4316" s="21"/>
      <c r="AA4316" s="21"/>
    </row>
    <row r="4317" spans="7:27" x14ac:dyDescent="0.2">
      <c r="G4317" s="21"/>
      <c r="H4317" s="21"/>
      <c r="N4317" s="21"/>
      <c r="O4317" s="21"/>
      <c r="T4317" s="21"/>
      <c r="AA4317" s="21"/>
    </row>
    <row r="4318" spans="7:27" x14ac:dyDescent="0.2">
      <c r="G4318" s="21"/>
      <c r="H4318" s="21"/>
      <c r="N4318" s="21"/>
      <c r="O4318" s="21"/>
      <c r="T4318" s="21"/>
      <c r="AA4318" s="21"/>
    </row>
    <row r="4319" spans="7:27" x14ac:dyDescent="0.2">
      <c r="G4319" s="21"/>
      <c r="H4319" s="21"/>
      <c r="N4319" s="21"/>
      <c r="O4319" s="21"/>
      <c r="T4319" s="21"/>
      <c r="AA4319" s="21"/>
    </row>
    <row r="4320" spans="7:27" x14ac:dyDescent="0.2">
      <c r="G4320" s="21"/>
      <c r="H4320" s="21"/>
      <c r="N4320" s="21"/>
      <c r="O4320" s="21"/>
      <c r="T4320" s="21"/>
      <c r="AA4320" s="21"/>
    </row>
    <row r="4321" spans="7:27" x14ac:dyDescent="0.2">
      <c r="G4321" s="21"/>
      <c r="H4321" s="21"/>
      <c r="N4321" s="21"/>
      <c r="O4321" s="21"/>
      <c r="T4321" s="21"/>
      <c r="AA4321" s="21"/>
    </row>
    <row r="4322" spans="7:27" x14ac:dyDescent="0.2">
      <c r="H4322" s="21"/>
      <c r="N4322" s="21"/>
      <c r="O4322" s="21"/>
      <c r="T4322" s="21"/>
      <c r="AA4322" s="21"/>
    </row>
    <row r="4323" spans="7:27" x14ac:dyDescent="0.2">
      <c r="H4323" s="21"/>
      <c r="N4323" s="21"/>
      <c r="O4323" s="21"/>
      <c r="T4323" s="21"/>
      <c r="AA4323" s="21"/>
    </row>
    <row r="4324" spans="7:27" x14ac:dyDescent="0.2">
      <c r="H4324" s="21"/>
      <c r="N4324" s="21"/>
      <c r="O4324" s="21"/>
      <c r="T4324" s="21"/>
      <c r="AA4324" s="21"/>
    </row>
    <row r="4325" spans="7:27" x14ac:dyDescent="0.2">
      <c r="H4325" s="21"/>
      <c r="N4325" s="21"/>
      <c r="O4325" s="21"/>
      <c r="T4325" s="21"/>
      <c r="AA4325" s="21"/>
    </row>
    <row r="4326" spans="7:27" x14ac:dyDescent="0.2">
      <c r="H4326" s="21"/>
      <c r="N4326" s="21"/>
      <c r="O4326" s="21"/>
      <c r="T4326" s="21"/>
      <c r="AA4326" s="21"/>
    </row>
    <row r="4327" spans="7:27" x14ac:dyDescent="0.2">
      <c r="H4327" s="21"/>
      <c r="N4327" s="21"/>
      <c r="O4327" s="21"/>
      <c r="T4327" s="21"/>
      <c r="AA4327" s="21"/>
    </row>
    <row r="4328" spans="7:27" x14ac:dyDescent="0.2">
      <c r="H4328" s="21"/>
      <c r="N4328" s="21"/>
      <c r="O4328" s="21"/>
      <c r="T4328" s="21"/>
      <c r="AA4328" s="21"/>
    </row>
    <row r="4329" spans="7:27" x14ac:dyDescent="0.2">
      <c r="H4329" s="21"/>
      <c r="N4329" s="21"/>
      <c r="O4329" s="21"/>
      <c r="T4329" s="21"/>
      <c r="AA4329" s="21"/>
    </row>
    <row r="4330" spans="7:27" x14ac:dyDescent="0.2">
      <c r="H4330" s="21"/>
      <c r="N4330" s="21"/>
      <c r="O4330" s="21"/>
      <c r="T4330" s="21"/>
      <c r="AA4330" s="21"/>
    </row>
    <row r="4331" spans="7:27" x14ac:dyDescent="0.2">
      <c r="H4331" s="21"/>
      <c r="N4331" s="21"/>
      <c r="O4331" s="21"/>
      <c r="T4331" s="21"/>
      <c r="AA4331" s="21"/>
    </row>
    <row r="4332" spans="7:27" x14ac:dyDescent="0.2">
      <c r="H4332" s="21"/>
      <c r="N4332" s="21"/>
      <c r="O4332" s="21"/>
      <c r="T4332" s="21"/>
      <c r="AA4332" s="21"/>
    </row>
    <row r="4333" spans="7:27" x14ac:dyDescent="0.2">
      <c r="H4333" s="21"/>
      <c r="N4333" s="21"/>
      <c r="O4333" s="21"/>
      <c r="T4333" s="21"/>
      <c r="AA4333" s="21"/>
    </row>
    <row r="4334" spans="7:27" x14ac:dyDescent="0.2">
      <c r="H4334" s="21"/>
      <c r="N4334" s="21"/>
      <c r="O4334" s="21"/>
      <c r="T4334" s="21"/>
      <c r="AA4334" s="21"/>
    </row>
    <row r="4335" spans="7:27" x14ac:dyDescent="0.2">
      <c r="H4335" s="21"/>
      <c r="N4335" s="21"/>
      <c r="O4335" s="21"/>
      <c r="T4335" s="21"/>
      <c r="AA4335" s="21"/>
    </row>
    <row r="4336" spans="7:27" x14ac:dyDescent="0.2">
      <c r="H4336" s="21"/>
      <c r="N4336" s="21"/>
      <c r="O4336" s="21"/>
      <c r="T4336" s="21"/>
      <c r="AA4336" s="21"/>
    </row>
    <row r="4337" spans="8:27" x14ac:dyDescent="0.2">
      <c r="H4337" s="21"/>
      <c r="N4337" s="21"/>
      <c r="O4337" s="21"/>
      <c r="T4337" s="21"/>
      <c r="AA4337" s="21"/>
    </row>
    <row r="4338" spans="8:27" x14ac:dyDescent="0.2">
      <c r="H4338" s="21"/>
      <c r="N4338" s="21"/>
      <c r="O4338" s="21"/>
      <c r="T4338" s="21"/>
      <c r="AA4338" s="21"/>
    </row>
    <row r="4339" spans="8:27" x14ac:dyDescent="0.2">
      <c r="H4339" s="21"/>
      <c r="N4339" s="21"/>
      <c r="O4339" s="21"/>
      <c r="T4339" s="21"/>
      <c r="AA4339" s="21"/>
    </row>
    <row r="4340" spans="8:27" x14ac:dyDescent="0.2">
      <c r="H4340" s="21"/>
      <c r="N4340" s="21"/>
      <c r="O4340" s="21"/>
      <c r="T4340" s="21"/>
      <c r="AA4340" s="21"/>
    </row>
    <row r="4341" spans="8:27" x14ac:dyDescent="0.2">
      <c r="H4341" s="21"/>
      <c r="N4341" s="21"/>
      <c r="O4341" s="21"/>
      <c r="T4341" s="21"/>
      <c r="AA4341" s="21"/>
    </row>
    <row r="4342" spans="8:27" x14ac:dyDescent="0.2">
      <c r="H4342" s="21"/>
      <c r="N4342" s="21"/>
      <c r="O4342" s="21"/>
      <c r="T4342" s="21"/>
      <c r="AA4342" s="21"/>
    </row>
    <row r="4343" spans="8:27" x14ac:dyDescent="0.2">
      <c r="H4343" s="21"/>
      <c r="N4343" s="21"/>
      <c r="O4343" s="21"/>
      <c r="T4343" s="21"/>
      <c r="AA4343" s="21"/>
    </row>
    <row r="4344" spans="8:27" x14ac:dyDescent="0.2">
      <c r="H4344" s="21"/>
      <c r="N4344" s="21"/>
      <c r="O4344" s="21"/>
      <c r="T4344" s="21"/>
      <c r="AA4344" s="21"/>
    </row>
    <row r="4345" spans="8:27" x14ac:dyDescent="0.2">
      <c r="H4345" s="21"/>
      <c r="N4345" s="21"/>
      <c r="O4345" s="21"/>
      <c r="T4345" s="21"/>
      <c r="AA4345" s="21"/>
    </row>
    <row r="4346" spans="8:27" x14ac:dyDescent="0.2">
      <c r="H4346" s="21"/>
      <c r="N4346" s="21"/>
      <c r="O4346" s="21"/>
      <c r="T4346" s="21"/>
      <c r="AA4346" s="21"/>
    </row>
    <row r="4347" spans="8:27" x14ac:dyDescent="0.2">
      <c r="H4347" s="21"/>
      <c r="N4347" s="21"/>
      <c r="O4347" s="21"/>
      <c r="T4347" s="21"/>
      <c r="AA4347" s="21"/>
    </row>
    <row r="4348" spans="8:27" x14ac:dyDescent="0.2">
      <c r="H4348" s="21"/>
      <c r="N4348" s="21"/>
      <c r="O4348" s="21"/>
      <c r="T4348" s="21"/>
      <c r="AA4348" s="21"/>
    </row>
    <row r="4349" spans="8:27" x14ac:dyDescent="0.2">
      <c r="H4349" s="21"/>
      <c r="N4349" s="21"/>
      <c r="O4349" s="21"/>
      <c r="T4349" s="21"/>
      <c r="AA4349" s="21"/>
    </row>
    <row r="4350" spans="8:27" x14ac:dyDescent="0.2">
      <c r="H4350" s="21"/>
      <c r="N4350" s="21"/>
      <c r="O4350" s="21"/>
      <c r="T4350" s="21"/>
      <c r="AA4350" s="21"/>
    </row>
    <row r="4351" spans="8:27" x14ac:dyDescent="0.2">
      <c r="H4351" s="21"/>
      <c r="N4351" s="21"/>
      <c r="O4351" s="21"/>
      <c r="T4351" s="21"/>
      <c r="AA4351" s="21"/>
    </row>
    <row r="4352" spans="8:27" x14ac:dyDescent="0.2">
      <c r="H4352" s="21"/>
      <c r="N4352" s="21"/>
      <c r="O4352" s="21"/>
      <c r="T4352" s="21"/>
      <c r="AA4352" s="21"/>
    </row>
    <row r="4353" spans="8:27" x14ac:dyDescent="0.2">
      <c r="H4353" s="21"/>
      <c r="N4353" s="21"/>
      <c r="O4353" s="21"/>
      <c r="T4353" s="21"/>
      <c r="AA4353" s="21"/>
    </row>
    <row r="4354" spans="8:27" x14ac:dyDescent="0.2">
      <c r="H4354" s="21"/>
      <c r="N4354" s="21"/>
      <c r="O4354" s="21"/>
      <c r="T4354" s="21"/>
      <c r="AA4354" s="21"/>
    </row>
    <row r="4355" spans="8:27" x14ac:dyDescent="0.2">
      <c r="H4355" s="21"/>
      <c r="N4355" s="21"/>
      <c r="O4355" s="21"/>
      <c r="T4355" s="21"/>
      <c r="AA4355" s="21"/>
    </row>
    <row r="4356" spans="8:27" x14ac:dyDescent="0.2">
      <c r="H4356" s="21"/>
      <c r="N4356" s="21"/>
      <c r="O4356" s="21"/>
      <c r="T4356" s="21"/>
      <c r="AA4356" s="21"/>
    </row>
    <row r="4357" spans="8:27" x14ac:dyDescent="0.2">
      <c r="H4357" s="21"/>
      <c r="N4357" s="21"/>
      <c r="O4357" s="21"/>
      <c r="T4357" s="21"/>
      <c r="AA4357" s="21"/>
    </row>
    <row r="4358" spans="8:27" x14ac:dyDescent="0.2">
      <c r="H4358" s="21"/>
      <c r="N4358" s="21"/>
      <c r="O4358" s="21"/>
      <c r="T4358" s="21"/>
      <c r="AA4358" s="21"/>
    </row>
    <row r="4359" spans="8:27" x14ac:dyDescent="0.2">
      <c r="H4359" s="21"/>
      <c r="N4359" s="21"/>
      <c r="O4359" s="21"/>
      <c r="T4359" s="21"/>
      <c r="AA4359" s="21"/>
    </row>
    <row r="4360" spans="8:27" x14ac:dyDescent="0.2">
      <c r="H4360" s="21"/>
      <c r="N4360" s="21"/>
      <c r="O4360" s="21"/>
      <c r="T4360" s="21"/>
      <c r="AA4360" s="21"/>
    </row>
    <row r="4361" spans="8:27" x14ac:dyDescent="0.2">
      <c r="H4361" s="21"/>
      <c r="N4361" s="21"/>
      <c r="O4361" s="21"/>
      <c r="T4361" s="21"/>
      <c r="AA4361" s="21"/>
    </row>
    <row r="4362" spans="8:27" x14ac:dyDescent="0.2">
      <c r="H4362" s="21"/>
      <c r="N4362" s="21"/>
      <c r="O4362" s="21"/>
      <c r="T4362" s="21"/>
      <c r="AA4362" s="21"/>
    </row>
    <row r="4363" spans="8:27" x14ac:dyDescent="0.2">
      <c r="H4363" s="21"/>
      <c r="N4363" s="21"/>
      <c r="O4363" s="21"/>
      <c r="T4363" s="21"/>
      <c r="AA4363" s="21"/>
    </row>
    <row r="4364" spans="8:27" x14ac:dyDescent="0.2">
      <c r="H4364" s="21"/>
      <c r="N4364" s="21"/>
      <c r="O4364" s="21"/>
      <c r="T4364" s="21"/>
      <c r="AA4364" s="21"/>
    </row>
    <row r="4365" spans="8:27" x14ac:dyDescent="0.2">
      <c r="H4365" s="21"/>
      <c r="N4365" s="21"/>
      <c r="O4365" s="21"/>
      <c r="T4365" s="21"/>
      <c r="AA4365" s="21"/>
    </row>
    <row r="4366" spans="8:27" x14ac:dyDescent="0.2">
      <c r="H4366" s="21"/>
      <c r="N4366" s="21"/>
      <c r="O4366" s="21"/>
      <c r="T4366" s="21"/>
      <c r="AA4366" s="21"/>
    </row>
    <row r="4367" spans="8:27" x14ac:dyDescent="0.2">
      <c r="H4367" s="21"/>
      <c r="N4367" s="21"/>
      <c r="O4367" s="21"/>
      <c r="T4367" s="21"/>
      <c r="AA4367" s="21"/>
    </row>
    <row r="4368" spans="8:27" x14ac:dyDescent="0.2">
      <c r="H4368" s="21"/>
      <c r="N4368" s="21"/>
      <c r="O4368" s="21"/>
      <c r="T4368" s="21"/>
      <c r="AA4368" s="21"/>
    </row>
    <row r="4369" spans="8:27" x14ac:dyDescent="0.2">
      <c r="H4369" s="21"/>
      <c r="N4369" s="21"/>
      <c r="O4369" s="21"/>
      <c r="T4369" s="21"/>
      <c r="AA4369" s="21"/>
    </row>
    <row r="4370" spans="8:27" x14ac:dyDescent="0.2">
      <c r="H4370" s="21"/>
      <c r="N4370" s="21"/>
      <c r="O4370" s="21"/>
      <c r="T4370" s="21"/>
      <c r="AA4370" s="21"/>
    </row>
    <row r="4371" spans="8:27" x14ac:dyDescent="0.2">
      <c r="H4371" s="21"/>
      <c r="N4371" s="21"/>
      <c r="O4371" s="21"/>
      <c r="T4371" s="21"/>
      <c r="AA4371" s="21"/>
    </row>
    <row r="4372" spans="8:27" x14ac:dyDescent="0.2">
      <c r="H4372" s="21"/>
      <c r="N4372" s="21"/>
      <c r="O4372" s="21"/>
      <c r="T4372" s="21"/>
      <c r="AA4372" s="21"/>
    </row>
    <row r="4373" spans="8:27" x14ac:dyDescent="0.2">
      <c r="H4373" s="21"/>
      <c r="N4373" s="21"/>
      <c r="O4373" s="21"/>
      <c r="T4373" s="21"/>
      <c r="AA4373" s="21"/>
    </row>
    <row r="4374" spans="8:27" x14ac:dyDescent="0.2">
      <c r="H4374" s="21"/>
      <c r="N4374" s="21"/>
      <c r="O4374" s="21"/>
      <c r="T4374" s="21"/>
      <c r="AA4374" s="21"/>
    </row>
    <row r="4375" spans="8:27" x14ac:dyDescent="0.2">
      <c r="H4375" s="21"/>
      <c r="N4375" s="21"/>
      <c r="O4375" s="21"/>
      <c r="T4375" s="21"/>
      <c r="AA4375" s="21"/>
    </row>
    <row r="4376" spans="8:27" x14ac:dyDescent="0.2">
      <c r="H4376" s="21"/>
      <c r="N4376" s="21"/>
      <c r="O4376" s="21"/>
      <c r="T4376" s="21"/>
      <c r="AA4376" s="21"/>
    </row>
    <row r="4377" spans="8:27" x14ac:dyDescent="0.2">
      <c r="H4377" s="21"/>
      <c r="N4377" s="21"/>
      <c r="O4377" s="21"/>
      <c r="T4377" s="21"/>
      <c r="AA4377" s="21"/>
    </row>
    <row r="4378" spans="8:27" x14ac:dyDescent="0.2">
      <c r="H4378" s="21"/>
      <c r="N4378" s="21"/>
      <c r="O4378" s="21"/>
      <c r="T4378" s="21"/>
      <c r="AA4378" s="21"/>
    </row>
    <row r="4379" spans="8:27" x14ac:dyDescent="0.2">
      <c r="H4379" s="21"/>
      <c r="N4379" s="21"/>
      <c r="O4379" s="21"/>
      <c r="T4379" s="21"/>
      <c r="AA4379" s="21"/>
    </row>
    <row r="4380" spans="8:27" x14ac:dyDescent="0.2">
      <c r="H4380" s="21"/>
      <c r="N4380" s="21"/>
      <c r="O4380" s="21"/>
      <c r="T4380" s="21"/>
      <c r="AA4380" s="21"/>
    </row>
    <row r="4381" spans="8:27" x14ac:dyDescent="0.2">
      <c r="H4381" s="21"/>
      <c r="N4381" s="21"/>
      <c r="O4381" s="21"/>
      <c r="T4381" s="21"/>
      <c r="AA4381" s="21"/>
    </row>
    <row r="4382" spans="8:27" x14ac:dyDescent="0.2">
      <c r="H4382" s="21"/>
      <c r="N4382" s="21"/>
      <c r="O4382" s="21"/>
      <c r="T4382" s="21"/>
      <c r="AA4382" s="21"/>
    </row>
    <row r="4383" spans="8:27" x14ac:dyDescent="0.2">
      <c r="H4383" s="21"/>
      <c r="N4383" s="21"/>
      <c r="O4383" s="21"/>
      <c r="T4383" s="21"/>
      <c r="AA4383" s="21"/>
    </row>
    <row r="4384" spans="8:27" x14ac:dyDescent="0.2">
      <c r="H4384" s="21"/>
      <c r="N4384" s="21"/>
      <c r="O4384" s="21"/>
      <c r="T4384" s="21"/>
      <c r="AA4384" s="21"/>
    </row>
    <row r="4385" spans="8:27" x14ac:dyDescent="0.2">
      <c r="H4385" s="21"/>
      <c r="N4385" s="21"/>
      <c r="O4385" s="21"/>
      <c r="T4385" s="21"/>
      <c r="AA4385" s="21"/>
    </row>
    <row r="4386" spans="8:27" x14ac:dyDescent="0.2">
      <c r="H4386" s="21"/>
      <c r="N4386" s="21"/>
      <c r="O4386" s="21"/>
      <c r="T4386" s="21"/>
      <c r="AA4386" s="21"/>
    </row>
    <row r="4387" spans="8:27" x14ac:dyDescent="0.2">
      <c r="H4387" s="21"/>
      <c r="N4387" s="21"/>
      <c r="O4387" s="21"/>
      <c r="T4387" s="21"/>
      <c r="AA4387" s="21"/>
    </row>
    <row r="4388" spans="8:27" x14ac:dyDescent="0.2">
      <c r="H4388" s="21"/>
      <c r="N4388" s="21"/>
      <c r="O4388" s="21"/>
      <c r="T4388" s="21"/>
      <c r="AA4388" s="21"/>
    </row>
    <row r="4389" spans="8:27" x14ac:dyDescent="0.2">
      <c r="H4389" s="21"/>
      <c r="N4389" s="21"/>
      <c r="O4389" s="21"/>
      <c r="T4389" s="21"/>
      <c r="AA4389" s="21"/>
    </row>
    <row r="4390" spans="8:27" x14ac:dyDescent="0.2">
      <c r="H4390" s="21"/>
      <c r="N4390" s="21"/>
      <c r="O4390" s="21"/>
      <c r="T4390" s="21"/>
      <c r="AA4390" s="21"/>
    </row>
    <row r="4391" spans="8:27" x14ac:dyDescent="0.2">
      <c r="H4391" s="21"/>
      <c r="N4391" s="21"/>
      <c r="O4391" s="21"/>
      <c r="T4391" s="21"/>
      <c r="AA4391" s="21"/>
    </row>
    <row r="4392" spans="8:27" x14ac:dyDescent="0.2">
      <c r="H4392" s="21"/>
      <c r="N4392" s="21"/>
      <c r="O4392" s="21"/>
      <c r="T4392" s="21"/>
      <c r="AA4392" s="21"/>
    </row>
    <row r="4393" spans="8:27" x14ac:dyDescent="0.2">
      <c r="H4393" s="21"/>
      <c r="N4393" s="21"/>
      <c r="O4393" s="21"/>
      <c r="T4393" s="21"/>
      <c r="AA4393" s="21"/>
    </row>
    <row r="4394" spans="8:27" x14ac:dyDescent="0.2">
      <c r="H4394" s="21"/>
      <c r="N4394" s="21"/>
      <c r="O4394" s="21"/>
      <c r="T4394" s="21"/>
      <c r="AA4394" s="21"/>
    </row>
    <row r="4395" spans="8:27" ht="15" x14ac:dyDescent="0.25">
      <c r="W4395" s="25"/>
      <c r="X4395" s="25"/>
    </row>
    <row r="4396" spans="8:27" ht="15" x14ac:dyDescent="0.25">
      <c r="W4396" s="25"/>
      <c r="X4396" s="25"/>
    </row>
    <row r="4397" spans="8:27" ht="15" x14ac:dyDescent="0.25">
      <c r="W4397" s="25"/>
      <c r="X4397" s="25"/>
    </row>
    <row r="4398" spans="8:27" ht="15" x14ac:dyDescent="0.25">
      <c r="W4398" s="25"/>
      <c r="X4398" s="25"/>
    </row>
    <row r="4399" spans="8:27" ht="15" x14ac:dyDescent="0.25">
      <c r="W4399" s="25"/>
      <c r="X4399" s="25"/>
    </row>
    <row r="4400" spans="8:27" ht="15" x14ac:dyDescent="0.25">
      <c r="W4400" s="25"/>
      <c r="X4400" s="25"/>
    </row>
    <row r="4401" spans="23:24" ht="15" x14ac:dyDescent="0.25">
      <c r="W4401" s="25"/>
      <c r="X4401" s="25"/>
    </row>
    <row r="4402" spans="23:24" ht="15" x14ac:dyDescent="0.25">
      <c r="W4402" s="25"/>
      <c r="X4402" s="25"/>
    </row>
    <row r="4403" spans="23:24" ht="15" x14ac:dyDescent="0.25">
      <c r="W4403" s="25"/>
      <c r="X4403" s="25"/>
    </row>
    <row r="4404" spans="23:24" ht="15" x14ac:dyDescent="0.25">
      <c r="W4404" s="25"/>
      <c r="X4404" s="25"/>
    </row>
    <row r="4405" spans="23:24" ht="15" x14ac:dyDescent="0.25">
      <c r="W4405" s="25"/>
      <c r="X4405" s="25"/>
    </row>
    <row r="4406" spans="23:24" ht="15" x14ac:dyDescent="0.25">
      <c r="W4406" s="25"/>
      <c r="X4406" s="25"/>
    </row>
    <row r="4407" spans="23:24" ht="15" x14ac:dyDescent="0.25">
      <c r="W4407" s="25"/>
      <c r="X4407" s="25"/>
    </row>
    <row r="4408" spans="23:24" ht="15" x14ac:dyDescent="0.25">
      <c r="W4408" s="25"/>
      <c r="X4408" s="25"/>
    </row>
    <row r="4409" spans="23:24" ht="15" x14ac:dyDescent="0.25">
      <c r="W4409" s="25"/>
      <c r="X4409" s="25"/>
    </row>
    <row r="4410" spans="23:24" ht="15" x14ac:dyDescent="0.25">
      <c r="W4410" s="25"/>
      <c r="X4410" s="25"/>
    </row>
    <row r="4411" spans="23:24" ht="15" x14ac:dyDescent="0.25">
      <c r="W4411" s="25"/>
      <c r="X4411" s="25"/>
    </row>
    <row r="4412" spans="23:24" ht="15" x14ac:dyDescent="0.25">
      <c r="W4412" s="25"/>
      <c r="X4412" s="25"/>
    </row>
    <row r="4413" spans="23:24" ht="15" x14ac:dyDescent="0.25">
      <c r="W4413" s="25"/>
      <c r="X4413" s="25"/>
    </row>
    <row r="4414" spans="23:24" ht="15" x14ac:dyDescent="0.25">
      <c r="W4414" s="25"/>
      <c r="X4414" s="25"/>
    </row>
    <row r="4415" spans="23:24" ht="15" x14ac:dyDescent="0.25">
      <c r="W4415" s="25"/>
      <c r="X4415" s="25"/>
    </row>
    <row r="4416" spans="23:24" ht="15" x14ac:dyDescent="0.25">
      <c r="W4416" s="25"/>
      <c r="X4416" s="25"/>
    </row>
    <row r="4417" spans="23:24" ht="15" x14ac:dyDescent="0.25">
      <c r="W4417" s="25"/>
      <c r="X4417" s="25"/>
    </row>
    <row r="4418" spans="23:24" ht="15" x14ac:dyDescent="0.25">
      <c r="W4418" s="25"/>
      <c r="X4418" s="25"/>
    </row>
    <row r="4419" spans="23:24" ht="15" x14ac:dyDescent="0.25">
      <c r="W4419" s="25"/>
      <c r="X4419" s="25"/>
    </row>
    <row r="4420" spans="23:24" ht="15" x14ac:dyDescent="0.25">
      <c r="W4420" s="25"/>
      <c r="X4420" s="25"/>
    </row>
    <row r="4421" spans="23:24" ht="15" x14ac:dyDescent="0.25">
      <c r="W4421" s="25"/>
      <c r="X4421" s="25"/>
    </row>
    <row r="4422" spans="23:24" ht="15" x14ac:dyDescent="0.25">
      <c r="W4422" s="25"/>
      <c r="X4422" s="25"/>
    </row>
    <row r="4423" spans="23:24" ht="15" x14ac:dyDescent="0.25">
      <c r="W4423" s="25"/>
      <c r="X4423" s="25"/>
    </row>
    <row r="4424" spans="23:24" ht="15" x14ac:dyDescent="0.25">
      <c r="W4424" s="25"/>
      <c r="X4424" s="25"/>
    </row>
    <row r="4425" spans="23:24" ht="15" x14ac:dyDescent="0.25">
      <c r="W4425" s="25"/>
      <c r="X4425" s="25"/>
    </row>
    <row r="4426" spans="23:24" ht="15" x14ac:dyDescent="0.25">
      <c r="W4426" s="25"/>
      <c r="X4426" s="25"/>
    </row>
    <row r="4427" spans="23:24" ht="15" x14ac:dyDescent="0.25">
      <c r="W4427" s="25"/>
      <c r="X4427" s="25"/>
    </row>
    <row r="4428" spans="23:24" ht="15" x14ac:dyDescent="0.25">
      <c r="W4428" s="25"/>
      <c r="X4428" s="25"/>
    </row>
    <row r="4429" spans="23:24" ht="15" x14ac:dyDescent="0.25">
      <c r="W4429" s="25"/>
      <c r="X4429" s="25"/>
    </row>
    <row r="4430" spans="23:24" ht="15" x14ac:dyDescent="0.25">
      <c r="W4430" s="25"/>
      <c r="X4430" s="25"/>
    </row>
    <row r="4431" spans="23:24" ht="15" x14ac:dyDescent="0.25">
      <c r="W4431" s="25"/>
      <c r="X4431" s="25"/>
    </row>
    <row r="4432" spans="23:24" ht="15" x14ac:dyDescent="0.25">
      <c r="W4432" s="25"/>
      <c r="X4432" s="25"/>
    </row>
    <row r="4433" spans="23:24" ht="15" x14ac:dyDescent="0.25">
      <c r="W4433" s="25"/>
      <c r="X4433" s="25"/>
    </row>
    <row r="4434" spans="23:24" ht="15" x14ac:dyDescent="0.25">
      <c r="W4434" s="25"/>
      <c r="X4434" s="25"/>
    </row>
    <row r="4435" spans="23:24" ht="15" x14ac:dyDescent="0.25">
      <c r="W4435" s="25"/>
      <c r="X4435" s="25"/>
    </row>
    <row r="4436" spans="23:24" ht="15" x14ac:dyDescent="0.25">
      <c r="W4436" s="25"/>
      <c r="X4436" s="25"/>
    </row>
    <row r="4437" spans="23:24" ht="15" x14ac:dyDescent="0.25">
      <c r="W4437" s="25"/>
      <c r="X4437" s="25"/>
    </row>
    <row r="4438" spans="23:24" ht="15" x14ac:dyDescent="0.25">
      <c r="W4438" s="25"/>
      <c r="X4438" s="25"/>
    </row>
    <row r="4439" spans="23:24" ht="15" x14ac:dyDescent="0.25">
      <c r="W4439" s="25"/>
      <c r="X4439" s="25"/>
    </row>
    <row r="4440" spans="23:24" ht="15" x14ac:dyDescent="0.25">
      <c r="W4440" s="25"/>
      <c r="X4440" s="25"/>
    </row>
    <row r="4441" spans="23:24" ht="15" x14ac:dyDescent="0.25">
      <c r="W4441" s="25"/>
      <c r="X4441" s="25"/>
    </row>
    <row r="4442" spans="23:24" ht="15" x14ac:dyDescent="0.25">
      <c r="W4442" s="25"/>
      <c r="X4442" s="25"/>
    </row>
    <row r="4443" spans="23:24" ht="15" x14ac:dyDescent="0.25">
      <c r="W4443" s="25"/>
      <c r="X4443" s="25"/>
    </row>
    <row r="4444" spans="23:24" ht="15" x14ac:dyDescent="0.25">
      <c r="W4444" s="25"/>
      <c r="X4444" s="25"/>
    </row>
    <row r="4445" spans="23:24" ht="15" x14ac:dyDescent="0.25">
      <c r="W4445" s="25"/>
      <c r="X4445" s="25"/>
    </row>
    <row r="4446" spans="23:24" ht="15" x14ac:dyDescent="0.25">
      <c r="W4446" s="25"/>
      <c r="X4446" s="25"/>
    </row>
    <row r="4447" spans="23:24" ht="15" x14ac:dyDescent="0.25">
      <c r="W4447" s="25"/>
      <c r="X4447" s="25"/>
    </row>
    <row r="4448" spans="23:24" ht="15" x14ac:dyDescent="0.25">
      <c r="W4448" s="25"/>
      <c r="X4448" s="25"/>
    </row>
    <row r="4449" spans="23:24" ht="15" x14ac:dyDescent="0.25">
      <c r="W4449" s="25"/>
      <c r="X4449" s="25"/>
    </row>
    <row r="4450" spans="23:24" ht="15" x14ac:dyDescent="0.25">
      <c r="W4450" s="25"/>
      <c r="X4450" s="25"/>
    </row>
    <row r="4451" spans="23:24" ht="15" x14ac:dyDescent="0.25">
      <c r="W4451" s="25"/>
      <c r="X4451" s="25"/>
    </row>
    <row r="4452" spans="23:24" ht="15" x14ac:dyDescent="0.25">
      <c r="W4452" s="25"/>
      <c r="X4452" s="25"/>
    </row>
    <row r="4453" spans="23:24" ht="15" x14ac:dyDescent="0.25">
      <c r="W4453" s="25"/>
      <c r="X4453" s="25"/>
    </row>
    <row r="4454" spans="23:24" ht="15" x14ac:dyDescent="0.25">
      <c r="W4454" s="25"/>
      <c r="X4454" s="25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calculator</vt:lpstr>
      <vt:lpstr>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Aksenov</dc:creator>
  <cp:lastModifiedBy>Sergey Aksenov</cp:lastModifiedBy>
  <dcterms:created xsi:type="dcterms:W3CDTF">2008-01-10T09:58:56Z</dcterms:created>
  <dcterms:modified xsi:type="dcterms:W3CDTF">2016-08-03T09:58:12Z</dcterms:modified>
</cp:coreProperties>
</file>